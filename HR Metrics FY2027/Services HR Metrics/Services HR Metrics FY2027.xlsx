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" sheetId="1" state="visible" r:id="rId1"/>
    <sheet name="OCT" sheetId="2" state="visible" r:id="rId2"/>
    <sheet name="NOV" sheetId="3" state="visible" r:id="rId3"/>
    <sheet name="DEC" sheetId="4" state="visible" r:id="rId4"/>
    <sheet name="JAN" sheetId="5" state="visible" r:id="rId5"/>
    <sheet name="FEB" sheetId="6" state="visible" r:id="rId6"/>
    <sheet name="MAR" sheetId="7" state="visible" r:id="rId7"/>
    <sheet name="APR" sheetId="8" state="visible" r:id="rId8"/>
    <sheet name="MAY" sheetId="9" state="visible" r:id="rId9"/>
    <sheet name="JUN" sheetId="10" state="visible" r:id="rId10"/>
    <sheet name="JUL" sheetId="11" state="visible" r:id="rId11"/>
    <sheet name="AUG" sheetId="12" state="visible" r:id="rId12"/>
    <sheet name="SEP" sheetId="13" state="visible" r:id="rId13"/>
    <sheet name="(Jonas)" sheetId="14" state="visible" r:id="rId14"/>
    <sheet name="(M&amp;C_Drug)" sheetId="15" state="visible" r:id="rId15"/>
    <sheet name="(M&amp;C_Ltd)" sheetId="16" state="visible" r:id="rId16"/>
    <sheet name="(Coreas_Serv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#,##0.0"/>
    <numFmt numFmtId="167" formatCode="yyyy-mm-dd h:mm:ss"/>
    <numFmt numFmtId="168" formatCode="mmmm-yy"/>
    <numFmt numFmtId="169" formatCode="mm/dd/yyyy"/>
  </numFmts>
  <fonts count="18">
    <font>
      <name val="Calibri"/>
      <family val="2"/>
      <color theme="1"/>
      <sz val="11"/>
      <scheme val="minor"/>
    </font>
    <font>
      <name val="Calibri"/>
      <color rgb="FFBFBFBF"/>
      <sz val="12"/>
    </font>
    <font>
      <name val="Calibri"/>
      <color rgb="FFFFFFFF"/>
      <sz val="14"/>
    </font>
    <font>
      <name val="Calibri"/>
      <b val="1"/>
      <color rgb="FFF2CEEF"/>
      <sz val="12"/>
    </font>
    <font>
      <name val="Aptos Narrow"/>
      <family val="2"/>
      <color theme="1"/>
      <sz val="11"/>
      <scheme val="minor"/>
    </font>
    <font>
      <name val="Calibri"/>
      <color rgb="FFF2CEEF"/>
      <sz val="12"/>
    </font>
    <font>
      <name val="Calibri"/>
      <color rgb="FFFFFFFF"/>
      <sz val="16"/>
    </font>
    <font>
      <name val="Calibri"/>
      <color rgb="FF31216B"/>
      <sz val="12"/>
    </font>
    <font>
      <name val="Calibri"/>
      <color rgb="FFFFFFFF"/>
      <sz val="12"/>
    </font>
    <font>
      <name val="Calibri"/>
      <color rgb="FF808080"/>
      <sz val="12"/>
    </font>
    <font>
      <name val="Calibri"/>
      <color rgb="FF0E2841"/>
      <sz val="12"/>
    </font>
    <font>
      <name val="Calibri"/>
      <color rgb="FF000000"/>
      <sz val="12"/>
    </font>
    <font>
      <name val="Aptos Narrow"/>
      <family val="2"/>
      <color rgb="FFF2CEEF"/>
      <sz val="11"/>
      <scheme val="minor"/>
    </font>
    <font>
      <name val="Calibri"/>
      <b val="1"/>
      <color rgb="FFFFFFFF"/>
      <sz val="12"/>
    </font>
    <font>
      <name val="Calibri"/>
      <color rgb="FF000000"/>
      <sz val="14"/>
    </font>
    <font>
      <name val="Calibri"/>
      <color rgb="FFC00000"/>
      <sz val="14"/>
    </font>
    <font>
      <name val="Calibri"/>
      <b val="1"/>
      <color rgb="FF0E2841"/>
      <sz val="12"/>
    </font>
    <font>
      <name val="Calibri"/>
      <i val="1"/>
      <color rgb="FFC00000"/>
      <sz val="11"/>
    </font>
  </fonts>
  <fills count="14">
    <fill>
      <patternFill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31216B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</patternFill>
    </fill>
    <fill>
      <patternFill patternType="solid">
        <fgColor rgb="FF595959"/>
      </patternFill>
    </fill>
    <fill>
      <patternFill patternType="solid">
        <fgColor rgb="FFBDD7EE"/>
      </patternFill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13" fillId="8" borderId="0" applyAlignment="1" pivotButton="0" quotePrefix="0" xfId="0">
      <alignment horizontal="center"/>
    </xf>
    <xf numFmtId="0" fontId="9" fillId="2" borderId="0" pivotButton="0" quotePrefix="0" xfId="0"/>
    <xf numFmtId="0" fontId="10" fillId="3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166" fontId="10" fillId="9" borderId="0" applyAlignment="1" pivotButton="0" quotePrefix="0" xfId="0">
      <alignment horizontal="center"/>
    </xf>
    <xf numFmtId="0" fontId="8" fillId="4" borderId="0" applyAlignment="1" pivotButton="0" quotePrefix="0" xfId="0">
      <alignment horizontal="left"/>
    </xf>
    <xf numFmtId="1" fontId="10" fillId="0" borderId="0" applyAlignment="1" pivotButton="0" quotePrefix="0" xfId="0">
      <alignment horizontal="center"/>
    </xf>
    <xf numFmtId="1" fontId="10" fillId="9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4" fontId="10" fillId="9" borderId="0" applyAlignment="1" pivotButton="0" quotePrefix="0" xfId="0">
      <alignment horizontal="center"/>
    </xf>
    <xf numFmtId="0" fontId="8" fillId="2" borderId="0" applyAlignment="1" pivotButton="0" quotePrefix="0" xfId="0">
      <alignment horizontal="left"/>
    </xf>
    <xf numFmtId="165" fontId="10" fillId="0" borderId="0" applyAlignment="1" pivotButton="0" quotePrefix="0" xfId="0">
      <alignment horizontal="center"/>
    </xf>
    <xf numFmtId="165" fontId="10" fillId="9" borderId="0" applyAlignment="1" pivotButton="0" quotePrefix="0" xfId="0">
      <alignment horizontal="center"/>
    </xf>
    <xf numFmtId="0" fontId="8" fillId="5" borderId="0" applyAlignment="1" pivotButton="0" quotePrefix="0" xfId="0">
      <alignment horizontal="left"/>
    </xf>
    <xf numFmtId="0" fontId="10" fillId="6" borderId="0" applyAlignment="1" pivotButton="0" quotePrefix="0" xfId="0">
      <alignment horizontal="left"/>
    </xf>
    <xf numFmtId="9" fontId="10" fillId="0" borderId="0" applyAlignment="1" pivotButton="0" quotePrefix="0" xfId="0">
      <alignment horizontal="center"/>
    </xf>
    <xf numFmtId="9" fontId="10" fillId="9" borderId="0" applyAlignment="1" pivotButton="0" quotePrefix="0" xfId="0">
      <alignment horizontal="center"/>
    </xf>
    <xf numFmtId="0" fontId="8" fillId="2" borderId="0" pivotButton="0" quotePrefix="0" xfId="0"/>
    <xf numFmtId="49" fontId="3" fillId="2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/>
    </xf>
    <xf numFmtId="0" fontId="3" fillId="2" borderId="0" pivotButton="0" quotePrefix="0" xfId="0"/>
    <xf numFmtId="0" fontId="10" fillId="0" borderId="0" applyAlignment="1" applyProtection="1" pivotButton="0" quotePrefix="0" xfId="0">
      <alignment horizontal="center"/>
      <protection locked="0" hidden="0"/>
    </xf>
    <xf numFmtId="0" fontId="8" fillId="4" borderId="0" applyAlignment="1" pivotButton="0" quotePrefix="0" xfId="0">
      <alignment horizontal="center"/>
    </xf>
    <xf numFmtId="1" fontId="10" fillId="0" borderId="0" applyAlignment="1" applyProtection="1" pivotButton="0" quotePrefix="0" xfId="0">
      <alignment horizontal="center"/>
      <protection locked="0" hidden="0"/>
    </xf>
    <xf numFmtId="1" fontId="8" fillId="4" borderId="0" applyAlignment="1" pivotButton="0" quotePrefix="0" xfId="0">
      <alignment horizontal="center"/>
    </xf>
    <xf numFmtId="164" fontId="8" fillId="4" borderId="0" applyAlignment="1" pivotButton="0" quotePrefix="0" xfId="0">
      <alignment horizontal="center"/>
    </xf>
    <xf numFmtId="164" fontId="11" fillId="4" borderId="0" applyAlignment="1" pivotButton="0" quotePrefix="0" xfId="0">
      <alignment horizontal="center"/>
    </xf>
    <xf numFmtId="165" fontId="8" fillId="4" borderId="0" applyAlignment="1" pivotButton="0" quotePrefix="0" xfId="0">
      <alignment horizontal="center"/>
    </xf>
    <xf numFmtId="9" fontId="10" fillId="0" borderId="0" applyAlignment="1" applyProtection="1" pivotButton="0" quotePrefix="0" xfId="0">
      <alignment horizontal="center"/>
      <protection locked="0" hidden="0"/>
    </xf>
    <xf numFmtId="9" fontId="8" fillId="4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4" fillId="1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165" fontId="14" fillId="10" borderId="2" applyAlignment="1" pivotButton="0" quotePrefix="0" xfId="0">
      <alignment horizontal="center" vertical="center" wrapText="1"/>
    </xf>
    <xf numFmtId="164" fontId="14" fillId="10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13" fillId="11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68" fontId="7" fillId="0" borderId="2" applyAlignment="1" pivotButton="0" quotePrefix="0" xfId="0">
      <alignment horizontal="left" vertical="center" wrapText="1"/>
    </xf>
    <xf numFmtId="1" fontId="7" fillId="12" borderId="2" applyAlignment="1" applyProtection="1" pivotButton="0" quotePrefix="0" xfId="0">
      <alignment horizontal="center" vertical="center" wrapText="1"/>
      <protection locked="0" hidden="0"/>
    </xf>
    <xf numFmtId="164" fontId="7" fillId="0" borderId="2" applyAlignment="1" pivotButton="0" quotePrefix="0" xfId="0">
      <alignment horizontal="center" vertical="center" wrapText="1"/>
    </xf>
    <xf numFmtId="3" fontId="7" fillId="0" borderId="2" applyAlignment="1" pivotButton="0" quotePrefix="0" xfId="0">
      <alignment horizontal="center" vertical="center" wrapText="1"/>
    </xf>
    <xf numFmtId="10" fontId="7" fillId="0" borderId="2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right"/>
    </xf>
    <xf numFmtId="164" fontId="16" fillId="13" borderId="2" applyAlignment="1" pivotButton="0" quotePrefix="0" xfId="0">
      <alignment horizontal="center" vertical="center" wrapText="1"/>
    </xf>
    <xf numFmtId="3" fontId="16" fillId="13" borderId="2" applyAlignment="1" pivotButton="0" quotePrefix="0" xfId="0">
      <alignment horizontal="center" vertical="center" wrapText="1"/>
    </xf>
    <xf numFmtId="10" fontId="16" fillId="13" borderId="2" applyAlignment="1" pivotButton="0" quotePrefix="0" xfId="0">
      <alignment horizontal="center" vertical="center" wrapText="1"/>
    </xf>
    <xf numFmtId="1" fontId="16" fillId="13" borderId="2" applyAlignment="1" pivotButton="0" quotePrefix="0" xfId="0">
      <alignment horizontal="center" vertical="center" wrapText="1"/>
    </xf>
    <xf numFmtId="0" fontId="17" fillId="0" borderId="0" pivotButton="0" quotePrefix="0" xfId="0"/>
    <xf numFmtId="0" fontId="7" fillId="12" borderId="2" applyAlignment="1" applyProtection="1" pivotButton="0" quotePrefix="0" xfId="0">
      <alignment horizontal="left" vertical="center" wrapText="1"/>
      <protection locked="0" hidden="0"/>
    </xf>
    <xf numFmtId="169" fontId="7" fillId="12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2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3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4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5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6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7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8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9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10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11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12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3.7265625" customWidth="1" min="3" max="3"/>
    <col width="13.7265625" customWidth="1" min="19" max="19"/>
    <col width="8.26953125" customWidth="1" min="20" max="20"/>
    <col width="13.54296875" customWidth="1" min="21" max="21"/>
    <col width="8.81640625" customWidth="1" min="22" max="22"/>
    <col width="20.26953125" customWidth="1" min="35" max="35"/>
    <col width="8.81640625" customWidth="1" min="36" max="36"/>
  </cols>
  <sheetData>
    <row r="1" ht="18.75" customHeight="1">
      <c r="A1" s="1" t="n"/>
      <c r="B1" s="2" t="inlineStr">
        <is>
          <t>SERVICES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 ht="30" customHeight="1">
      <c r="A2" s="4" t="inlineStr">
        <is>
          <t>FY2027</t>
        </is>
      </c>
      <c r="B2" s="5" t="inlineStr">
        <is>
          <t>Quarter</t>
        </is>
      </c>
      <c r="C2" s="6" t="inlineStr">
        <is>
          <t>OCT</t>
        </is>
      </c>
      <c r="D2" s="6" t="inlineStr">
        <is>
          <t>NOV</t>
        </is>
      </c>
      <c r="E2" s="6" t="inlineStr">
        <is>
          <t>DEC</t>
        </is>
      </c>
      <c r="F2" s="7" t="inlineStr">
        <is>
          <t>∑Q1</t>
        </is>
      </c>
      <c r="G2" s="6" t="inlineStr">
        <is>
          <t>JAN</t>
        </is>
      </c>
      <c r="H2" s="6" t="inlineStr">
        <is>
          <t>FEB</t>
        </is>
      </c>
      <c r="I2" s="6" t="inlineStr">
        <is>
          <t>MAR</t>
        </is>
      </c>
      <c r="J2" s="7" t="inlineStr">
        <is>
          <t>∑Q2</t>
        </is>
      </c>
      <c r="K2" s="6" t="inlineStr">
        <is>
          <t>APR</t>
        </is>
      </c>
      <c r="L2" s="6" t="inlineStr">
        <is>
          <t>MAY</t>
        </is>
      </c>
      <c r="M2" s="6" t="inlineStr">
        <is>
          <t>JUN</t>
        </is>
      </c>
      <c r="N2" s="7" t="inlineStr">
        <is>
          <t>∑Q3</t>
        </is>
      </c>
      <c r="O2" s="6" t="inlineStr">
        <is>
          <t>JUL</t>
        </is>
      </c>
      <c r="P2" s="6" t="inlineStr">
        <is>
          <t>AUG</t>
        </is>
      </c>
      <c r="Q2" s="6" t="inlineStr">
        <is>
          <t>SEP</t>
        </is>
      </c>
      <c r="R2" s="7" t="inlineStr">
        <is>
          <t>∑Q4</t>
        </is>
      </c>
      <c r="S2" s="8" t="inlineStr">
        <is>
          <t>FY2027</t>
        </is>
      </c>
    </row>
    <row r="3" ht="18.75" customHeight="1">
      <c r="A3" s="9" t="n"/>
      <c r="B3" s="10" t="inlineStr">
        <is>
          <t>Permanent (Regular) Headcount</t>
        </is>
      </c>
      <c r="C3" s="11">
        <f>OCT!G3</f>
        <v/>
      </c>
      <c r="D3" s="11">
        <f>NOV!G3</f>
        <v/>
      </c>
      <c r="E3" s="11">
        <f>DEC!G3</f>
        <v/>
      </c>
      <c r="F3" s="12">
        <f>IFERROR(AVERAGE(C3:E3),"")</f>
        <v/>
      </c>
      <c r="G3" s="11">
        <f>JAN!G3</f>
        <v/>
      </c>
      <c r="H3" s="11">
        <f>FEB!G3</f>
        <v/>
      </c>
      <c r="I3" s="11">
        <f>MAR!G3</f>
        <v/>
      </c>
      <c r="J3" s="12">
        <f>IFERROR(AVERAGE(G3:I3),"")</f>
        <v/>
      </c>
      <c r="K3" s="11">
        <f>APR!G3</f>
        <v/>
      </c>
      <c r="L3" s="11">
        <f>MAY!G3</f>
        <v/>
      </c>
      <c r="M3" s="11">
        <f>JUN!G3</f>
        <v/>
      </c>
      <c r="N3" s="12">
        <f>IFERROR(AVERAGE(K3:M3),"")</f>
        <v/>
      </c>
      <c r="O3" s="11">
        <f>JUL!G3</f>
        <v/>
      </c>
      <c r="P3" s="11">
        <f>AUG!G3</f>
        <v/>
      </c>
      <c r="Q3" s="11">
        <f>SEP!G3</f>
        <v/>
      </c>
      <c r="R3" s="12">
        <f>IFERROR(AVERAGE(O3:Q3),"")</f>
        <v/>
      </c>
      <c r="S3" s="12">
        <f>IFERROR(AVERAGE(C3:E3,G3:I3,K3:M3,O3:Q3),"")</f>
        <v/>
      </c>
    </row>
    <row r="4" ht="18.75" customHeight="1">
      <c r="A4" s="3" t="n"/>
      <c r="B4" s="10" t="inlineStr">
        <is>
          <t>Temporary (Fix Term) Headcount</t>
        </is>
      </c>
      <c r="C4" s="11">
        <f>OCT!G4</f>
        <v/>
      </c>
      <c r="D4" s="11">
        <f>NOV!G4</f>
        <v/>
      </c>
      <c r="E4" s="11">
        <f>DEC!G4</f>
        <v/>
      </c>
      <c r="F4" s="12">
        <f>IFERROR(AVERAGE(C4:E4),"")</f>
        <v/>
      </c>
      <c r="G4" s="11">
        <f>JAN!G4</f>
        <v/>
      </c>
      <c r="H4" s="11">
        <f>FEB!G4</f>
        <v/>
      </c>
      <c r="I4" s="11">
        <f>MAR!G4</f>
        <v/>
      </c>
      <c r="J4" s="12">
        <f>IFERROR(AVERAGE(G4:I4),"")</f>
        <v/>
      </c>
      <c r="K4" s="11">
        <f>APR!G4</f>
        <v/>
      </c>
      <c r="L4" s="11">
        <f>MAY!G4</f>
        <v/>
      </c>
      <c r="M4" s="11">
        <f>JUN!G4</f>
        <v/>
      </c>
      <c r="N4" s="12">
        <f>IFERROR(AVERAGE(K4:M4),"")</f>
        <v/>
      </c>
      <c r="O4" s="11">
        <f>JUL!G4</f>
        <v/>
      </c>
      <c r="P4" s="11">
        <f>AUG!G4</f>
        <v/>
      </c>
      <c r="Q4" s="11">
        <f>SEP!G4</f>
        <v/>
      </c>
      <c r="R4" s="12">
        <f>IFERROR(AVERAGE(O4:Q4),"")</f>
        <v/>
      </c>
      <c r="S4" s="12">
        <f>IFERROR(AVERAGE(C4:E4,G4:I4,K4:M4,O4:Q4),"")</f>
        <v/>
      </c>
    </row>
    <row r="5" ht="18.75" customHeight="1">
      <c r="A5" s="3" t="n"/>
      <c r="B5" s="13" t="inlineStr">
        <is>
          <t>Employee Headcount (Productivity)</t>
        </is>
      </c>
      <c r="C5" s="11">
        <f>OCT!G5</f>
        <v/>
      </c>
      <c r="D5" s="11">
        <f>NOV!G5</f>
        <v/>
      </c>
      <c r="E5" s="11">
        <f>DEC!G5</f>
        <v/>
      </c>
      <c r="F5" s="12">
        <f>IF(COUNT(F3:F4)=0,"",SUM(F3:F4))</f>
        <v/>
      </c>
      <c r="G5" s="11">
        <f>JAN!G5</f>
        <v/>
      </c>
      <c r="H5" s="11">
        <f>FEB!G5</f>
        <v/>
      </c>
      <c r="I5" s="11">
        <f>MAR!G5</f>
        <v/>
      </c>
      <c r="J5" s="12">
        <f>IF(COUNT(J3:J4)=0,"",SUM(J3:J4))</f>
        <v/>
      </c>
      <c r="K5" s="11">
        <f>APR!G5</f>
        <v/>
      </c>
      <c r="L5" s="11">
        <f>MAY!G5</f>
        <v/>
      </c>
      <c r="M5" s="11">
        <f>JUN!G5</f>
        <v/>
      </c>
      <c r="N5" s="12">
        <f>IF(COUNT(N3:N4)=0,"",SUM(N3:N4))</f>
        <v/>
      </c>
      <c r="O5" s="11">
        <f>JUL!G5</f>
        <v/>
      </c>
      <c r="P5" s="11">
        <f>AUG!G5</f>
        <v/>
      </c>
      <c r="Q5" s="11">
        <f>SEP!G5</f>
        <v/>
      </c>
      <c r="R5" s="12">
        <f>IF(COUNT(R3:R4)=0,"",SUM(R3:R4))</f>
        <v/>
      </c>
      <c r="S5" s="12">
        <f>IF(COUNT(S3:S4)=0,"",SUM(S3:S4))</f>
        <v/>
      </c>
    </row>
    <row r="6" ht="18.75" customHeight="1">
      <c r="A6" s="3" t="n"/>
      <c r="B6" s="10" t="inlineStr">
        <is>
          <t>Headcount = 1.00</t>
        </is>
      </c>
      <c r="C6" s="11">
        <f>OCT!G6</f>
        <v/>
      </c>
      <c r="D6" s="11">
        <f>NOV!G6</f>
        <v/>
      </c>
      <c r="E6" s="11">
        <f>DEC!G6</f>
        <v/>
      </c>
      <c r="F6" s="12">
        <f>IFERROR(AVERAGE(C6:E6),"")</f>
        <v/>
      </c>
      <c r="G6" s="11">
        <f>JAN!G6</f>
        <v/>
      </c>
      <c r="H6" s="11">
        <f>FEB!G6</f>
        <v/>
      </c>
      <c r="I6" s="11">
        <f>MAR!G6</f>
        <v/>
      </c>
      <c r="J6" s="12">
        <f>IFERROR(AVERAGE(G6:I6),"")</f>
        <v/>
      </c>
      <c r="K6" s="11">
        <f>APR!G6</f>
        <v/>
      </c>
      <c r="L6" s="11">
        <f>MAY!G6</f>
        <v/>
      </c>
      <c r="M6" s="11">
        <f>JUN!G6</f>
        <v/>
      </c>
      <c r="N6" s="12">
        <f>IFERROR(AVERAGE(K6:M6),"")</f>
        <v/>
      </c>
      <c r="O6" s="11">
        <f>JUL!G6</f>
        <v/>
      </c>
      <c r="P6" s="11">
        <f>AUG!G6</f>
        <v/>
      </c>
      <c r="Q6" s="11">
        <f>SEP!G6</f>
        <v/>
      </c>
      <c r="R6" s="12">
        <f>IFERROR(AVERAGE(O6:Q6),"")</f>
        <v/>
      </c>
      <c r="S6" s="12">
        <f>IFERROR(AVERAGE(C6:E6,G6:I6,K6:M6,O6:Q6),"")</f>
        <v/>
      </c>
    </row>
    <row r="7" ht="18.75" customHeight="1">
      <c r="A7" s="3" t="n"/>
      <c r="B7" s="10" t="inlineStr">
        <is>
          <t>Headcount = 0.75</t>
        </is>
      </c>
      <c r="C7" s="11">
        <f>OCT!G7</f>
        <v/>
      </c>
      <c r="D7" s="11">
        <f>NOV!G7</f>
        <v/>
      </c>
      <c r="E7" s="11">
        <f>DEC!G7</f>
        <v/>
      </c>
      <c r="F7" s="12">
        <f>IFERROR(AVERAGE(C7:E7),"")</f>
        <v/>
      </c>
      <c r="G7" s="11">
        <f>JAN!G7</f>
        <v/>
      </c>
      <c r="H7" s="11">
        <f>FEB!G7</f>
        <v/>
      </c>
      <c r="I7" s="11">
        <f>MAR!G7</f>
        <v/>
      </c>
      <c r="J7" s="12">
        <f>IFERROR(AVERAGE(G7:I7),"")</f>
        <v/>
      </c>
      <c r="K7" s="11">
        <f>APR!G7</f>
        <v/>
      </c>
      <c r="L7" s="11">
        <f>MAY!G7</f>
        <v/>
      </c>
      <c r="M7" s="11">
        <f>JUN!G7</f>
        <v/>
      </c>
      <c r="N7" s="12">
        <f>IFERROR(AVERAGE(K7:M7),"")</f>
        <v/>
      </c>
      <c r="O7" s="11">
        <f>JUL!G7</f>
        <v/>
      </c>
      <c r="P7" s="11">
        <f>AUG!G7</f>
        <v/>
      </c>
      <c r="Q7" s="11">
        <f>SEP!G7</f>
        <v/>
      </c>
      <c r="R7" s="12">
        <f>IFERROR(AVERAGE(O7:Q7),"")</f>
        <v/>
      </c>
      <c r="S7" s="12">
        <f>IFERROR(AVERAGE(C7:E7,G7:I7,K7:M7,O7:Q7),"")</f>
        <v/>
      </c>
    </row>
    <row r="8" ht="18.75" customHeight="1">
      <c r="A8" s="3" t="n"/>
      <c r="B8" s="10" t="inlineStr">
        <is>
          <t>Headcount = 0.50</t>
        </is>
      </c>
      <c r="C8" s="11">
        <f>OCT!G8</f>
        <v/>
      </c>
      <c r="D8" s="11">
        <f>NOV!G8</f>
        <v/>
      </c>
      <c r="E8" s="11">
        <f>DEC!G8</f>
        <v/>
      </c>
      <c r="F8" s="12">
        <f>IFERROR(AVERAGE(C8:E8),"")</f>
        <v/>
      </c>
      <c r="G8" s="11">
        <f>JAN!G8</f>
        <v/>
      </c>
      <c r="H8" s="11">
        <f>FEB!G8</f>
        <v/>
      </c>
      <c r="I8" s="11">
        <f>MAR!G8</f>
        <v/>
      </c>
      <c r="J8" s="12">
        <f>IFERROR(AVERAGE(G8:I8),"")</f>
        <v/>
      </c>
      <c r="K8" s="11">
        <f>APR!G8</f>
        <v/>
      </c>
      <c r="L8" s="11">
        <f>MAY!G8</f>
        <v/>
      </c>
      <c r="M8" s="11">
        <f>JUN!G8</f>
        <v/>
      </c>
      <c r="N8" s="12">
        <f>IFERROR(AVERAGE(K8:M8),"")</f>
        <v/>
      </c>
      <c r="O8" s="11">
        <f>JUL!G8</f>
        <v/>
      </c>
      <c r="P8" s="11">
        <f>AUG!G8</f>
        <v/>
      </c>
      <c r="Q8" s="11">
        <f>SEP!G8</f>
        <v/>
      </c>
      <c r="R8" s="12">
        <f>IFERROR(AVERAGE(O8:Q8),"")</f>
        <v/>
      </c>
      <c r="S8" s="12">
        <f>IFERROR(AVERAGE(C8:E8,G8:I8,K8:M8,O8:Q8),"")</f>
        <v/>
      </c>
    </row>
    <row r="9" ht="18.75" customHeight="1">
      <c r="A9" s="3" t="n"/>
      <c r="B9" s="10" t="inlineStr">
        <is>
          <t>Headcount = 0.25</t>
        </is>
      </c>
      <c r="C9" s="11">
        <f>OCT!G9</f>
        <v/>
      </c>
      <c r="D9" s="11">
        <f>NOV!G9</f>
        <v/>
      </c>
      <c r="E9" s="11">
        <f>DEC!G9</f>
        <v/>
      </c>
      <c r="F9" s="12">
        <f>IFERROR(AVERAGE(C9:E9),"")</f>
        <v/>
      </c>
      <c r="G9" s="11">
        <f>JAN!G9</f>
        <v/>
      </c>
      <c r="H9" s="11">
        <f>FEB!G9</f>
        <v/>
      </c>
      <c r="I9" s="11">
        <f>MAR!G9</f>
        <v/>
      </c>
      <c r="J9" s="12">
        <f>IFERROR(AVERAGE(G9:I9),"")</f>
        <v/>
      </c>
      <c r="K9" s="11">
        <f>APR!G9</f>
        <v/>
      </c>
      <c r="L9" s="11">
        <f>MAY!G9</f>
        <v/>
      </c>
      <c r="M9" s="11">
        <f>JUN!G9</f>
        <v/>
      </c>
      <c r="N9" s="12">
        <f>IFERROR(AVERAGE(K9:M9),"")</f>
        <v/>
      </c>
      <c r="O9" s="11">
        <f>JUL!G9</f>
        <v/>
      </c>
      <c r="P9" s="11">
        <f>AUG!G9</f>
        <v/>
      </c>
      <c r="Q9" s="11">
        <f>SEP!G9</f>
        <v/>
      </c>
      <c r="R9" s="12">
        <f>IFERROR(AVERAGE(O9:Q9),"")</f>
        <v/>
      </c>
      <c r="S9" s="12">
        <f>IFERROR(AVERAGE(C9:E9,G9:I9,K9:M9,O9:Q9),"")</f>
        <v/>
      </c>
    </row>
    <row r="10" ht="18.75" customHeight="1">
      <c r="A10" s="3" t="n"/>
      <c r="B10" s="10" t="inlineStr">
        <is>
          <t>Standard Monthly Hours (FTE basis)</t>
        </is>
      </c>
      <c r="C10" s="14">
        <f>OCT!G10</f>
        <v/>
      </c>
      <c r="D10" s="14">
        <f>NOV!G10</f>
        <v/>
      </c>
      <c r="E10" s="14">
        <f>DEC!G10</f>
        <v/>
      </c>
      <c r="F10" s="15">
        <f>IFERROR(AVERAGE(C10:E10),"")</f>
        <v/>
      </c>
      <c r="G10" s="14">
        <f>JAN!G10</f>
        <v/>
      </c>
      <c r="H10" s="14">
        <f>FEB!G10</f>
        <v/>
      </c>
      <c r="I10" s="14">
        <f>MAR!G10</f>
        <v/>
      </c>
      <c r="J10" s="15">
        <f>IFERROR(AVERAGE(G10:I10),"")</f>
        <v/>
      </c>
      <c r="K10" s="14">
        <f>APR!G10</f>
        <v/>
      </c>
      <c r="L10" s="14">
        <f>MAY!G10</f>
        <v/>
      </c>
      <c r="M10" s="14">
        <f>JUN!G10</f>
        <v/>
      </c>
      <c r="N10" s="15">
        <f>IFERROR(AVERAGE(K10:M10),"")</f>
        <v/>
      </c>
      <c r="O10" s="14">
        <f>JUL!G10</f>
        <v/>
      </c>
      <c r="P10" s="14">
        <f>AUG!G10</f>
        <v/>
      </c>
      <c r="Q10" s="14">
        <f>SEP!G10</f>
        <v/>
      </c>
      <c r="R10" s="15">
        <f>IFERROR(AVERAGE(O10:Q10),"")</f>
        <v/>
      </c>
      <c r="S10" s="15">
        <f>IFERROR(AVERAGE(C10:E10,G10:I10,K10:M10,O10:Q10),"")</f>
        <v/>
      </c>
    </row>
    <row r="11" ht="18.75" customHeight="1">
      <c r="A11" s="3" t="n"/>
      <c r="B11" s="13" t="inlineStr">
        <is>
          <t>Employee FTE (Finance)</t>
        </is>
      </c>
      <c r="C11" s="16">
        <f>OCT!G11</f>
        <v/>
      </c>
      <c r="D11" s="16">
        <f>NOV!G11</f>
        <v/>
      </c>
      <c r="E11" s="16">
        <f>DEC!G11</f>
        <v/>
      </c>
      <c r="F11" s="17">
        <f>IF(COUNT(F6:F9)=0,"",N(F6)+N(F7)*0.75+N(F8)*0.5+N(F9)*0.25)</f>
        <v/>
      </c>
      <c r="G11" s="16">
        <f>JAN!G11</f>
        <v/>
      </c>
      <c r="H11" s="16">
        <f>FEB!G11</f>
        <v/>
      </c>
      <c r="I11" s="16">
        <f>MAR!G11</f>
        <v/>
      </c>
      <c r="J11" s="17">
        <f>IF(COUNT(J6:J9)=0,"",N(J6)+N(J7)*0.75+N(J8)*0.5+N(J9)*0.25)</f>
        <v/>
      </c>
      <c r="K11" s="16">
        <f>APR!G11</f>
        <v/>
      </c>
      <c r="L11" s="16">
        <f>MAY!G11</f>
        <v/>
      </c>
      <c r="M11" s="16">
        <f>JUN!G11</f>
        <v/>
      </c>
      <c r="N11" s="17">
        <f>IF(COUNT(N6:N9)=0,"",N(N6)+N(N7)*0.75+N(N8)*0.5+N(N9)*0.25)</f>
        <v/>
      </c>
      <c r="O11" s="16">
        <f>JUL!G11</f>
        <v/>
      </c>
      <c r="P11" s="16">
        <f>AUG!G11</f>
        <v/>
      </c>
      <c r="Q11" s="16">
        <f>SEP!G11</f>
        <v/>
      </c>
      <c r="R11" s="17">
        <f>IF(COUNT(R6:R9)=0,"",N(R6)+N(R7)*0.75+N(R8)*0.5+N(R9)*0.25)</f>
        <v/>
      </c>
      <c r="S11" s="17">
        <f>IF(COUNT(S6:S9)=0,"",N(S6)+N(S7)*0.75+N(S8)*0.5+N(S9)*0.25)</f>
        <v/>
      </c>
    </row>
    <row r="12" ht="18.75" customHeight="1">
      <c r="A12" s="3" t="n"/>
      <c r="B12" s="10" t="inlineStr">
        <is>
          <t>Subcontracted Workforce HC</t>
        </is>
      </c>
      <c r="C12" s="11">
        <f>OCT!G12</f>
        <v/>
      </c>
      <c r="D12" s="11">
        <f>NOV!G12</f>
        <v/>
      </c>
      <c r="E12" s="11">
        <f>DEC!G12</f>
        <v/>
      </c>
      <c r="F12" s="12">
        <f>IFERROR(AVERAGE(C12:E12),"")</f>
        <v/>
      </c>
      <c r="G12" s="11">
        <f>JAN!G12</f>
        <v/>
      </c>
      <c r="H12" s="11">
        <f>FEB!G12</f>
        <v/>
      </c>
      <c r="I12" s="11">
        <f>MAR!G12</f>
        <v/>
      </c>
      <c r="J12" s="12">
        <f>IFERROR(AVERAGE(G12:I12),"")</f>
        <v/>
      </c>
      <c r="K12" s="11">
        <f>APR!G12</f>
        <v/>
      </c>
      <c r="L12" s="11">
        <f>MAY!G12</f>
        <v/>
      </c>
      <c r="M12" s="11">
        <f>JUN!G12</f>
        <v/>
      </c>
      <c r="N12" s="12">
        <f>IFERROR(AVERAGE(K12:M12),"")</f>
        <v/>
      </c>
      <c r="O12" s="11">
        <f>JUL!G12</f>
        <v/>
      </c>
      <c r="P12" s="11">
        <f>AUG!G12</f>
        <v/>
      </c>
      <c r="Q12" s="11">
        <f>SEP!G12</f>
        <v/>
      </c>
      <c r="R12" s="12">
        <f>IFERROR(AVERAGE(O12:Q12),"")</f>
        <v/>
      </c>
      <c r="S12" s="12">
        <f>IFERROR(AVERAGE(C12:E12,G12:I12,K12:M12,O12:Q12),"")</f>
        <v/>
      </c>
    </row>
    <row r="13" ht="18.75" customHeight="1">
      <c r="A13" s="3" t="n"/>
      <c r="B13" s="10" t="inlineStr">
        <is>
          <t>Subcontracted Productive Hours</t>
        </is>
      </c>
      <c r="C13" s="14">
        <f>OCT!G13</f>
        <v/>
      </c>
      <c r="D13" s="14">
        <f>NOV!G13</f>
        <v/>
      </c>
      <c r="E13" s="14">
        <f>DEC!G13</f>
        <v/>
      </c>
      <c r="F13" s="15">
        <f>IFERROR(AVERAGE(C13:E13),"")</f>
        <v/>
      </c>
      <c r="G13" s="14">
        <f>JAN!G13</f>
        <v/>
      </c>
      <c r="H13" s="14">
        <f>FEB!G13</f>
        <v/>
      </c>
      <c r="I13" s="14">
        <f>MAR!G13</f>
        <v/>
      </c>
      <c r="J13" s="15">
        <f>IFERROR(AVERAGE(G13:I13),"")</f>
        <v/>
      </c>
      <c r="K13" s="14">
        <f>APR!G13</f>
        <v/>
      </c>
      <c r="L13" s="14">
        <f>MAY!G13</f>
        <v/>
      </c>
      <c r="M13" s="14">
        <f>JUN!G13</f>
        <v/>
      </c>
      <c r="N13" s="15">
        <f>IFERROR(AVERAGE(K13:M13),"")</f>
        <v/>
      </c>
      <c r="O13" s="14">
        <f>JUL!G13</f>
        <v/>
      </c>
      <c r="P13" s="14">
        <f>AUG!G13</f>
        <v/>
      </c>
      <c r="Q13" s="14">
        <f>SEP!G13</f>
        <v/>
      </c>
      <c r="R13" s="15">
        <f>IFERROR(AVERAGE(O13:Q13),"")</f>
        <v/>
      </c>
      <c r="S13" s="15">
        <f>IFERROR(AVERAGE(C13:E13,G13:I13,K13:M13,O13:Q13),"")</f>
        <v/>
      </c>
    </row>
    <row r="14" ht="18.75" customHeight="1">
      <c r="A14" s="3" t="n"/>
      <c r="B14" s="13" t="inlineStr">
        <is>
          <t>Subcontracted FTE</t>
        </is>
      </c>
      <c r="C14" s="16">
        <f>OCT!G14</f>
        <v/>
      </c>
      <c r="D14" s="16">
        <f>NOV!G14</f>
        <v/>
      </c>
      <c r="E14" s="16">
        <f>DEC!G14</f>
        <v/>
      </c>
      <c r="F14" s="17">
        <f>IFERROR(F13/F10,"")</f>
        <v/>
      </c>
      <c r="G14" s="16">
        <f>JAN!G14</f>
        <v/>
      </c>
      <c r="H14" s="16">
        <f>FEB!G14</f>
        <v/>
      </c>
      <c r="I14" s="16">
        <f>MAR!G14</f>
        <v/>
      </c>
      <c r="J14" s="17">
        <f>IFERROR(J13/J10,"")</f>
        <v/>
      </c>
      <c r="K14" s="16">
        <f>APR!G14</f>
        <v/>
      </c>
      <c r="L14" s="16">
        <f>MAY!G14</f>
        <v/>
      </c>
      <c r="M14" s="16">
        <f>JUN!G14</f>
        <v/>
      </c>
      <c r="N14" s="17">
        <f>IFERROR(N13/N10,"")</f>
        <v/>
      </c>
      <c r="O14" s="16">
        <f>JUL!G14</f>
        <v/>
      </c>
      <c r="P14" s="16">
        <f>AUG!G14</f>
        <v/>
      </c>
      <c r="Q14" s="16">
        <f>SEP!G14</f>
        <v/>
      </c>
      <c r="R14" s="17">
        <f>IFERROR(R13/R10,"")</f>
        <v/>
      </c>
      <c r="S14" s="17">
        <f>IFERROR(S13/S10,"")</f>
        <v/>
      </c>
    </row>
    <row r="15" ht="18.75" customHeight="1">
      <c r="A15" s="3" t="n"/>
      <c r="B15" s="18" t="inlineStr">
        <is>
          <t>Total Operational Workforce</t>
        </is>
      </c>
      <c r="C15" s="11">
        <f>OCT!G15</f>
        <v/>
      </c>
      <c r="D15" s="11">
        <f>NOV!G15</f>
        <v/>
      </c>
      <c r="E15" s="11">
        <f>DEC!G15</f>
        <v/>
      </c>
      <c r="F15" s="12">
        <f>IF(COUNT(F5,F12)=0,"",SUM(F5,F12))</f>
        <v/>
      </c>
      <c r="G15" s="11">
        <f>JAN!G15</f>
        <v/>
      </c>
      <c r="H15" s="11">
        <f>FEB!G15</f>
        <v/>
      </c>
      <c r="I15" s="11">
        <f>MAR!G15</f>
        <v/>
      </c>
      <c r="J15" s="12">
        <f>IF(COUNT(J5,J12)=0,"",SUM(J5,J12))</f>
        <v/>
      </c>
      <c r="K15" s="11">
        <f>APR!G15</f>
        <v/>
      </c>
      <c r="L15" s="11">
        <f>MAY!G15</f>
        <v/>
      </c>
      <c r="M15" s="11">
        <f>JUN!G15</f>
        <v/>
      </c>
      <c r="N15" s="12">
        <f>IF(COUNT(N5,N12)=0,"",SUM(N5,N12))</f>
        <v/>
      </c>
      <c r="O15" s="11">
        <f>JUL!G15</f>
        <v/>
      </c>
      <c r="P15" s="11">
        <f>AUG!G15</f>
        <v/>
      </c>
      <c r="Q15" s="11">
        <f>SEP!G15</f>
        <v/>
      </c>
      <c r="R15" s="12">
        <f>IF(COUNT(R5,R12)=0,"",SUM(R5,R12))</f>
        <v/>
      </c>
      <c r="S15" s="12">
        <f>IF(COUNT(S5,S12)=0,"",SUM(S5,S12))</f>
        <v/>
      </c>
    </row>
    <row r="16" ht="18.75" customHeight="1">
      <c r="A16" s="3" t="n"/>
      <c r="B16" s="18" t="inlineStr">
        <is>
          <t>Total Operational FTE</t>
        </is>
      </c>
      <c r="C16" s="16">
        <f>OCT!G16</f>
        <v/>
      </c>
      <c r="D16" s="16">
        <f>NOV!G16</f>
        <v/>
      </c>
      <c r="E16" s="16">
        <f>DEC!G16</f>
        <v/>
      </c>
      <c r="F16" s="17">
        <f>IF(COUNT(F11,F14)=0,"",SUM(F11,F14))</f>
        <v/>
      </c>
      <c r="G16" s="16">
        <f>JAN!G16</f>
        <v/>
      </c>
      <c r="H16" s="16">
        <f>FEB!G16</f>
        <v/>
      </c>
      <c r="I16" s="16">
        <f>MAR!G16</f>
        <v/>
      </c>
      <c r="J16" s="17">
        <f>IF(COUNT(J11,J14)=0,"",SUM(J11,J14))</f>
        <v/>
      </c>
      <c r="K16" s="16">
        <f>APR!G16</f>
        <v/>
      </c>
      <c r="L16" s="16">
        <f>MAY!G16</f>
        <v/>
      </c>
      <c r="M16" s="16">
        <f>JUN!G16</f>
        <v/>
      </c>
      <c r="N16" s="17">
        <f>IF(COUNT(N11,N14)=0,"",SUM(N11,N14))</f>
        <v/>
      </c>
      <c r="O16" s="16">
        <f>JUL!G16</f>
        <v/>
      </c>
      <c r="P16" s="16">
        <f>AUG!G16</f>
        <v/>
      </c>
      <c r="Q16" s="16">
        <f>SEP!G16</f>
        <v/>
      </c>
      <c r="R16" s="17">
        <f>IF(COUNT(R11,R14)=0,"",SUM(R11,R14))</f>
        <v/>
      </c>
      <c r="S16" s="17">
        <f>IF(COUNT(S11,S14)=0,"",SUM(S11,S14))</f>
        <v/>
      </c>
    </row>
    <row r="17" ht="18.75" customHeight="1">
      <c r="A17" s="3" t="n"/>
      <c r="B17" s="13" t="inlineStr">
        <is>
          <t>Subcontracted Share of Workforce (%)</t>
        </is>
      </c>
      <c r="C17" s="19">
        <f>OCT!G17</f>
        <v/>
      </c>
      <c r="D17" s="19">
        <f>NOV!G17</f>
        <v/>
      </c>
      <c r="E17" s="19">
        <f>DEC!G17</f>
        <v/>
      </c>
      <c r="F17" s="20">
        <f>IFERROR(F12/F15,"")</f>
        <v/>
      </c>
      <c r="G17" s="19">
        <f>JAN!G17</f>
        <v/>
      </c>
      <c r="H17" s="19">
        <f>FEB!G17</f>
        <v/>
      </c>
      <c r="I17" s="19">
        <f>MAR!G17</f>
        <v/>
      </c>
      <c r="J17" s="20">
        <f>IFERROR(J12/J15,"")</f>
        <v/>
      </c>
      <c r="K17" s="19">
        <f>APR!G17</f>
        <v/>
      </c>
      <c r="L17" s="19">
        <f>MAY!G17</f>
        <v/>
      </c>
      <c r="M17" s="19">
        <f>JUN!G17</f>
        <v/>
      </c>
      <c r="N17" s="20">
        <f>IFERROR(N12/N15,"")</f>
        <v/>
      </c>
      <c r="O17" s="19">
        <f>JUL!G17</f>
        <v/>
      </c>
      <c r="P17" s="19">
        <f>AUG!G17</f>
        <v/>
      </c>
      <c r="Q17" s="19">
        <f>SEP!G17</f>
        <v/>
      </c>
      <c r="R17" s="20">
        <f>IFERROR(R12/R15,"")</f>
        <v/>
      </c>
      <c r="S17" s="20">
        <f>IFERROR(S12/S15,"")</f>
        <v/>
      </c>
    </row>
    <row r="18" ht="18.75" customHeight="1">
      <c r="A18" s="3" t="n"/>
      <c r="B18" s="10" t="inlineStr">
        <is>
          <t>FTE HR Team</t>
        </is>
      </c>
      <c r="C18" s="11">
        <f>OCT!G18</f>
        <v/>
      </c>
      <c r="D18" s="11">
        <f>NOV!G18</f>
        <v/>
      </c>
      <c r="E18" s="11">
        <f>DEC!G18</f>
        <v/>
      </c>
      <c r="F18" s="12">
        <f>IFERROR(AVERAGE(C18:E18),"")</f>
        <v/>
      </c>
      <c r="G18" s="11">
        <f>JAN!G18</f>
        <v/>
      </c>
      <c r="H18" s="11">
        <f>FEB!G18</f>
        <v/>
      </c>
      <c r="I18" s="11">
        <f>MAR!G18</f>
        <v/>
      </c>
      <c r="J18" s="12">
        <f>IFERROR(AVERAGE(G18:I18),"")</f>
        <v/>
      </c>
      <c r="K18" s="11">
        <f>APR!G18</f>
        <v/>
      </c>
      <c r="L18" s="11">
        <f>MAY!G18</f>
        <v/>
      </c>
      <c r="M18" s="11">
        <f>JUN!G18</f>
        <v/>
      </c>
      <c r="N18" s="12">
        <f>IFERROR(AVERAGE(K18:M18),"")</f>
        <v/>
      </c>
      <c r="O18" s="11">
        <f>JUL!G18</f>
        <v/>
      </c>
      <c r="P18" s="11">
        <f>AUG!G18</f>
        <v/>
      </c>
      <c r="Q18" s="11">
        <f>SEP!G18</f>
        <v/>
      </c>
      <c r="R18" s="12">
        <f>IFERROR(AVERAGE(O18:Q18),"")</f>
        <v/>
      </c>
      <c r="S18" s="12">
        <f>IFERROR(AVERAGE(C18:E18,G18:I18,K18:M18,O18:Q18),"")</f>
        <v/>
      </c>
    </row>
    <row r="19" ht="18.75" customHeight="1">
      <c r="A19" s="3" t="n"/>
      <c r="B19" s="10" t="inlineStr">
        <is>
          <t>Permanent Hires</t>
        </is>
      </c>
      <c r="C19" s="11">
        <f>OCT!G19</f>
        <v/>
      </c>
      <c r="D19" s="11">
        <f>NOV!G19</f>
        <v/>
      </c>
      <c r="E19" s="11">
        <f>DEC!G19</f>
        <v/>
      </c>
      <c r="F19" s="12">
        <f>IF(COUNT(C19:E19)=0,"",SUM(C19:E19))</f>
        <v/>
      </c>
      <c r="G19" s="11">
        <f>JAN!G19</f>
        <v/>
      </c>
      <c r="H19" s="11">
        <f>FEB!G19</f>
        <v/>
      </c>
      <c r="I19" s="11">
        <f>MAR!G19</f>
        <v/>
      </c>
      <c r="J19" s="12">
        <f>IF(COUNT(G19:I19)=0,"",SUM(G19:I19))</f>
        <v/>
      </c>
      <c r="K19" s="11">
        <f>APR!G19</f>
        <v/>
      </c>
      <c r="L19" s="11">
        <f>MAY!G19</f>
        <v/>
      </c>
      <c r="M19" s="11">
        <f>JUN!G19</f>
        <v/>
      </c>
      <c r="N19" s="12">
        <f>IF(COUNT(K19:M19)=0,"",SUM(K19:M19))</f>
        <v/>
      </c>
      <c r="O19" s="11">
        <f>JUL!G19</f>
        <v/>
      </c>
      <c r="P19" s="11">
        <f>AUG!G19</f>
        <v/>
      </c>
      <c r="Q19" s="11">
        <f>SEP!G19</f>
        <v/>
      </c>
      <c r="R19" s="12">
        <f>IF(COUNT(O19:Q19)=0,"",SUM(O19:Q19))</f>
        <v/>
      </c>
      <c r="S19" s="12">
        <f>IF(COUNT(C19:E19,G19:I19,K19:M19,O19:Q19)=0,"",SUM(C19:E19,G19:I19,K19:M19,O19:Q19))</f>
        <v/>
      </c>
    </row>
    <row r="20" ht="18.75" customHeight="1">
      <c r="A20" s="3" t="n"/>
      <c r="B20" s="10" t="inlineStr">
        <is>
          <t>Temporary Hires</t>
        </is>
      </c>
      <c r="C20" s="11">
        <f>OCT!G20</f>
        <v/>
      </c>
      <c r="D20" s="11">
        <f>NOV!G20</f>
        <v/>
      </c>
      <c r="E20" s="11">
        <f>DEC!G20</f>
        <v/>
      </c>
      <c r="F20" s="12">
        <f>IF(COUNT(C20:E20)=0,"",SUM(C20:E20))</f>
        <v/>
      </c>
      <c r="G20" s="11">
        <f>JAN!G20</f>
        <v/>
      </c>
      <c r="H20" s="11">
        <f>FEB!G20</f>
        <v/>
      </c>
      <c r="I20" s="11">
        <f>MAR!G20</f>
        <v/>
      </c>
      <c r="J20" s="12">
        <f>IF(COUNT(G20:I20)=0,"",SUM(G20:I20))</f>
        <v/>
      </c>
      <c r="K20" s="11">
        <f>APR!G20</f>
        <v/>
      </c>
      <c r="L20" s="11">
        <f>MAY!G20</f>
        <v/>
      </c>
      <c r="M20" s="11">
        <f>JUN!G20</f>
        <v/>
      </c>
      <c r="N20" s="12">
        <f>IF(COUNT(K20:M20)=0,"",SUM(K20:M20))</f>
        <v/>
      </c>
      <c r="O20" s="11">
        <f>JUL!G20</f>
        <v/>
      </c>
      <c r="P20" s="11">
        <f>AUG!G20</f>
        <v/>
      </c>
      <c r="Q20" s="11">
        <f>SEP!G20</f>
        <v/>
      </c>
      <c r="R20" s="12">
        <f>IF(COUNT(O20:Q20)=0,"",SUM(O20:Q20))</f>
        <v/>
      </c>
      <c r="S20" s="12">
        <f>IF(COUNT(C20:E20,G20:I20,K20:M20,O20:Q20)=0,"",SUM(C20:E20,G20:I20,K20:M20,O20:Q20))</f>
        <v/>
      </c>
    </row>
    <row r="21" ht="18.75" customHeight="1">
      <c r="A21" s="3" t="n"/>
      <c r="B21" s="13" t="inlineStr">
        <is>
          <t>Total Hires</t>
        </is>
      </c>
      <c r="C21" s="11">
        <f>OCT!G21</f>
        <v/>
      </c>
      <c r="D21" s="11">
        <f>NOV!G21</f>
        <v/>
      </c>
      <c r="E21" s="11">
        <f>DEC!G21</f>
        <v/>
      </c>
      <c r="F21" s="12">
        <f>IF(COUNT(F19:F20)=0,"",SUM(F19:F20))</f>
        <v/>
      </c>
      <c r="G21" s="11">
        <f>JAN!G21</f>
        <v/>
      </c>
      <c r="H21" s="11">
        <f>FEB!G21</f>
        <v/>
      </c>
      <c r="I21" s="11">
        <f>MAR!G21</f>
        <v/>
      </c>
      <c r="J21" s="12">
        <f>IF(COUNT(J19:J20)=0,"",SUM(J19:J20))</f>
        <v/>
      </c>
      <c r="K21" s="11">
        <f>APR!G21</f>
        <v/>
      </c>
      <c r="L21" s="11">
        <f>MAY!G21</f>
        <v/>
      </c>
      <c r="M21" s="11">
        <f>JUN!G21</f>
        <v/>
      </c>
      <c r="N21" s="12">
        <f>IF(COUNT(N19:N20)=0,"",SUM(N19:N20))</f>
        <v/>
      </c>
      <c r="O21" s="11">
        <f>JUL!G21</f>
        <v/>
      </c>
      <c r="P21" s="11">
        <f>AUG!G21</f>
        <v/>
      </c>
      <c r="Q21" s="11">
        <f>SEP!G21</f>
        <v/>
      </c>
      <c r="R21" s="12">
        <f>IF(COUNT(R19:R20)=0,"",SUM(R19:R20))</f>
        <v/>
      </c>
      <c r="S21" s="12">
        <f>IF(COUNT(S19:S20)=0,"",SUM(S19:S20))</f>
        <v/>
      </c>
    </row>
    <row r="22" ht="18.75" customHeight="1">
      <c r="A22" s="3" t="n"/>
      <c r="B22" s="10" t="inlineStr">
        <is>
          <t>Permanent Exits</t>
        </is>
      </c>
      <c r="C22" s="11">
        <f>OCT!G22</f>
        <v/>
      </c>
      <c r="D22" s="11">
        <f>NOV!G22</f>
        <v/>
      </c>
      <c r="E22" s="11">
        <f>DEC!G22</f>
        <v/>
      </c>
      <c r="F22" s="12">
        <f>IF(COUNT(C22:E22)=0,"",SUM(C22:E22))</f>
        <v/>
      </c>
      <c r="G22" s="11">
        <f>JAN!G22</f>
        <v/>
      </c>
      <c r="H22" s="11">
        <f>FEB!G22</f>
        <v/>
      </c>
      <c r="I22" s="11">
        <f>MAR!G22</f>
        <v/>
      </c>
      <c r="J22" s="12">
        <f>IF(COUNT(G22:I22)=0,"",SUM(G22:I22))</f>
        <v/>
      </c>
      <c r="K22" s="11">
        <f>APR!G22</f>
        <v/>
      </c>
      <c r="L22" s="11">
        <f>MAY!G22</f>
        <v/>
      </c>
      <c r="M22" s="11">
        <f>JUN!G22</f>
        <v/>
      </c>
      <c r="N22" s="12">
        <f>IF(COUNT(K22:M22)=0,"",SUM(K22:M22))</f>
        <v/>
      </c>
      <c r="O22" s="11">
        <f>JUL!G22</f>
        <v/>
      </c>
      <c r="P22" s="11">
        <f>AUG!G22</f>
        <v/>
      </c>
      <c r="Q22" s="11">
        <f>SEP!G22</f>
        <v/>
      </c>
      <c r="R22" s="12">
        <f>IF(COUNT(O22:Q22)=0,"",SUM(O22:Q22))</f>
        <v/>
      </c>
      <c r="S22" s="12">
        <f>IF(COUNT(C22:E22,G22:I22,K22:M22,O22:Q22)=0,"",SUM(C22:E22,G22:I22,K22:M22,O22:Q22))</f>
        <v/>
      </c>
    </row>
    <row r="23" ht="18.75" customHeight="1">
      <c r="A23" s="3" t="n"/>
      <c r="B23" s="10" t="inlineStr">
        <is>
          <t>Temporary Exits</t>
        </is>
      </c>
      <c r="C23" s="11">
        <f>OCT!G23</f>
        <v/>
      </c>
      <c r="D23" s="11">
        <f>NOV!G23</f>
        <v/>
      </c>
      <c r="E23" s="11">
        <f>DEC!G23</f>
        <v/>
      </c>
      <c r="F23" s="12">
        <f>IF(COUNT(C23:E23)=0,"",SUM(C23:E23))</f>
        <v/>
      </c>
      <c r="G23" s="11">
        <f>JAN!G23</f>
        <v/>
      </c>
      <c r="H23" s="11">
        <f>FEB!G23</f>
        <v/>
      </c>
      <c r="I23" s="11">
        <f>MAR!G23</f>
        <v/>
      </c>
      <c r="J23" s="12">
        <f>IF(COUNT(G23:I23)=0,"",SUM(G23:I23))</f>
        <v/>
      </c>
      <c r="K23" s="11">
        <f>APR!G23</f>
        <v/>
      </c>
      <c r="L23" s="11">
        <f>MAY!G23</f>
        <v/>
      </c>
      <c r="M23" s="11">
        <f>JUN!G23</f>
        <v/>
      </c>
      <c r="N23" s="12">
        <f>IF(COUNT(K23:M23)=0,"",SUM(K23:M23))</f>
        <v/>
      </c>
      <c r="O23" s="11">
        <f>JUL!G23</f>
        <v/>
      </c>
      <c r="P23" s="11">
        <f>AUG!G23</f>
        <v/>
      </c>
      <c r="Q23" s="11">
        <f>SEP!G23</f>
        <v/>
      </c>
      <c r="R23" s="12">
        <f>IF(COUNT(O23:Q23)=0,"",SUM(O23:Q23))</f>
        <v/>
      </c>
      <c r="S23" s="12">
        <f>IF(COUNT(C23:E23,G23:I23,K23:M23,O23:Q23)=0,"",SUM(C23:E23,G23:I23,K23:M23,O23:Q23))</f>
        <v/>
      </c>
    </row>
    <row r="24" ht="18.75" customHeight="1">
      <c r="A24" s="3" t="n"/>
      <c r="B24" s="13" t="inlineStr">
        <is>
          <t>Total Exits</t>
        </is>
      </c>
      <c r="C24" s="11">
        <f>OCT!G24</f>
        <v/>
      </c>
      <c r="D24" s="11">
        <f>NOV!G24</f>
        <v/>
      </c>
      <c r="E24" s="11">
        <f>DEC!G24</f>
        <v/>
      </c>
      <c r="F24" s="12">
        <f>IF(COUNT(F22:F23)=0,"",SUM(F22:F23))</f>
        <v/>
      </c>
      <c r="G24" s="11">
        <f>JAN!G24</f>
        <v/>
      </c>
      <c r="H24" s="11">
        <f>FEB!G24</f>
        <v/>
      </c>
      <c r="I24" s="11">
        <f>MAR!G24</f>
        <v/>
      </c>
      <c r="J24" s="12">
        <f>IF(COUNT(J22:J23)=0,"",SUM(J22:J23))</f>
        <v/>
      </c>
      <c r="K24" s="11">
        <f>APR!G24</f>
        <v/>
      </c>
      <c r="L24" s="11">
        <f>MAY!G24</f>
        <v/>
      </c>
      <c r="M24" s="11">
        <f>JUN!G24</f>
        <v/>
      </c>
      <c r="N24" s="12">
        <f>IF(COUNT(N22:N23)=0,"",SUM(N22:N23))</f>
        <v/>
      </c>
      <c r="O24" s="11">
        <f>JUL!G24</f>
        <v/>
      </c>
      <c r="P24" s="11">
        <f>AUG!G24</f>
        <v/>
      </c>
      <c r="Q24" s="11">
        <f>SEP!G24</f>
        <v/>
      </c>
      <c r="R24" s="12">
        <f>IF(COUNT(R22:R23)=0,"",SUM(R22:R23))</f>
        <v/>
      </c>
      <c r="S24" s="12">
        <f>IF(COUNT(S22:S23)=0,"",SUM(S22:S23))</f>
        <v/>
      </c>
    </row>
    <row r="25" ht="18.75" customHeight="1">
      <c r="A25" s="3" t="n"/>
      <c r="B25" s="21" t="inlineStr">
        <is>
          <t>Permanent Turnover (%)</t>
        </is>
      </c>
      <c r="C25" s="19">
        <f>OCT!G25</f>
        <v/>
      </c>
      <c r="D25" s="19">
        <f>NOV!G25</f>
        <v/>
      </c>
      <c r="E25" s="19">
        <f>DEC!G25</f>
        <v/>
      </c>
      <c r="F25" s="20">
        <f>IF(COUNT(F31,F32)&lt;2,"",IF((F32+F31)=0,"",N(F22)/((F32+F31)/2)))</f>
        <v/>
      </c>
      <c r="G25" s="19">
        <f>JAN!G25</f>
        <v/>
      </c>
      <c r="H25" s="19">
        <f>FEB!G25</f>
        <v/>
      </c>
      <c r="I25" s="19">
        <f>MAR!G25</f>
        <v/>
      </c>
      <c r="J25" s="20">
        <f>IF(COUNT(J31,J32)&lt;2,"",IF((J32+J31)=0,"",N(J22)/((J32+J31)/2)))</f>
        <v/>
      </c>
      <c r="K25" s="19">
        <f>APR!G25</f>
        <v/>
      </c>
      <c r="L25" s="19">
        <f>MAY!G25</f>
        <v/>
      </c>
      <c r="M25" s="19">
        <f>JUN!G25</f>
        <v/>
      </c>
      <c r="N25" s="20">
        <f>IF(COUNT(N31,N32)&lt;2,"",IF((N32+N31)=0,"",N(N22)/((N32+N31)/2)))</f>
        <v/>
      </c>
      <c r="O25" s="19">
        <f>JUL!G25</f>
        <v/>
      </c>
      <c r="P25" s="19">
        <f>AUG!G25</f>
        <v/>
      </c>
      <c r="Q25" s="19">
        <f>SEP!G25</f>
        <v/>
      </c>
      <c r="R25" s="20">
        <f>IF(COUNT(R31,R32)&lt;2,"",IF((R32+R31)=0,"",N(R22)/((R32+R31)/2)))</f>
        <v/>
      </c>
      <c r="S25" s="20">
        <f>IF(COUNT(S31,S32)&lt;2,"",IF((S32+S31)=0,"",N(S22)/((S32+S31)/2)))</f>
        <v/>
      </c>
    </row>
    <row r="26" ht="18.75" customHeight="1">
      <c r="A26" s="3" t="n"/>
      <c r="B26" s="21" t="inlineStr">
        <is>
          <t>Temporary Turnover (%)</t>
        </is>
      </c>
      <c r="C26" s="19">
        <f>OCT!G26</f>
        <v/>
      </c>
      <c r="D26" s="19">
        <f>NOV!G26</f>
        <v/>
      </c>
      <c r="E26" s="19">
        <f>DEC!G26</f>
        <v/>
      </c>
      <c r="F26" s="20">
        <f>IF(COUNT(F31,F32)&lt;2,"",IF((F32+F31)=0,"",N(F23)/((F32+F31)/2)))</f>
        <v/>
      </c>
      <c r="G26" s="19">
        <f>JAN!G26</f>
        <v/>
      </c>
      <c r="H26" s="19">
        <f>FEB!G26</f>
        <v/>
      </c>
      <c r="I26" s="19">
        <f>MAR!G26</f>
        <v/>
      </c>
      <c r="J26" s="20">
        <f>IF(COUNT(J31,J32)&lt;2,"",IF((J32+J31)=0,"",N(J23)/((J32+J31)/2)))</f>
        <v/>
      </c>
      <c r="K26" s="19">
        <f>APR!G26</f>
        <v/>
      </c>
      <c r="L26" s="19">
        <f>MAY!G26</f>
        <v/>
      </c>
      <c r="M26" s="19">
        <f>JUN!G26</f>
        <v/>
      </c>
      <c r="N26" s="20">
        <f>IF(COUNT(N31,N32)&lt;2,"",IF((N32+N31)=0,"",N(N23)/((N32+N31)/2)))</f>
        <v/>
      </c>
      <c r="O26" s="19">
        <f>JUL!G26</f>
        <v/>
      </c>
      <c r="P26" s="19">
        <f>AUG!G26</f>
        <v/>
      </c>
      <c r="Q26" s="19">
        <f>SEP!G26</f>
        <v/>
      </c>
      <c r="R26" s="20">
        <f>IF(COUNT(R31,R32)&lt;2,"",IF((R32+R31)=0,"",N(R23)/((R32+R31)/2)))</f>
        <v/>
      </c>
      <c r="S26" s="20">
        <f>IF(COUNT(S31,S32)&lt;2,"",IF((S32+S31)=0,"",N(S23)/((S32+S31)/2)))</f>
        <v/>
      </c>
    </row>
    <row r="27" ht="18.75" customHeight="1">
      <c r="A27" s="3" t="n"/>
      <c r="B27" s="22" t="inlineStr">
        <is>
          <t>Voluntary Terminations</t>
        </is>
      </c>
      <c r="C27" s="11">
        <f>OCT!G27</f>
        <v/>
      </c>
      <c r="D27" s="11">
        <f>NOV!G27</f>
        <v/>
      </c>
      <c r="E27" s="11">
        <f>DEC!G27</f>
        <v/>
      </c>
      <c r="F27" s="12">
        <f>IF(COUNT(C27:E27)=0,"",SUM(C27:E27))</f>
        <v/>
      </c>
      <c r="G27" s="11">
        <f>JAN!G27</f>
        <v/>
      </c>
      <c r="H27" s="11">
        <f>FEB!G27</f>
        <v/>
      </c>
      <c r="I27" s="11">
        <f>MAR!G27</f>
        <v/>
      </c>
      <c r="J27" s="12">
        <f>IF(COUNT(G27:I27)=0,"",SUM(G27:I27))</f>
        <v/>
      </c>
      <c r="K27" s="11">
        <f>APR!G27</f>
        <v/>
      </c>
      <c r="L27" s="11">
        <f>MAY!G27</f>
        <v/>
      </c>
      <c r="M27" s="11">
        <f>JUN!G27</f>
        <v/>
      </c>
      <c r="N27" s="12">
        <f>IF(COUNT(K27:M27)=0,"",SUM(K27:M27))</f>
        <v/>
      </c>
      <c r="O27" s="11">
        <f>JUL!G27</f>
        <v/>
      </c>
      <c r="P27" s="11">
        <f>AUG!G27</f>
        <v/>
      </c>
      <c r="Q27" s="11">
        <f>SEP!G27</f>
        <v/>
      </c>
      <c r="R27" s="12">
        <f>IF(COUNT(O27:Q27)=0,"",SUM(O27:Q27))</f>
        <v/>
      </c>
      <c r="S27" s="12">
        <f>IF(COUNT(C27:E27,G27:I27,K27:M27,O27:Q27)=0,"",SUM(C27:E27,G27:I27,K27:M27,O27:Q27))</f>
        <v/>
      </c>
    </row>
    <row r="28" ht="18.75" customHeight="1">
      <c r="A28" s="3" t="n"/>
      <c r="B28" s="22" t="inlineStr">
        <is>
          <t>Involuntary Terminations</t>
        </is>
      </c>
      <c r="C28" s="11">
        <f>OCT!G28</f>
        <v/>
      </c>
      <c r="D28" s="11">
        <f>NOV!G28</f>
        <v/>
      </c>
      <c r="E28" s="11">
        <f>DEC!G28</f>
        <v/>
      </c>
      <c r="F28" s="12">
        <f>IF(COUNT(C28:E28)=0,"",SUM(C28:E28))</f>
        <v/>
      </c>
      <c r="G28" s="11">
        <f>JAN!G28</f>
        <v/>
      </c>
      <c r="H28" s="11">
        <f>FEB!G28</f>
        <v/>
      </c>
      <c r="I28" s="11">
        <f>MAR!G28</f>
        <v/>
      </c>
      <c r="J28" s="12">
        <f>IF(COUNT(G28:I28)=0,"",SUM(G28:I28))</f>
        <v/>
      </c>
      <c r="K28" s="11">
        <f>APR!G28</f>
        <v/>
      </c>
      <c r="L28" s="11">
        <f>MAY!G28</f>
        <v/>
      </c>
      <c r="M28" s="11">
        <f>JUN!G28</f>
        <v/>
      </c>
      <c r="N28" s="12">
        <f>IF(COUNT(K28:M28)=0,"",SUM(K28:M28))</f>
        <v/>
      </c>
      <c r="O28" s="11">
        <f>JUL!G28</f>
        <v/>
      </c>
      <c r="P28" s="11">
        <f>AUG!G28</f>
        <v/>
      </c>
      <c r="Q28" s="11">
        <f>SEP!G28</f>
        <v/>
      </c>
      <c r="R28" s="12">
        <f>IF(COUNT(O28:Q28)=0,"",SUM(O28:Q28))</f>
        <v/>
      </c>
      <c r="S28" s="12">
        <f>IF(COUNT(C28:E28,G28:I28,K28:M28,O28:Q28)=0,"",SUM(C28:E28,G28:I28,K28:M28,O28:Q28))</f>
        <v/>
      </c>
    </row>
    <row r="29" ht="18.75" customHeight="1">
      <c r="A29" s="3" t="n"/>
      <c r="B29" s="21" t="inlineStr">
        <is>
          <t>Voluntary Turnover (%)</t>
        </is>
      </c>
      <c r="C29" s="19">
        <f>OCT!G29</f>
        <v/>
      </c>
      <c r="D29" s="19">
        <f>NOV!G29</f>
        <v/>
      </c>
      <c r="E29" s="19">
        <f>DEC!G29</f>
        <v/>
      </c>
      <c r="F29" s="20">
        <f>IF(COUNT(F31,F32)&lt;2,"",IF((F32+F31)=0,"",N(F27)/((F32+F31)/2)))</f>
        <v/>
      </c>
      <c r="G29" s="19">
        <f>JAN!G29</f>
        <v/>
      </c>
      <c r="H29" s="19">
        <f>FEB!G29</f>
        <v/>
      </c>
      <c r="I29" s="19">
        <f>MAR!G29</f>
        <v/>
      </c>
      <c r="J29" s="20">
        <f>IF(COUNT(J31,J32)&lt;2,"",IF((J32+J31)=0,"",N(J27)/((J32+J31)/2)))</f>
        <v/>
      </c>
      <c r="K29" s="19">
        <f>APR!G29</f>
        <v/>
      </c>
      <c r="L29" s="19">
        <f>MAY!G29</f>
        <v/>
      </c>
      <c r="M29" s="19">
        <f>JUN!G29</f>
        <v/>
      </c>
      <c r="N29" s="20">
        <f>IF(COUNT(N31,N32)&lt;2,"",IF((N32+N31)=0,"",N(N27)/((N32+N31)/2)))</f>
        <v/>
      </c>
      <c r="O29" s="19">
        <f>JUL!G29</f>
        <v/>
      </c>
      <c r="P29" s="19">
        <f>AUG!G29</f>
        <v/>
      </c>
      <c r="Q29" s="19">
        <f>SEP!G29</f>
        <v/>
      </c>
      <c r="R29" s="20">
        <f>IF(COUNT(R31,R32)&lt;2,"",IF((R32+R31)=0,"",N(R27)/((R32+R31)/2)))</f>
        <v/>
      </c>
      <c r="S29" s="20">
        <f>IF(COUNT(S31,S32)&lt;2,"",IF((S32+S31)=0,"",N(S27)/((S32+S31)/2)))</f>
        <v/>
      </c>
    </row>
    <row r="30" ht="18.75" customHeight="1">
      <c r="A30" s="3" t="n"/>
      <c r="B30" s="21" t="inlineStr">
        <is>
          <t>Involuntary Turnover (%)</t>
        </is>
      </c>
      <c r="C30" s="19">
        <f>OCT!G30</f>
        <v/>
      </c>
      <c r="D30" s="19">
        <f>NOV!G30</f>
        <v/>
      </c>
      <c r="E30" s="19">
        <f>DEC!G30</f>
        <v/>
      </c>
      <c r="F30" s="20">
        <f>IF(COUNT(F31,F32)&lt;2,"",IF((F32+F31)=0,"",N(F28)/((F32+F31)/2)))</f>
        <v/>
      </c>
      <c r="G30" s="19">
        <f>JAN!G30</f>
        <v/>
      </c>
      <c r="H30" s="19">
        <f>FEB!G30</f>
        <v/>
      </c>
      <c r="I30" s="19">
        <f>MAR!G30</f>
        <v/>
      </c>
      <c r="J30" s="20">
        <f>IF(COUNT(J31,J32)&lt;2,"",IF((J32+J31)=0,"",N(J28)/((J32+J31)/2)))</f>
        <v/>
      </c>
      <c r="K30" s="19">
        <f>APR!G30</f>
        <v/>
      </c>
      <c r="L30" s="19">
        <f>MAY!G30</f>
        <v/>
      </c>
      <c r="M30" s="19">
        <f>JUN!G30</f>
        <v/>
      </c>
      <c r="N30" s="20">
        <f>IF(COUNT(N31,N32)&lt;2,"",IF((N32+N31)=0,"",N(N28)/((N32+N31)/2)))</f>
        <v/>
      </c>
      <c r="O30" s="19">
        <f>JUL!G30</f>
        <v/>
      </c>
      <c r="P30" s="19">
        <f>AUG!G30</f>
        <v/>
      </c>
      <c r="Q30" s="19">
        <f>SEP!G30</f>
        <v/>
      </c>
      <c r="R30" s="20">
        <f>IF(COUNT(R31,R32)&lt;2,"",IF((R32+R31)=0,"",N(R28)/((R32+R31)/2)))</f>
        <v/>
      </c>
      <c r="S30" s="20">
        <f>IF(COUNT(S31,S32)&lt;2,"",IF((S32+S31)=0,"",N(S28)/((S32+S31)/2)))</f>
        <v/>
      </c>
    </row>
    <row r="31" ht="18.75" customHeight="1">
      <c r="A31" s="3" t="n"/>
      <c r="B31" s="10" t="inlineStr">
        <is>
          <t>Headcount last Month</t>
        </is>
      </c>
      <c r="C31" s="11">
        <f>OCT!G31</f>
        <v/>
      </c>
      <c r="D31" s="11">
        <f>NOV!G31</f>
        <v/>
      </c>
      <c r="E31" s="11">
        <f>DEC!G31</f>
        <v/>
      </c>
      <c r="F31" s="12">
        <f>IFERROR(AVERAGE(C31:E31),"")</f>
        <v/>
      </c>
      <c r="G31" s="11">
        <f>JAN!G31</f>
        <v/>
      </c>
      <c r="H31" s="11">
        <f>FEB!G31</f>
        <v/>
      </c>
      <c r="I31" s="11">
        <f>MAR!G31</f>
        <v/>
      </c>
      <c r="J31" s="12">
        <f>IFERROR(AVERAGE(G31:I31),"")</f>
        <v/>
      </c>
      <c r="K31" s="11">
        <f>APR!G31</f>
        <v/>
      </c>
      <c r="L31" s="11">
        <f>MAY!G31</f>
        <v/>
      </c>
      <c r="M31" s="11">
        <f>JUN!G31</f>
        <v/>
      </c>
      <c r="N31" s="12">
        <f>IFERROR(AVERAGE(K31:M31),"")</f>
        <v/>
      </c>
      <c r="O31" s="11">
        <f>JUL!G31</f>
        <v/>
      </c>
      <c r="P31" s="11">
        <f>AUG!G31</f>
        <v/>
      </c>
      <c r="Q31" s="11">
        <f>SEP!G31</f>
        <v/>
      </c>
      <c r="R31" s="12">
        <f>IFERROR(AVERAGE(O31:Q31),"")</f>
        <v/>
      </c>
      <c r="S31" s="12">
        <f>IFERROR(AVERAGE(C31:E31,G31:I31,K31:M31,O31:Q31),"")</f>
        <v/>
      </c>
    </row>
    <row r="32" ht="18.75" customHeight="1">
      <c r="A32" s="3" t="n"/>
      <c r="B32" s="13" t="inlineStr">
        <is>
          <t>Headcount this Month</t>
        </is>
      </c>
      <c r="C32" s="11">
        <f>OCT!G32</f>
        <v/>
      </c>
      <c r="D32" s="11">
        <f>NOV!G32</f>
        <v/>
      </c>
      <c r="E32" s="11">
        <f>DEC!G32</f>
        <v/>
      </c>
      <c r="F32" s="12">
        <f>IFERROR(AVERAGE(C32:E32),"")</f>
        <v/>
      </c>
      <c r="G32" s="11">
        <f>JAN!G32</f>
        <v/>
      </c>
      <c r="H32" s="11">
        <f>FEB!G32</f>
        <v/>
      </c>
      <c r="I32" s="11">
        <f>MAR!G32</f>
        <v/>
      </c>
      <c r="J32" s="12">
        <f>IFERROR(AVERAGE(G32:I32),"")</f>
        <v/>
      </c>
      <c r="K32" s="11">
        <f>APR!G32</f>
        <v/>
      </c>
      <c r="L32" s="11">
        <f>MAY!G32</f>
        <v/>
      </c>
      <c r="M32" s="11">
        <f>JUN!G32</f>
        <v/>
      </c>
      <c r="N32" s="12">
        <f>IFERROR(AVERAGE(K32:M32),"")</f>
        <v/>
      </c>
      <c r="O32" s="11">
        <f>JUL!G32</f>
        <v/>
      </c>
      <c r="P32" s="11">
        <f>AUG!G32</f>
        <v/>
      </c>
      <c r="Q32" s="11">
        <f>SEP!G32</f>
        <v/>
      </c>
      <c r="R32" s="12">
        <f>IFERROR(AVERAGE(O32:Q32),"")</f>
        <v/>
      </c>
      <c r="S32" s="12">
        <f>IFERROR(AVERAGE(C32:E32,G32:I32,K32:M32,O32:Q32),"")</f>
        <v/>
      </c>
    </row>
    <row r="33" ht="18.75" customHeight="1">
      <c r="A33" s="3" t="n"/>
      <c r="B33" s="13" t="inlineStr">
        <is>
          <t>Full Turnover (%)</t>
        </is>
      </c>
      <c r="C33" s="19">
        <f>OCT!G33</f>
        <v/>
      </c>
      <c r="D33" s="19">
        <f>NOV!G33</f>
        <v/>
      </c>
      <c r="E33" s="19">
        <f>DEC!G33</f>
        <v/>
      </c>
      <c r="F33" s="20">
        <f>IF(COUNT(F31,F32)&lt;2,"",IF((F32+F31)=0,"",N(F24)/((F32+F31)/2)))</f>
        <v/>
      </c>
      <c r="G33" s="19">
        <f>JAN!G33</f>
        <v/>
      </c>
      <c r="H33" s="19">
        <f>FEB!G33</f>
        <v/>
      </c>
      <c r="I33" s="19">
        <f>MAR!G33</f>
        <v/>
      </c>
      <c r="J33" s="20">
        <f>IF(COUNT(J31,J32)&lt;2,"",IF((J32+J31)=0,"",N(J24)/((J32+J31)/2)))</f>
        <v/>
      </c>
      <c r="K33" s="19">
        <f>APR!G33</f>
        <v/>
      </c>
      <c r="L33" s="19">
        <f>MAY!G33</f>
        <v/>
      </c>
      <c r="M33" s="19">
        <f>JUN!G33</f>
        <v/>
      </c>
      <c r="N33" s="20">
        <f>IF(COUNT(N31,N32)&lt;2,"",IF((N32+N31)=0,"",N(N24)/((N32+N31)/2)))</f>
        <v/>
      </c>
      <c r="O33" s="19">
        <f>JUL!G33</f>
        <v/>
      </c>
      <c r="P33" s="19">
        <f>AUG!G33</f>
        <v/>
      </c>
      <c r="Q33" s="19">
        <f>SEP!G33</f>
        <v/>
      </c>
      <c r="R33" s="20">
        <f>IF(COUNT(R31,R32)&lt;2,"",IF((R32+R31)=0,"",N(R24)/((R32+R31)/2)))</f>
        <v/>
      </c>
      <c r="S33" s="20">
        <f>IF(COUNT(S31,S32)&lt;2,"",IF((S32+S31)=0,"",N(S24)/((S32+S31)/2)))</f>
        <v/>
      </c>
    </row>
    <row r="34" ht="18.75" customHeight="1">
      <c r="A34" s="3" t="n"/>
      <c r="B34" s="22" t="inlineStr">
        <is>
          <t>Permanent Vacancies</t>
        </is>
      </c>
      <c r="C34" s="11">
        <f>OCT!G34</f>
        <v/>
      </c>
      <c r="D34" s="11">
        <f>NOV!G34</f>
        <v/>
      </c>
      <c r="E34" s="11">
        <f>DEC!G34</f>
        <v/>
      </c>
      <c r="F34" s="12">
        <f>IFERROR(AVERAGE(C34:E34),"")</f>
        <v/>
      </c>
      <c r="G34" s="11">
        <f>JAN!G34</f>
        <v/>
      </c>
      <c r="H34" s="11">
        <f>FEB!G34</f>
        <v/>
      </c>
      <c r="I34" s="11">
        <f>MAR!G34</f>
        <v/>
      </c>
      <c r="J34" s="12">
        <f>IFERROR(AVERAGE(G34:I34),"")</f>
        <v/>
      </c>
      <c r="K34" s="11">
        <f>APR!G34</f>
        <v/>
      </c>
      <c r="L34" s="11">
        <f>MAY!G34</f>
        <v/>
      </c>
      <c r="M34" s="11">
        <f>JUN!G34</f>
        <v/>
      </c>
      <c r="N34" s="12">
        <f>IFERROR(AVERAGE(K34:M34),"")</f>
        <v/>
      </c>
      <c r="O34" s="11">
        <f>JUL!G34</f>
        <v/>
      </c>
      <c r="P34" s="11">
        <f>AUG!G34</f>
        <v/>
      </c>
      <c r="Q34" s="11">
        <f>SEP!G34</f>
        <v/>
      </c>
      <c r="R34" s="12">
        <f>IFERROR(AVERAGE(O34:Q34),"")</f>
        <v/>
      </c>
      <c r="S34" s="12">
        <f>IFERROR(AVERAGE(C34:E34,G34:I34,K34:M34,O34:Q34),"")</f>
        <v/>
      </c>
    </row>
    <row r="35" ht="18.75" customHeight="1">
      <c r="A35" s="3" t="n"/>
      <c r="B35" s="22" t="inlineStr">
        <is>
          <t>Temporary Vacancies</t>
        </is>
      </c>
      <c r="C35" s="11">
        <f>OCT!G35</f>
        <v/>
      </c>
      <c r="D35" s="11">
        <f>NOV!G35</f>
        <v/>
      </c>
      <c r="E35" s="11">
        <f>DEC!G35</f>
        <v/>
      </c>
      <c r="F35" s="12">
        <f>IFERROR(AVERAGE(C35:E35),"")</f>
        <v/>
      </c>
      <c r="G35" s="11">
        <f>JAN!G35</f>
        <v/>
      </c>
      <c r="H35" s="11">
        <f>FEB!G35</f>
        <v/>
      </c>
      <c r="I35" s="11">
        <f>MAR!G35</f>
        <v/>
      </c>
      <c r="J35" s="12">
        <f>IFERROR(AVERAGE(G35:I35),"")</f>
        <v/>
      </c>
      <c r="K35" s="11">
        <f>APR!G35</f>
        <v/>
      </c>
      <c r="L35" s="11">
        <f>MAY!G35</f>
        <v/>
      </c>
      <c r="M35" s="11">
        <f>JUN!G35</f>
        <v/>
      </c>
      <c r="N35" s="12">
        <f>IFERROR(AVERAGE(K35:M35),"")</f>
        <v/>
      </c>
      <c r="O35" s="11">
        <f>JUL!G35</f>
        <v/>
      </c>
      <c r="P35" s="11">
        <f>AUG!G35</f>
        <v/>
      </c>
      <c r="Q35" s="11">
        <f>SEP!G35</f>
        <v/>
      </c>
      <c r="R35" s="12">
        <f>IFERROR(AVERAGE(O35:Q35),"")</f>
        <v/>
      </c>
      <c r="S35" s="12">
        <f>IFERROR(AVERAGE(C35:E35,G35:I35,K35:M35,O35:Q35),"")</f>
        <v/>
      </c>
    </row>
    <row r="36" ht="18.75" customHeight="1">
      <c r="A36" s="3" t="n"/>
      <c r="B36" s="13" t="inlineStr">
        <is>
          <t>Total Vacancies</t>
        </is>
      </c>
      <c r="C36" s="11">
        <f>OCT!G36</f>
        <v/>
      </c>
      <c r="D36" s="11">
        <f>NOV!G36</f>
        <v/>
      </c>
      <c r="E36" s="11">
        <f>DEC!G36</f>
        <v/>
      </c>
      <c r="F36" s="12">
        <f>IF(COUNT(F34:F35)=0,"",SUM(F34:F35))</f>
        <v/>
      </c>
      <c r="G36" s="11">
        <f>JAN!G36</f>
        <v/>
      </c>
      <c r="H36" s="11">
        <f>FEB!G36</f>
        <v/>
      </c>
      <c r="I36" s="11">
        <f>MAR!G36</f>
        <v/>
      </c>
      <c r="J36" s="12">
        <f>IF(COUNT(J34:J35)=0,"",SUM(J34:J35))</f>
        <v/>
      </c>
      <c r="K36" s="11">
        <f>APR!G36</f>
        <v/>
      </c>
      <c r="L36" s="11">
        <f>MAY!G36</f>
        <v/>
      </c>
      <c r="M36" s="11">
        <f>JUN!G36</f>
        <v/>
      </c>
      <c r="N36" s="12">
        <f>IF(COUNT(N34:N35)=0,"",SUM(N34:N35))</f>
        <v/>
      </c>
      <c r="O36" s="11">
        <f>JUL!G36</f>
        <v/>
      </c>
      <c r="P36" s="11">
        <f>AUG!G36</f>
        <v/>
      </c>
      <c r="Q36" s="11">
        <f>SEP!G36</f>
        <v/>
      </c>
      <c r="R36" s="12">
        <f>IF(COUNT(R34:R35)=0,"",SUM(R34:R35))</f>
        <v/>
      </c>
      <c r="S36" s="12">
        <f>IF(COUNT(S34:S35)=0,"",SUM(S34:S35))</f>
        <v/>
      </c>
    </row>
    <row r="37" ht="18.75" customHeight="1">
      <c r="A37" s="3" t="n"/>
      <c r="B37" s="13" t="inlineStr">
        <is>
          <t>Authorized Positions</t>
        </is>
      </c>
      <c r="C37" s="11">
        <f>OCT!G37</f>
        <v/>
      </c>
      <c r="D37" s="11">
        <f>NOV!G37</f>
        <v/>
      </c>
      <c r="E37" s="11">
        <f>DEC!G37</f>
        <v/>
      </c>
      <c r="F37" s="12">
        <f>IF(COUNT(F5,F36)=0,"",N(F5)+N(F36))</f>
        <v/>
      </c>
      <c r="G37" s="11">
        <f>JAN!G37</f>
        <v/>
      </c>
      <c r="H37" s="11">
        <f>FEB!G37</f>
        <v/>
      </c>
      <c r="I37" s="11">
        <f>MAR!G37</f>
        <v/>
      </c>
      <c r="J37" s="12">
        <f>IF(COUNT(J5,J36)=0,"",N(J5)+N(J36))</f>
        <v/>
      </c>
      <c r="K37" s="11">
        <f>APR!G37</f>
        <v/>
      </c>
      <c r="L37" s="11">
        <f>MAY!G37</f>
        <v/>
      </c>
      <c r="M37" s="11">
        <f>JUN!G37</f>
        <v/>
      </c>
      <c r="N37" s="12">
        <f>IF(COUNT(N5,N36)=0,"",N(N5)+N(N36))</f>
        <v/>
      </c>
      <c r="O37" s="11">
        <f>JUL!G37</f>
        <v/>
      </c>
      <c r="P37" s="11">
        <f>AUG!G37</f>
        <v/>
      </c>
      <c r="Q37" s="11">
        <f>SEP!G37</f>
        <v/>
      </c>
      <c r="R37" s="12">
        <f>IF(COUNT(R5,R36)=0,"",N(R5)+N(R36))</f>
        <v/>
      </c>
      <c r="S37" s="12">
        <f>IF(COUNT(S5,S36)=0,"",N(S5)+N(S36))</f>
        <v/>
      </c>
    </row>
    <row r="38" ht="18.75" customHeight="1">
      <c r="A38" s="3" t="n"/>
      <c r="B38" s="13" t="inlineStr">
        <is>
          <t>Vacancy Rate (%)</t>
        </is>
      </c>
      <c r="C38" s="19">
        <f>OCT!G38</f>
        <v/>
      </c>
      <c r="D38" s="19">
        <f>NOV!G38</f>
        <v/>
      </c>
      <c r="E38" s="19">
        <f>DEC!G38</f>
        <v/>
      </c>
      <c r="F38" s="20">
        <f>IFERROR(F36/F37,"")</f>
        <v/>
      </c>
      <c r="G38" s="19">
        <f>JAN!G38</f>
        <v/>
      </c>
      <c r="H38" s="19">
        <f>FEB!G38</f>
        <v/>
      </c>
      <c r="I38" s="19">
        <f>MAR!G38</f>
        <v/>
      </c>
      <c r="J38" s="20">
        <f>IFERROR(J36/J37,"")</f>
        <v/>
      </c>
      <c r="K38" s="19">
        <f>APR!G38</f>
        <v/>
      </c>
      <c r="L38" s="19">
        <f>MAY!G38</f>
        <v/>
      </c>
      <c r="M38" s="19">
        <f>JUN!G38</f>
        <v/>
      </c>
      <c r="N38" s="20">
        <f>IFERROR(N36/N37,"")</f>
        <v/>
      </c>
      <c r="O38" s="19">
        <f>JUL!G38</f>
        <v/>
      </c>
      <c r="P38" s="19">
        <f>AUG!G38</f>
        <v/>
      </c>
      <c r="Q38" s="19">
        <f>SEP!G38</f>
        <v/>
      </c>
      <c r="R38" s="20">
        <f>IFERROR(R36/R37,"")</f>
        <v/>
      </c>
      <c r="S38" s="20">
        <f>IFERROR(S36/S37,"")</f>
        <v/>
      </c>
    </row>
    <row r="39" ht="18.75" customHeight="1">
      <c r="A39" s="3" t="n"/>
      <c r="B39" s="10" t="inlineStr">
        <is>
          <t>Permanent TimeToHire (Days) YTD</t>
        </is>
      </c>
      <c r="C39" s="14">
        <f>OCT!G39</f>
        <v/>
      </c>
      <c r="D39" s="14">
        <f>NOV!G39</f>
        <v/>
      </c>
      <c r="E39" s="14">
        <f>DEC!G39</f>
        <v/>
      </c>
      <c r="F39" s="15">
        <f>IFERROR(LOOKUP(2,1/ISNUMBER(C39:E39),C39:E39),"")</f>
        <v/>
      </c>
      <c r="G39" s="14">
        <f>JAN!G39</f>
        <v/>
      </c>
      <c r="H39" s="14">
        <f>FEB!G39</f>
        <v/>
      </c>
      <c r="I39" s="14">
        <f>MAR!G39</f>
        <v/>
      </c>
      <c r="J39" s="15">
        <f>IFERROR(LOOKUP(2,1/ISNUMBER(G39:I39),G39:I39),"")</f>
        <v/>
      </c>
      <c r="K39" s="14">
        <f>APR!G39</f>
        <v/>
      </c>
      <c r="L39" s="14">
        <f>MAY!G39</f>
        <v/>
      </c>
      <c r="M39" s="14">
        <f>JUN!G39</f>
        <v/>
      </c>
      <c r="N39" s="15">
        <f>IFERROR(LOOKUP(2,1/ISNUMBER(K39:M39),K39:M39),"")</f>
        <v/>
      </c>
      <c r="O39" s="14">
        <f>JUL!G39</f>
        <v/>
      </c>
      <c r="P39" s="14">
        <f>AUG!G39</f>
        <v/>
      </c>
      <c r="Q39" s="14">
        <f>SEP!G39</f>
        <v/>
      </c>
      <c r="R39" s="15">
        <f>IFERROR(LOOKUP(2,1/ISNUMBER(O39:Q39),O39:Q39),"")</f>
        <v/>
      </c>
      <c r="S39" s="15">
        <f>IFERROR(LOOKUP(2,1/ISNUMBER(C39:Q39),C39:Q39),"")</f>
        <v/>
      </c>
    </row>
    <row r="40" ht="18.75" customHeight="1">
      <c r="A40" s="3" t="n"/>
      <c r="B40" s="10" t="inlineStr">
        <is>
          <t>Temporary TimeToHire (Days) YTD</t>
        </is>
      </c>
      <c r="C40" s="14">
        <f>OCT!G40</f>
        <v/>
      </c>
      <c r="D40" s="14">
        <f>NOV!G40</f>
        <v/>
      </c>
      <c r="E40" s="14">
        <f>DEC!G40</f>
        <v/>
      </c>
      <c r="F40" s="15">
        <f>IFERROR(LOOKUP(2,1/ISNUMBER(C40:E40),C40:E40),"")</f>
        <v/>
      </c>
      <c r="G40" s="14">
        <f>JAN!G40</f>
        <v/>
      </c>
      <c r="H40" s="14">
        <f>FEB!G40</f>
        <v/>
      </c>
      <c r="I40" s="14">
        <f>MAR!G40</f>
        <v/>
      </c>
      <c r="J40" s="15">
        <f>IFERROR(LOOKUP(2,1/ISNUMBER(G40:I40),G40:I40),"")</f>
        <v/>
      </c>
      <c r="K40" s="14">
        <f>APR!G40</f>
        <v/>
      </c>
      <c r="L40" s="14">
        <f>MAY!G40</f>
        <v/>
      </c>
      <c r="M40" s="14">
        <f>JUN!G40</f>
        <v/>
      </c>
      <c r="N40" s="15">
        <f>IFERROR(LOOKUP(2,1/ISNUMBER(K40:M40),K40:M40),"")</f>
        <v/>
      </c>
      <c r="O40" s="14">
        <f>JUL!G40</f>
        <v/>
      </c>
      <c r="P40" s="14">
        <f>AUG!G40</f>
        <v/>
      </c>
      <c r="Q40" s="14">
        <f>SEP!G40</f>
        <v/>
      </c>
      <c r="R40" s="15">
        <f>IFERROR(LOOKUP(2,1/ISNUMBER(O40:Q40),O40:Q40),"")</f>
        <v/>
      </c>
      <c r="S40" s="15">
        <f>IFERROR(LOOKUP(2,1/ISNUMBER(C40:Q40),C40:Q40),"")</f>
        <v/>
      </c>
    </row>
    <row r="41" ht="18.75" customHeight="1">
      <c r="A41" s="3" t="n"/>
      <c r="B41" s="13" t="inlineStr">
        <is>
          <t>Check-ins Rate Completed (%)</t>
        </is>
      </c>
      <c r="C41" s="23">
        <f>OCT!G41</f>
        <v/>
      </c>
      <c r="D41" s="23">
        <f>NOV!G41</f>
        <v/>
      </c>
      <c r="E41" s="23">
        <f>DEC!G41</f>
        <v/>
      </c>
      <c r="F41" s="24">
        <f>IFERROR(AVERAGE(C41:E41),"")</f>
        <v/>
      </c>
      <c r="G41" s="23">
        <f>JAN!G41</f>
        <v/>
      </c>
      <c r="H41" s="23">
        <f>FEB!G41</f>
        <v/>
      </c>
      <c r="I41" s="23">
        <f>MAR!G41</f>
        <v/>
      </c>
      <c r="J41" s="24">
        <f>IFERROR(AVERAGE(G41:I41),"")</f>
        <v/>
      </c>
      <c r="K41" s="23">
        <f>APR!G41</f>
        <v/>
      </c>
      <c r="L41" s="23">
        <f>MAY!G41</f>
        <v/>
      </c>
      <c r="M41" s="23">
        <f>JUN!G41</f>
        <v/>
      </c>
      <c r="N41" s="24">
        <f>IFERROR(AVERAGE(K41:M41),"")</f>
        <v/>
      </c>
      <c r="O41" s="23">
        <f>JUL!G41</f>
        <v/>
      </c>
      <c r="P41" s="23">
        <f>AUG!G41</f>
        <v/>
      </c>
      <c r="Q41" s="23">
        <f>SEP!G41</f>
        <v/>
      </c>
      <c r="R41" s="24">
        <f>IFERROR(AVERAGE(O41:Q41),"")</f>
        <v/>
      </c>
      <c r="S41" s="24">
        <f>IFERROR(AVERAGE(C41:E41,G41:I41,K41:M41,O41:Q41),"")</f>
        <v/>
      </c>
    </row>
    <row r="42" ht="18.75" customHeight="1">
      <c r="A42" s="3" t="n"/>
      <c r="B42" s="10" t="inlineStr">
        <is>
          <t>EE Objectives Completed (#)</t>
        </is>
      </c>
      <c r="C42" s="11">
        <f>OCT!G42</f>
        <v/>
      </c>
      <c r="D42" s="11">
        <f>NOV!G42</f>
        <v/>
      </c>
      <c r="E42" s="11">
        <f>DEC!G42</f>
        <v/>
      </c>
      <c r="F42" s="12">
        <f>IF(COUNT(C42:E42)=0,"",SUM(C42:E42))</f>
        <v/>
      </c>
      <c r="G42" s="11">
        <f>JAN!G42</f>
        <v/>
      </c>
      <c r="H42" s="11">
        <f>FEB!G42</f>
        <v/>
      </c>
      <c r="I42" s="11">
        <f>MAR!G42</f>
        <v/>
      </c>
      <c r="J42" s="12">
        <f>IF(COUNT(G42:I42)=0,"",SUM(G42:I42))</f>
        <v/>
      </c>
      <c r="K42" s="11">
        <f>APR!G42</f>
        <v/>
      </c>
      <c r="L42" s="11">
        <f>MAY!G42</f>
        <v/>
      </c>
      <c r="M42" s="11">
        <f>JUN!G42</f>
        <v/>
      </c>
      <c r="N42" s="12">
        <f>IF(COUNT(K42:M42)=0,"",SUM(K42:M42))</f>
        <v/>
      </c>
      <c r="O42" s="11">
        <f>JUL!G42</f>
        <v/>
      </c>
      <c r="P42" s="11">
        <f>AUG!G42</f>
        <v/>
      </c>
      <c r="Q42" s="11">
        <f>SEP!G42</f>
        <v/>
      </c>
      <c r="R42" s="12">
        <f>IF(COUNT(O42:Q42)=0,"",SUM(O42:Q42))</f>
        <v/>
      </c>
      <c r="S42" s="12">
        <f>IF(COUNT(C42:E42,G42:I42,K42:M42,O42:Q42)=0,"",SUM(C42:E42,G42:I42,K42:M42,O42:Q42))</f>
        <v/>
      </c>
    </row>
    <row r="43" ht="18.75" customHeight="1">
      <c r="A43" s="3" t="n"/>
      <c r="B43" s="10" t="inlineStr">
        <is>
          <t>Non-certified Absent (Days Lost)</t>
        </is>
      </c>
      <c r="C43" s="14">
        <f>OCT!G43</f>
        <v/>
      </c>
      <c r="D43" s="14">
        <f>NOV!G43</f>
        <v/>
      </c>
      <c r="E43" s="14">
        <f>DEC!G43</f>
        <v/>
      </c>
      <c r="F43" s="15">
        <f>IF(COUNT(C43:E43)=0,"",SUM(C43:E43))</f>
        <v/>
      </c>
      <c r="G43" s="14">
        <f>JAN!G43</f>
        <v/>
      </c>
      <c r="H43" s="14">
        <f>FEB!G43</f>
        <v/>
      </c>
      <c r="I43" s="14">
        <f>MAR!G43</f>
        <v/>
      </c>
      <c r="J43" s="15">
        <f>IF(COUNT(G43:I43)=0,"",SUM(G43:I43))</f>
        <v/>
      </c>
      <c r="K43" s="14">
        <f>APR!G43</f>
        <v/>
      </c>
      <c r="L43" s="14">
        <f>MAY!G43</f>
        <v/>
      </c>
      <c r="M43" s="14">
        <f>JUN!G43</f>
        <v/>
      </c>
      <c r="N43" s="15">
        <f>IF(COUNT(K43:M43)=0,"",SUM(K43:M43))</f>
        <v/>
      </c>
      <c r="O43" s="14">
        <f>JUL!G43</f>
        <v/>
      </c>
      <c r="P43" s="14">
        <f>AUG!G43</f>
        <v/>
      </c>
      <c r="Q43" s="14">
        <f>SEP!G43</f>
        <v/>
      </c>
      <c r="R43" s="15">
        <f>IF(COUNT(O43:Q43)=0,"",SUM(O43:Q43))</f>
        <v/>
      </c>
      <c r="S43" s="15">
        <f>IF(COUNT(C43:E43,G43:I43,K43:M43,O43:Q43)=0,"",SUM(C43:E43,G43:I43,K43:M43,O43:Q43))</f>
        <v/>
      </c>
    </row>
    <row r="44" ht="18.75" customHeight="1">
      <c r="A44" s="3" t="n"/>
      <c r="B44" s="10" t="inlineStr">
        <is>
          <t>Certified sick leave (Days Lost)</t>
        </is>
      </c>
      <c r="C44" s="14">
        <f>OCT!G44</f>
        <v/>
      </c>
      <c r="D44" s="14">
        <f>NOV!G44</f>
        <v/>
      </c>
      <c r="E44" s="14">
        <f>DEC!G44</f>
        <v/>
      </c>
      <c r="F44" s="15">
        <f>IF(COUNT(C44:E44)=0,"",SUM(C44:E44))</f>
        <v/>
      </c>
      <c r="G44" s="14">
        <f>JAN!G44</f>
        <v/>
      </c>
      <c r="H44" s="14">
        <f>FEB!G44</f>
        <v/>
      </c>
      <c r="I44" s="14">
        <f>MAR!G44</f>
        <v/>
      </c>
      <c r="J44" s="15">
        <f>IF(COUNT(G44:I44)=0,"",SUM(G44:I44))</f>
        <v/>
      </c>
      <c r="K44" s="14">
        <f>APR!G44</f>
        <v/>
      </c>
      <c r="L44" s="14">
        <f>MAY!G44</f>
        <v/>
      </c>
      <c r="M44" s="14">
        <f>JUN!G44</f>
        <v/>
      </c>
      <c r="N44" s="15">
        <f>IF(COUNT(K44:M44)=0,"",SUM(K44:M44))</f>
        <v/>
      </c>
      <c r="O44" s="14">
        <f>JUL!G44</f>
        <v/>
      </c>
      <c r="P44" s="14">
        <f>AUG!G44</f>
        <v/>
      </c>
      <c r="Q44" s="14">
        <f>SEP!G44</f>
        <v/>
      </c>
      <c r="R44" s="15">
        <f>IF(COUNT(O44:Q44)=0,"",SUM(O44:Q44))</f>
        <v/>
      </c>
      <c r="S44" s="15">
        <f>IF(COUNT(C44:E44,G44:I44,K44:M44,O44:Q44)=0,"",SUM(C44:E44,G44:I44,K44:M44,O44:Q44))</f>
        <v/>
      </c>
    </row>
    <row r="45" ht="18.75" customHeight="1">
      <c r="A45" s="3" t="n"/>
      <c r="B45" s="18" t="inlineStr">
        <is>
          <t>Total Absences</t>
        </is>
      </c>
      <c r="C45" s="14">
        <f>OCT!G45</f>
        <v/>
      </c>
      <c r="D45" s="14">
        <f>NOV!G45</f>
        <v/>
      </c>
      <c r="E45" s="14">
        <f>DEC!G45</f>
        <v/>
      </c>
      <c r="F45" s="15">
        <f>IF(COUNT(F43:F44)=0,"",SUM(F43:F44))</f>
        <v/>
      </c>
      <c r="G45" s="14">
        <f>JAN!G45</f>
        <v/>
      </c>
      <c r="H45" s="14">
        <f>FEB!G45</f>
        <v/>
      </c>
      <c r="I45" s="14">
        <f>MAR!G45</f>
        <v/>
      </c>
      <c r="J45" s="15">
        <f>IF(COUNT(J43:J44)=0,"",SUM(J43:J44))</f>
        <v/>
      </c>
      <c r="K45" s="14">
        <f>APR!G45</f>
        <v/>
      </c>
      <c r="L45" s="14">
        <f>MAY!G45</f>
        <v/>
      </c>
      <c r="M45" s="14">
        <f>JUN!G45</f>
        <v/>
      </c>
      <c r="N45" s="15">
        <f>IF(COUNT(N43:N44)=0,"",SUM(N43:N44))</f>
        <v/>
      </c>
      <c r="O45" s="14">
        <f>JUL!G45</f>
        <v/>
      </c>
      <c r="P45" s="14">
        <f>AUG!G45</f>
        <v/>
      </c>
      <c r="Q45" s="14">
        <f>SEP!G45</f>
        <v/>
      </c>
      <c r="R45" s="15">
        <f>IF(COUNT(R43:R44)=0,"",SUM(R43:R44))</f>
        <v/>
      </c>
      <c r="S45" s="15">
        <f>IF(COUNT(S43:S44)=0,"",SUM(S43:S44))</f>
        <v/>
      </c>
    </row>
    <row r="46" ht="18.75" customHeight="1">
      <c r="A46" s="3" t="n"/>
      <c r="B46" s="13" t="inlineStr">
        <is>
          <t>Absent Rate Non-Certified (%)</t>
        </is>
      </c>
      <c r="C46" s="19">
        <f>OCT!G46</f>
        <v/>
      </c>
      <c r="D46" s="19">
        <f>NOV!G46</f>
        <v/>
      </c>
      <c r="E46" s="19">
        <f>DEC!G46</f>
        <v/>
      </c>
      <c r="F46" s="20">
        <f t="array" ref="F46">IF(COUNT(C46:E46)=0,"",IFERROR(SUMPRODUCT(IFERROR(C46:E46*((C3:E3)+(C4:E4)),0))/SUMPRODUCT(IFERROR(ISNUMBER(C46:E46)*((C3:E3)+(C4:E4)),0)),""))</f>
        <v/>
      </c>
      <c r="G46" s="19">
        <f>JAN!G46</f>
        <v/>
      </c>
      <c r="H46" s="19">
        <f>FEB!G46</f>
        <v/>
      </c>
      <c r="I46" s="19">
        <f>MAR!G46</f>
        <v/>
      </c>
      <c r="J46" s="20">
        <f t="array" ref="J46">IF(COUNT(G46:I46)=0,"",IFERROR(SUMPRODUCT(IFERROR(G46:I46*((G3:I3)+(G4:I4)),0))/SUMPRODUCT(IFERROR(ISNUMBER(G46:I46)*((G3:I3)+(G4:I4)),0)),""))</f>
        <v/>
      </c>
      <c r="K46" s="19">
        <f>APR!G46</f>
        <v/>
      </c>
      <c r="L46" s="19">
        <f>MAY!G46</f>
        <v/>
      </c>
      <c r="M46" s="19">
        <f>JUN!G46</f>
        <v/>
      </c>
      <c r="N46" s="20">
        <f t="array" ref="N46">IF(COUNT(K46:M46)=0,"",IFERROR(SUMPRODUCT(IFERROR(K46:M46*((K3:M3)+(K4:M4)),0))/SUMPRODUCT(IFERROR(ISNUMBER(K46:M46)*((K3:M3)+(K4:M4)),0)),""))</f>
        <v/>
      </c>
      <c r="O46" s="19">
        <f>JUL!G46</f>
        <v/>
      </c>
      <c r="P46" s="19">
        <f>AUG!G46</f>
        <v/>
      </c>
      <c r="Q46" s="19">
        <f>SEP!G46</f>
        <v/>
      </c>
      <c r="R46" s="20">
        <f t="array" ref="R46">IF(COUNT(O46:Q46)=0,"",IFERROR(SUMPRODUCT(IFERROR(O46:Q46*((O3:Q3)+(O4:Q4)),0))/SUMPRODUCT(IFERROR(ISNUMBER(O46:Q46)*((O3:Q3)+(O4:Q4)),0)),""))</f>
        <v/>
      </c>
      <c r="S46" s="20">
        <f>IF(COUNT(F46,J46,N46,R46)=0,"",IFERROR((IFERROR(F46*(F3+F4),0)+IFERROR(J46*(J3+J4),0)+IFERROR(N46*(N3+N4),0)+IFERROR(R46*(R3+R4),0))/(IFERROR(ISNUMBER(F46)*(F3+F4),0)+IFERROR(ISNUMBER(J46)*(J3+J4),0)+IFERROR(ISNUMBER(N46)*(N3+N4),0)+IFERROR(ISNUMBER(R46)*(R3+R4),0)),""))</f>
        <v/>
      </c>
    </row>
    <row r="47" ht="18.75" customHeight="1">
      <c r="A47" s="3" t="n"/>
      <c r="B47" s="13" t="inlineStr">
        <is>
          <t>Absent Rate Certified (%)</t>
        </is>
      </c>
      <c r="C47" s="19">
        <f>OCT!G47</f>
        <v/>
      </c>
      <c r="D47" s="19">
        <f>NOV!G47</f>
        <v/>
      </c>
      <c r="E47" s="19">
        <f>DEC!G47</f>
        <v/>
      </c>
      <c r="F47" s="20">
        <f t="array" ref="F47">IF(COUNT(C47:E47)=0,"",IFERROR(SUMPRODUCT(IFERROR(C47:E47*((C3:E3)+(C4:E4)),0))/SUMPRODUCT(IFERROR(ISNUMBER(C47:E47)*((C3:E3)+(C4:E4)),0)),""))</f>
        <v/>
      </c>
      <c r="G47" s="19">
        <f>JAN!G47</f>
        <v/>
      </c>
      <c r="H47" s="19">
        <f>FEB!G47</f>
        <v/>
      </c>
      <c r="I47" s="19">
        <f>MAR!G47</f>
        <v/>
      </c>
      <c r="J47" s="20">
        <f t="array" ref="J47">IF(COUNT(G47:I47)=0,"",IFERROR(SUMPRODUCT(IFERROR(G47:I47*((G3:I3)+(G4:I4)),0))/SUMPRODUCT(IFERROR(ISNUMBER(G47:I47)*((G3:I3)+(G4:I4)),0)),""))</f>
        <v/>
      </c>
      <c r="K47" s="19">
        <f>APR!G47</f>
        <v/>
      </c>
      <c r="L47" s="19">
        <f>MAY!G47</f>
        <v/>
      </c>
      <c r="M47" s="19">
        <f>JUN!G47</f>
        <v/>
      </c>
      <c r="N47" s="20">
        <f t="array" ref="N47">IF(COUNT(K47:M47)=0,"",IFERROR(SUMPRODUCT(IFERROR(K47:M47*((K3:M3)+(K4:M4)),0))/SUMPRODUCT(IFERROR(ISNUMBER(K47:M47)*((K3:M3)+(K4:M4)),0)),""))</f>
        <v/>
      </c>
      <c r="O47" s="19">
        <f>JUL!G47</f>
        <v/>
      </c>
      <c r="P47" s="19">
        <f>AUG!G47</f>
        <v/>
      </c>
      <c r="Q47" s="19">
        <f>SEP!G47</f>
        <v/>
      </c>
      <c r="R47" s="20">
        <f t="array" ref="R47">IF(COUNT(O47:Q47)=0,"",IFERROR(SUMPRODUCT(IFERROR(O47:Q47*((O3:Q3)+(O4:Q4)),0))/SUMPRODUCT(IFERROR(ISNUMBER(O47:Q47)*((O3:Q3)+(O4:Q4)),0)),""))</f>
        <v/>
      </c>
      <c r="S47" s="20">
        <f>IF(COUNT(F47,J47,N47,R47)=0,"",IFERROR((IFERROR(F47*(F3+F4),0)+IFERROR(J47*(J3+J4),0)+IFERROR(N47*(N3+N4),0)+IFERROR(R47*(R3+R4),0))/(IFERROR(ISNUMBER(F47)*(F3+F4),0)+IFERROR(ISNUMBER(J47)*(J3+J4),0)+IFERROR(ISNUMBER(N47)*(N3+N4),0)+IFERROR(ISNUMBER(R47)*(R3+R4),0)),""))</f>
        <v/>
      </c>
    </row>
    <row r="48" ht="18.75" customHeight="1">
      <c r="A48" s="3" t="n"/>
      <c r="B48" s="13" t="inlineStr">
        <is>
          <t>Absent Rate Total (%)</t>
        </is>
      </c>
      <c r="C48" s="19">
        <f>OCT!G48</f>
        <v/>
      </c>
      <c r="D48" s="19">
        <f>NOV!G48</f>
        <v/>
      </c>
      <c r="E48" s="19">
        <f>DEC!G48</f>
        <v/>
      </c>
      <c r="F48" s="20">
        <f>IF(COUNT(F46:F47)=0,"",SUM(F46:F47))</f>
        <v/>
      </c>
      <c r="G48" s="19">
        <f>JAN!G48</f>
        <v/>
      </c>
      <c r="H48" s="19">
        <f>FEB!G48</f>
        <v/>
      </c>
      <c r="I48" s="19">
        <f>MAR!G48</f>
        <v/>
      </c>
      <c r="J48" s="20">
        <f>IF(COUNT(J46:J47)=0,"",SUM(J46:J47))</f>
        <v/>
      </c>
      <c r="K48" s="19">
        <f>APR!G48</f>
        <v/>
      </c>
      <c r="L48" s="19">
        <f>MAY!G48</f>
        <v/>
      </c>
      <c r="M48" s="19">
        <f>JUN!G48</f>
        <v/>
      </c>
      <c r="N48" s="20">
        <f>IF(COUNT(N46:N47)=0,"",SUM(N46:N47))</f>
        <v/>
      </c>
      <c r="O48" s="19">
        <f>JUL!G48</f>
        <v/>
      </c>
      <c r="P48" s="19">
        <f>AUG!G48</f>
        <v/>
      </c>
      <c r="Q48" s="19">
        <f>SEP!G48</f>
        <v/>
      </c>
      <c r="R48" s="20">
        <f>IF(COUNT(R46:R47)=0,"",SUM(R46:R47))</f>
        <v/>
      </c>
      <c r="S48" s="20">
        <f>IF(COUNT(S46:S47)=0,"",SUM(S46:S47))</f>
        <v/>
      </c>
    </row>
    <row r="49" ht="18.75" customHeight="1">
      <c r="A49" s="3" t="n"/>
      <c r="B49" s="18" t="inlineStr">
        <is>
          <t>Weight factor</t>
        </is>
      </c>
      <c r="C49" s="19">
        <f>OCT!G49</f>
        <v/>
      </c>
      <c r="D49" s="19">
        <f>NOV!G49</f>
        <v/>
      </c>
      <c r="E49" s="19">
        <f>DEC!G49</f>
        <v/>
      </c>
      <c r="F49" s="20">
        <f>IFERROR(AVERAGE(C49:E49),"")</f>
        <v/>
      </c>
      <c r="G49" s="19">
        <f>JAN!G49</f>
        <v/>
      </c>
      <c r="H49" s="19">
        <f>FEB!G49</f>
        <v/>
      </c>
      <c r="I49" s="19">
        <f>MAR!G49</f>
        <v/>
      </c>
      <c r="J49" s="20">
        <f>IFERROR(AVERAGE(G49:I49),"")</f>
        <v/>
      </c>
      <c r="K49" s="19">
        <f>APR!G49</f>
        <v/>
      </c>
      <c r="L49" s="19">
        <f>MAY!G49</f>
        <v/>
      </c>
      <c r="M49" s="19">
        <f>JUN!G49</f>
        <v/>
      </c>
      <c r="N49" s="20">
        <f>IFERROR(AVERAGE(K49:M49),"")</f>
        <v/>
      </c>
      <c r="O49" s="19">
        <f>JUL!G49</f>
        <v/>
      </c>
      <c r="P49" s="19">
        <f>AUG!G49</f>
        <v/>
      </c>
      <c r="Q49" s="19">
        <f>SEP!G49</f>
        <v/>
      </c>
      <c r="R49" s="20">
        <f>IFERROR(AVERAGE(O49:Q49),"")</f>
        <v/>
      </c>
      <c r="S49" s="20">
        <f>IFERROR(AVERAGE(C49:E49,G49:I49,K49:M49,O49:Q49),"")</f>
        <v/>
      </c>
    </row>
    <row r="50" ht="18.75" customHeight="1">
      <c r="A50" s="3" t="n"/>
      <c r="B50" s="10" t="inlineStr">
        <is>
          <t>Leadership (Hours)</t>
        </is>
      </c>
      <c r="C50" s="14">
        <f>OCT!G50</f>
        <v/>
      </c>
      <c r="D50" s="14">
        <f>NOV!G50</f>
        <v/>
      </c>
      <c r="E50" s="14">
        <f>DEC!G50</f>
        <v/>
      </c>
      <c r="F50" s="15">
        <f>IF(COUNT(C50:E50)=0,"",SUM(C50:E50))</f>
        <v/>
      </c>
      <c r="G50" s="14">
        <f>JAN!G50</f>
        <v/>
      </c>
      <c r="H50" s="14">
        <f>FEB!G50</f>
        <v/>
      </c>
      <c r="I50" s="14">
        <f>MAR!G50</f>
        <v/>
      </c>
      <c r="J50" s="15">
        <f>IF(COUNT(G50:I50)=0,"",SUM(G50:I50))</f>
        <v/>
      </c>
      <c r="K50" s="14">
        <f>APR!G50</f>
        <v/>
      </c>
      <c r="L50" s="14">
        <f>MAY!G50</f>
        <v/>
      </c>
      <c r="M50" s="14">
        <f>JUN!G50</f>
        <v/>
      </c>
      <c r="N50" s="15">
        <f>IF(COUNT(K50:M50)=0,"",SUM(K50:M50))</f>
        <v/>
      </c>
      <c r="O50" s="14">
        <f>JUL!G50</f>
        <v/>
      </c>
      <c r="P50" s="14">
        <f>AUG!G50</f>
        <v/>
      </c>
      <c r="Q50" s="14">
        <f>SEP!G50</f>
        <v/>
      </c>
      <c r="R50" s="15">
        <f>IF(COUNT(O50:Q50)=0,"",SUM(O50:Q50))</f>
        <v/>
      </c>
      <c r="S50" s="15">
        <f>IF(COUNT(C50:E50,G50:I50,K50:M50,O50:Q50)=0,"",SUM(C50:E50,G50:I50,K50:M50,O50:Q50))</f>
        <v/>
      </c>
    </row>
    <row r="51" ht="18.75" customHeight="1">
      <c r="A51" s="3" t="n"/>
      <c r="B51" s="10" t="inlineStr">
        <is>
          <t>Technical (Hours)</t>
        </is>
      </c>
      <c r="C51" s="14">
        <f>OCT!G51</f>
        <v/>
      </c>
      <c r="D51" s="14">
        <f>NOV!G51</f>
        <v/>
      </c>
      <c r="E51" s="14">
        <f>DEC!G51</f>
        <v/>
      </c>
      <c r="F51" s="15">
        <f>IF(COUNT(C51:E51)=0,"",SUM(C51:E51))</f>
        <v/>
      </c>
      <c r="G51" s="14">
        <f>JAN!G51</f>
        <v/>
      </c>
      <c r="H51" s="14">
        <f>FEB!G51</f>
        <v/>
      </c>
      <c r="I51" s="14">
        <f>MAR!G51</f>
        <v/>
      </c>
      <c r="J51" s="15">
        <f>IF(COUNT(G51:I51)=0,"",SUM(G51:I51))</f>
        <v/>
      </c>
      <c r="K51" s="14">
        <f>APR!G51</f>
        <v/>
      </c>
      <c r="L51" s="14">
        <f>MAY!G51</f>
        <v/>
      </c>
      <c r="M51" s="14">
        <f>JUN!G51</f>
        <v/>
      </c>
      <c r="N51" s="15">
        <f>IF(COUNT(K51:M51)=0,"",SUM(K51:M51))</f>
        <v/>
      </c>
      <c r="O51" s="14">
        <f>JUL!G51</f>
        <v/>
      </c>
      <c r="P51" s="14">
        <f>AUG!G51</f>
        <v/>
      </c>
      <c r="Q51" s="14">
        <f>SEP!G51</f>
        <v/>
      </c>
      <c r="R51" s="15">
        <f>IF(COUNT(O51:Q51)=0,"",SUM(O51:Q51))</f>
        <v/>
      </c>
      <c r="S51" s="15">
        <f>IF(COUNT(C51:E51,G51:I51,K51:M51,O51:Q51)=0,"",SUM(C51:E51,G51:I51,K51:M51,O51:Q51))</f>
        <v/>
      </c>
    </row>
    <row r="52" ht="18.75" customHeight="1">
      <c r="A52" s="3" t="n"/>
      <c r="B52" s="10" t="inlineStr">
        <is>
          <t>Professional Develop. (Hours)</t>
        </is>
      </c>
      <c r="C52" s="14">
        <f>OCT!G52</f>
        <v/>
      </c>
      <c r="D52" s="14">
        <f>NOV!G52</f>
        <v/>
      </c>
      <c r="E52" s="14">
        <f>DEC!G52</f>
        <v/>
      </c>
      <c r="F52" s="15">
        <f>IF(COUNT(C52:E52)=0,"",SUM(C52:E52))</f>
        <v/>
      </c>
      <c r="G52" s="14">
        <f>JAN!G52</f>
        <v/>
      </c>
      <c r="H52" s="14">
        <f>FEB!G52</f>
        <v/>
      </c>
      <c r="I52" s="14">
        <f>MAR!G52</f>
        <v/>
      </c>
      <c r="J52" s="15">
        <f>IF(COUNT(G52:I52)=0,"",SUM(G52:I52))</f>
        <v/>
      </c>
      <c r="K52" s="14">
        <f>APR!G52</f>
        <v/>
      </c>
      <c r="L52" s="14">
        <f>MAY!G52</f>
        <v/>
      </c>
      <c r="M52" s="14">
        <f>JUN!G52</f>
        <v/>
      </c>
      <c r="N52" s="15">
        <f>IF(COUNT(K52:M52)=0,"",SUM(K52:M52))</f>
        <v/>
      </c>
      <c r="O52" s="14">
        <f>JUL!G52</f>
        <v/>
      </c>
      <c r="P52" s="14">
        <f>AUG!G52</f>
        <v/>
      </c>
      <c r="Q52" s="14">
        <f>SEP!G52</f>
        <v/>
      </c>
      <c r="R52" s="15">
        <f>IF(COUNT(O52:Q52)=0,"",SUM(O52:Q52))</f>
        <v/>
      </c>
      <c r="S52" s="15">
        <f>IF(COUNT(C52:E52,G52:I52,K52:M52,O52:Q52)=0,"",SUM(C52:E52,G52:I52,K52:M52,O52:Q52))</f>
        <v/>
      </c>
    </row>
    <row r="53" ht="18.75" customHeight="1">
      <c r="A53" s="3" t="n"/>
      <c r="B53" s="10" t="inlineStr">
        <is>
          <t>HSSE (Hours)</t>
        </is>
      </c>
      <c r="C53" s="14">
        <f>OCT!G53</f>
        <v/>
      </c>
      <c r="D53" s="14">
        <f>NOV!G53</f>
        <v/>
      </c>
      <c r="E53" s="14">
        <f>DEC!G53</f>
        <v/>
      </c>
      <c r="F53" s="15">
        <f>IF(COUNT(C53:E53)=0,"",SUM(C53:E53))</f>
        <v/>
      </c>
      <c r="G53" s="14">
        <f>JAN!G53</f>
        <v/>
      </c>
      <c r="H53" s="14">
        <f>FEB!G53</f>
        <v/>
      </c>
      <c r="I53" s="14">
        <f>MAR!G53</f>
        <v/>
      </c>
      <c r="J53" s="15">
        <f>IF(COUNT(G53:I53)=0,"",SUM(G53:I53))</f>
        <v/>
      </c>
      <c r="K53" s="14">
        <f>APR!G53</f>
        <v/>
      </c>
      <c r="L53" s="14">
        <f>MAY!G53</f>
        <v/>
      </c>
      <c r="M53" s="14">
        <f>JUN!G53</f>
        <v/>
      </c>
      <c r="N53" s="15">
        <f>IF(COUNT(K53:M53)=0,"",SUM(K53:M53))</f>
        <v/>
      </c>
      <c r="O53" s="14">
        <f>JUL!G53</f>
        <v/>
      </c>
      <c r="P53" s="14">
        <f>AUG!G53</f>
        <v/>
      </c>
      <c r="Q53" s="14">
        <f>SEP!G53</f>
        <v/>
      </c>
      <c r="R53" s="15">
        <f>IF(COUNT(O53:Q53)=0,"",SUM(O53:Q53))</f>
        <v/>
      </c>
      <c r="S53" s="15">
        <f>IF(COUNT(C53:E53,G53:I53,K53:M53,O53:Q53)=0,"",SUM(C53:E53,G53:I53,K53:M53,O53:Q53))</f>
        <v/>
      </c>
    </row>
    <row r="54" ht="18.75" customHeight="1">
      <c r="A54" s="3" t="n"/>
      <c r="B54" s="10" t="inlineStr">
        <is>
          <t>Workday (Hours)</t>
        </is>
      </c>
      <c r="C54" s="14">
        <f>OCT!G54</f>
        <v/>
      </c>
      <c r="D54" s="14">
        <f>NOV!G54</f>
        <v/>
      </c>
      <c r="E54" s="14">
        <f>DEC!G54</f>
        <v/>
      </c>
      <c r="F54" s="15">
        <f>IF(COUNT(C54:E54)=0,"",SUM(C54:E54))</f>
        <v/>
      </c>
      <c r="G54" s="14">
        <f>JAN!G54</f>
        <v/>
      </c>
      <c r="H54" s="14">
        <f>FEB!G54</f>
        <v/>
      </c>
      <c r="I54" s="14">
        <f>MAR!G54</f>
        <v/>
      </c>
      <c r="J54" s="15">
        <f>IF(COUNT(G54:I54)=0,"",SUM(G54:I54))</f>
        <v/>
      </c>
      <c r="K54" s="14">
        <f>APR!G54</f>
        <v/>
      </c>
      <c r="L54" s="14">
        <f>MAY!G54</f>
        <v/>
      </c>
      <c r="M54" s="14">
        <f>JUN!G54</f>
        <v/>
      </c>
      <c r="N54" s="15">
        <f>IF(COUNT(K54:M54)=0,"",SUM(K54:M54))</f>
        <v/>
      </c>
      <c r="O54" s="14">
        <f>JUL!G54</f>
        <v/>
      </c>
      <c r="P54" s="14">
        <f>AUG!G54</f>
        <v/>
      </c>
      <c r="Q54" s="14">
        <f>SEP!G54</f>
        <v/>
      </c>
      <c r="R54" s="15">
        <f>IF(COUNT(O54:Q54)=0,"",SUM(O54:Q54))</f>
        <v/>
      </c>
      <c r="S54" s="15">
        <f>IF(COUNT(C54:E54,G54:I54,K54:M54,O54:Q54)=0,"",SUM(C54:E54,G54:I54,K54:M54,O54:Q54))</f>
        <v/>
      </c>
    </row>
    <row r="55" ht="18.75" customHeight="1">
      <c r="A55" s="3" t="n"/>
      <c r="B55" s="13" t="inlineStr">
        <is>
          <t>Total Training Hours</t>
        </is>
      </c>
      <c r="C55" s="14">
        <f>OCT!G55</f>
        <v/>
      </c>
      <c r="D55" s="14">
        <f>NOV!G55</f>
        <v/>
      </c>
      <c r="E55" s="14">
        <f>DEC!G55</f>
        <v/>
      </c>
      <c r="F55" s="15">
        <f>IF(COUNT(F50:F54)=0,"",SUM(F50:F54))</f>
        <v/>
      </c>
      <c r="G55" s="14">
        <f>JAN!G55</f>
        <v/>
      </c>
      <c r="H55" s="14">
        <f>FEB!G55</f>
        <v/>
      </c>
      <c r="I55" s="14">
        <f>MAR!G55</f>
        <v/>
      </c>
      <c r="J55" s="15">
        <f>IF(COUNT(J50:J54)=0,"",SUM(J50:J54))</f>
        <v/>
      </c>
      <c r="K55" s="14">
        <f>APR!G55</f>
        <v/>
      </c>
      <c r="L55" s="14">
        <f>MAY!G55</f>
        <v/>
      </c>
      <c r="M55" s="14">
        <f>JUN!G55</f>
        <v/>
      </c>
      <c r="N55" s="15">
        <f>IF(COUNT(N50:N54)=0,"",SUM(N50:N54))</f>
        <v/>
      </c>
      <c r="O55" s="14">
        <f>JUL!G55</f>
        <v/>
      </c>
      <c r="P55" s="14">
        <f>AUG!G55</f>
        <v/>
      </c>
      <c r="Q55" s="14">
        <f>SEP!G55</f>
        <v/>
      </c>
      <c r="R55" s="15">
        <f>IF(COUNT(R50:R54)=0,"",SUM(R50:R54))</f>
        <v/>
      </c>
      <c r="S55" s="15">
        <f>IF(COUNT(S50:S54)=0,"",SUM(S50:S54))</f>
        <v/>
      </c>
    </row>
    <row r="56" ht="18.75" customHeight="1">
      <c r="A56" s="3" t="n"/>
      <c r="B56" s="10" t="inlineStr">
        <is>
          <t>Total Trained (Staff)</t>
        </is>
      </c>
      <c r="C56" s="14">
        <f>OCT!G56</f>
        <v/>
      </c>
      <c r="D56" s="14">
        <f>NOV!G56</f>
        <v/>
      </c>
      <c r="E56" s="14">
        <f>DEC!G56</f>
        <v/>
      </c>
      <c r="F56" s="15">
        <f>IF(COUNT(C56:E56)=0,"",SUM(C56:E56))</f>
        <v/>
      </c>
      <c r="G56" s="14">
        <f>JAN!G56</f>
        <v/>
      </c>
      <c r="H56" s="14">
        <f>FEB!G56</f>
        <v/>
      </c>
      <c r="I56" s="14">
        <f>MAR!G56</f>
        <v/>
      </c>
      <c r="J56" s="15">
        <f>IF(COUNT(G56:I56)=0,"",SUM(G56:I56))</f>
        <v/>
      </c>
      <c r="K56" s="14">
        <f>APR!G56</f>
        <v/>
      </c>
      <c r="L56" s="14">
        <f>MAY!G56</f>
        <v/>
      </c>
      <c r="M56" s="14">
        <f>JUN!G56</f>
        <v/>
      </c>
      <c r="N56" s="15">
        <f>IF(COUNT(K56:M56)=0,"",SUM(K56:M56))</f>
        <v/>
      </c>
      <c r="O56" s="14">
        <f>JUL!G56</f>
        <v/>
      </c>
      <c r="P56" s="14">
        <f>AUG!G56</f>
        <v/>
      </c>
      <c r="Q56" s="14">
        <f>SEP!G56</f>
        <v/>
      </c>
      <c r="R56" s="15">
        <f>IF(COUNT(O56:Q56)=0,"",SUM(O56:Q56))</f>
        <v/>
      </c>
      <c r="S56" s="15">
        <f>IF(COUNT(C56:E56,G56:I56,K56:M56,O56:Q56)=0,"",SUM(C56:E56,G56:I56,K56:M56,O56:Q56))</f>
        <v/>
      </c>
    </row>
    <row r="57" ht="18.75" customHeight="1">
      <c r="A57" s="3" t="n"/>
      <c r="B57" s="10" t="inlineStr">
        <is>
          <t>Training Programs (#)</t>
        </is>
      </c>
      <c r="C57" s="14">
        <f>OCT!G57</f>
        <v/>
      </c>
      <c r="D57" s="14">
        <f>NOV!G57</f>
        <v/>
      </c>
      <c r="E57" s="14">
        <f>DEC!G57</f>
        <v/>
      </c>
      <c r="F57" s="15">
        <f>IF(COUNT(C57:E57)=0,"",SUM(C57:E57))</f>
        <v/>
      </c>
      <c r="G57" s="14">
        <f>JAN!G57</f>
        <v/>
      </c>
      <c r="H57" s="14">
        <f>FEB!G57</f>
        <v/>
      </c>
      <c r="I57" s="14">
        <f>MAR!G57</f>
        <v/>
      </c>
      <c r="J57" s="15">
        <f>IF(COUNT(G57:I57)=0,"",SUM(G57:I57))</f>
        <v/>
      </c>
      <c r="K57" s="14">
        <f>APR!G57</f>
        <v/>
      </c>
      <c r="L57" s="14">
        <f>MAY!G57</f>
        <v/>
      </c>
      <c r="M57" s="14">
        <f>JUN!G57</f>
        <v/>
      </c>
      <c r="N57" s="15">
        <f>IF(COUNT(K57:M57)=0,"",SUM(K57:M57))</f>
        <v/>
      </c>
      <c r="O57" s="14">
        <f>JUL!G57</f>
        <v/>
      </c>
      <c r="P57" s="14">
        <f>AUG!G57</f>
        <v/>
      </c>
      <c r="Q57" s="14">
        <f>SEP!G57</f>
        <v/>
      </c>
      <c r="R57" s="15">
        <f>IF(COUNT(O57:Q57)=0,"",SUM(O57:Q57))</f>
        <v/>
      </c>
      <c r="S57" s="15">
        <f>IF(COUNT(C57:E57,G57:I57,K57:M57,O57:Q57)=0,"",SUM(C57:E57,G57:I57,K57:M57,O57:Q57))</f>
        <v/>
      </c>
    </row>
    <row r="58" ht="18.75" customHeight="1">
      <c r="A58" s="3" t="n"/>
      <c r="B58" s="10" t="inlineStr">
        <is>
          <t>Training  Cost (USD)</t>
        </is>
      </c>
      <c r="C58" s="14">
        <f>OCT!G58</f>
        <v/>
      </c>
      <c r="D58" s="14">
        <f>NOV!G58</f>
        <v/>
      </c>
      <c r="E58" s="14">
        <f>DEC!G58</f>
        <v/>
      </c>
      <c r="F58" s="15">
        <f>IF(COUNT(C58:E58)=0,"",SUM(C58:E58))</f>
        <v/>
      </c>
      <c r="G58" s="14">
        <f>JAN!G58</f>
        <v/>
      </c>
      <c r="H58" s="14">
        <f>FEB!G58</f>
        <v/>
      </c>
      <c r="I58" s="14">
        <f>MAR!G58</f>
        <v/>
      </c>
      <c r="J58" s="15">
        <f>IF(COUNT(G58:I58)=0,"",SUM(G58:I58))</f>
        <v/>
      </c>
      <c r="K58" s="14">
        <f>APR!G58</f>
        <v/>
      </c>
      <c r="L58" s="14">
        <f>MAY!G58</f>
        <v/>
      </c>
      <c r="M58" s="14">
        <f>JUN!G58</f>
        <v/>
      </c>
      <c r="N58" s="15">
        <f>IF(COUNT(K58:M58)=0,"",SUM(K58:M58))</f>
        <v/>
      </c>
      <c r="O58" s="14">
        <f>JUL!G58</f>
        <v/>
      </c>
      <c r="P58" s="14">
        <f>AUG!G58</f>
        <v/>
      </c>
      <c r="Q58" s="14">
        <f>SEP!G58</f>
        <v/>
      </c>
      <c r="R58" s="15">
        <f>IF(COUNT(O58:Q58)=0,"",SUM(O58:Q58))</f>
        <v/>
      </c>
      <c r="S58" s="15">
        <f>IF(COUNT(C58:E58,G58:I58,K58:M58,O58:Q58)=0,"",SUM(C58:E58,G58:I58,K58:M58,O58:Q58))</f>
        <v/>
      </c>
    </row>
    <row r="59" ht="18.75" customHeight="1">
      <c r="A59" s="3" t="n"/>
      <c r="B59" s="10" t="inlineStr">
        <is>
          <t>Training Travel Cost (USD)</t>
        </is>
      </c>
      <c r="C59" s="14">
        <f>OCT!G59</f>
        <v/>
      </c>
      <c r="D59" s="14">
        <f>NOV!G59</f>
        <v/>
      </c>
      <c r="E59" s="14">
        <f>DEC!G59</f>
        <v/>
      </c>
      <c r="F59" s="15">
        <f>IF(COUNT(C59:E59)=0,"",SUM(C59:E59))</f>
        <v/>
      </c>
      <c r="G59" s="14">
        <f>JAN!G59</f>
        <v/>
      </c>
      <c r="H59" s="14">
        <f>FEB!G59</f>
        <v/>
      </c>
      <c r="I59" s="14">
        <f>MAR!G59</f>
        <v/>
      </c>
      <c r="J59" s="15">
        <f>IF(COUNT(G59:I59)=0,"",SUM(G59:I59))</f>
        <v/>
      </c>
      <c r="K59" s="14">
        <f>APR!G59</f>
        <v/>
      </c>
      <c r="L59" s="14">
        <f>MAY!G59</f>
        <v/>
      </c>
      <c r="M59" s="14">
        <f>JUN!G59</f>
        <v/>
      </c>
      <c r="N59" s="15">
        <f>IF(COUNT(K59:M59)=0,"",SUM(K59:M59))</f>
        <v/>
      </c>
      <c r="O59" s="14">
        <f>JUL!G59</f>
        <v/>
      </c>
      <c r="P59" s="14">
        <f>AUG!G59</f>
        <v/>
      </c>
      <c r="Q59" s="14">
        <f>SEP!G59</f>
        <v/>
      </c>
      <c r="R59" s="15">
        <f>IF(COUNT(O59:Q59)=0,"",SUM(O59:Q59))</f>
        <v/>
      </c>
      <c r="S59" s="15">
        <f>IF(COUNT(C59:E59,G59:I59,K59:M59,O59:Q59)=0,"",SUM(C59:E59,G59:I59,K59:M59,O59:Q59))</f>
        <v/>
      </c>
    </row>
    <row r="60" ht="18.75" customHeight="1">
      <c r="A60" s="3" t="n"/>
      <c r="B60" s="13" t="inlineStr">
        <is>
          <t>Leadership Hours Trained (%)</t>
        </is>
      </c>
      <c r="C60" s="19">
        <f>OCT!G60</f>
        <v/>
      </c>
      <c r="D60" s="19">
        <f>NOV!G60</f>
        <v/>
      </c>
      <c r="E60" s="19">
        <f>DEC!G60</f>
        <v/>
      </c>
      <c r="F60" s="20">
        <f>IFERROR(F50/F$55,"")</f>
        <v/>
      </c>
      <c r="G60" s="19">
        <f>JAN!G60</f>
        <v/>
      </c>
      <c r="H60" s="19">
        <f>FEB!G60</f>
        <v/>
      </c>
      <c r="I60" s="19">
        <f>MAR!G60</f>
        <v/>
      </c>
      <c r="J60" s="20">
        <f>IFERROR(J50/J$55,"")</f>
        <v/>
      </c>
      <c r="K60" s="19">
        <f>APR!G60</f>
        <v/>
      </c>
      <c r="L60" s="19">
        <f>MAY!G60</f>
        <v/>
      </c>
      <c r="M60" s="19">
        <f>JUN!G60</f>
        <v/>
      </c>
      <c r="N60" s="20">
        <f>IFERROR(N50/N$55,"")</f>
        <v/>
      </c>
      <c r="O60" s="19">
        <f>JUL!G60</f>
        <v/>
      </c>
      <c r="P60" s="19">
        <f>AUG!G60</f>
        <v/>
      </c>
      <c r="Q60" s="19">
        <f>SEP!G60</f>
        <v/>
      </c>
      <c r="R60" s="20">
        <f>IFERROR(R50/R$55,"")</f>
        <v/>
      </c>
      <c r="S60" s="20">
        <f>IFERROR(S50/S$55,"")</f>
        <v/>
      </c>
    </row>
    <row r="61" ht="18.75" customHeight="1">
      <c r="A61" s="3" t="n"/>
      <c r="B61" s="13" t="inlineStr">
        <is>
          <t>Technical Hours Trained (%)</t>
        </is>
      </c>
      <c r="C61" s="19">
        <f>OCT!G61</f>
        <v/>
      </c>
      <c r="D61" s="19">
        <f>NOV!G61</f>
        <v/>
      </c>
      <c r="E61" s="19">
        <f>DEC!G61</f>
        <v/>
      </c>
      <c r="F61" s="20">
        <f>IFERROR(F51/F$55,"")</f>
        <v/>
      </c>
      <c r="G61" s="19">
        <f>JAN!G61</f>
        <v/>
      </c>
      <c r="H61" s="19">
        <f>FEB!G61</f>
        <v/>
      </c>
      <c r="I61" s="19">
        <f>MAR!G61</f>
        <v/>
      </c>
      <c r="J61" s="20">
        <f>IFERROR(J51/J$55,"")</f>
        <v/>
      </c>
      <c r="K61" s="19">
        <f>APR!G61</f>
        <v/>
      </c>
      <c r="L61" s="19">
        <f>MAY!G61</f>
        <v/>
      </c>
      <c r="M61" s="19">
        <f>JUN!G61</f>
        <v/>
      </c>
      <c r="N61" s="20">
        <f>IFERROR(N51/N$55,"")</f>
        <v/>
      </c>
      <c r="O61" s="19">
        <f>JUL!G61</f>
        <v/>
      </c>
      <c r="P61" s="19">
        <f>AUG!G61</f>
        <v/>
      </c>
      <c r="Q61" s="19">
        <f>SEP!G61</f>
        <v/>
      </c>
      <c r="R61" s="20">
        <f>IFERROR(R51/R$55,"")</f>
        <v/>
      </c>
      <c r="S61" s="20">
        <f>IFERROR(S51/S$55,"")</f>
        <v/>
      </c>
    </row>
    <row r="62" ht="18.75" customHeight="1">
      <c r="A62" s="3" t="n"/>
      <c r="B62" s="13" t="inlineStr">
        <is>
          <t>Profess. Dev. Hours Trained (%)</t>
        </is>
      </c>
      <c r="C62" s="19">
        <f>OCT!G62</f>
        <v/>
      </c>
      <c r="D62" s="19">
        <f>NOV!G62</f>
        <v/>
      </c>
      <c r="E62" s="19">
        <f>DEC!G62</f>
        <v/>
      </c>
      <c r="F62" s="20">
        <f>IFERROR(F52/F$55,"")</f>
        <v/>
      </c>
      <c r="G62" s="19">
        <f>JAN!G62</f>
        <v/>
      </c>
      <c r="H62" s="19">
        <f>FEB!G62</f>
        <v/>
      </c>
      <c r="I62" s="19">
        <f>MAR!G62</f>
        <v/>
      </c>
      <c r="J62" s="20">
        <f>IFERROR(J52/J$55,"")</f>
        <v/>
      </c>
      <c r="K62" s="19">
        <f>APR!G62</f>
        <v/>
      </c>
      <c r="L62" s="19">
        <f>MAY!G62</f>
        <v/>
      </c>
      <c r="M62" s="19">
        <f>JUN!G62</f>
        <v/>
      </c>
      <c r="N62" s="20">
        <f>IFERROR(N52/N$55,"")</f>
        <v/>
      </c>
      <c r="O62" s="19">
        <f>JUL!G62</f>
        <v/>
      </c>
      <c r="P62" s="19">
        <f>AUG!G62</f>
        <v/>
      </c>
      <c r="Q62" s="19">
        <f>SEP!G62</f>
        <v/>
      </c>
      <c r="R62" s="20">
        <f>IFERROR(R52/R$55,"")</f>
        <v/>
      </c>
      <c r="S62" s="20">
        <f>IFERROR(S52/S$55,"")</f>
        <v/>
      </c>
    </row>
    <row r="63" ht="18.75" customHeight="1">
      <c r="A63" s="3" t="n"/>
      <c r="B63" s="13" t="inlineStr">
        <is>
          <t>HSSE Hours Trained (%)</t>
        </is>
      </c>
      <c r="C63" s="19">
        <f>OCT!G63</f>
        <v/>
      </c>
      <c r="D63" s="19">
        <f>NOV!G63</f>
        <v/>
      </c>
      <c r="E63" s="19">
        <f>DEC!G63</f>
        <v/>
      </c>
      <c r="F63" s="20">
        <f>IFERROR(F53/F$55,"")</f>
        <v/>
      </c>
      <c r="G63" s="19">
        <f>JAN!G63</f>
        <v/>
      </c>
      <c r="H63" s="19">
        <f>FEB!G63</f>
        <v/>
      </c>
      <c r="I63" s="19">
        <f>MAR!G63</f>
        <v/>
      </c>
      <c r="J63" s="20">
        <f>IFERROR(J53/J$55,"")</f>
        <v/>
      </c>
      <c r="K63" s="19">
        <f>APR!G63</f>
        <v/>
      </c>
      <c r="L63" s="19">
        <f>MAY!G63</f>
        <v/>
      </c>
      <c r="M63" s="19">
        <f>JUN!G63</f>
        <v/>
      </c>
      <c r="N63" s="20">
        <f>IFERROR(N53/N$55,"")</f>
        <v/>
      </c>
      <c r="O63" s="19">
        <f>JUL!G63</f>
        <v/>
      </c>
      <c r="P63" s="19">
        <f>AUG!G63</f>
        <v/>
      </c>
      <c r="Q63" s="19">
        <f>SEP!G63</f>
        <v/>
      </c>
      <c r="R63" s="20">
        <f>IFERROR(R53/R$55,"")</f>
        <v/>
      </c>
      <c r="S63" s="20">
        <f>IFERROR(S53/S$55,"")</f>
        <v/>
      </c>
    </row>
    <row r="64" ht="18.75" customHeight="1">
      <c r="A64" s="3" t="n"/>
      <c r="B64" s="13" t="inlineStr">
        <is>
          <t>Workday Hours Trained (%)</t>
        </is>
      </c>
      <c r="C64" s="19">
        <f>OCT!G64</f>
        <v/>
      </c>
      <c r="D64" s="19">
        <f>NOV!G64</f>
        <v/>
      </c>
      <c r="E64" s="19">
        <f>DEC!G64</f>
        <v/>
      </c>
      <c r="F64" s="20">
        <f>IFERROR(F54/F$55,"")</f>
        <v/>
      </c>
      <c r="G64" s="19">
        <f>JAN!G64</f>
        <v/>
      </c>
      <c r="H64" s="19">
        <f>FEB!G64</f>
        <v/>
      </c>
      <c r="I64" s="19">
        <f>MAR!G64</f>
        <v/>
      </c>
      <c r="J64" s="20">
        <f>IFERROR(J54/J$55,"")</f>
        <v/>
      </c>
      <c r="K64" s="19">
        <f>APR!G64</f>
        <v/>
      </c>
      <c r="L64" s="19">
        <f>MAY!G64</f>
        <v/>
      </c>
      <c r="M64" s="19">
        <f>JUN!G64</f>
        <v/>
      </c>
      <c r="N64" s="20">
        <f>IFERROR(N54/N$55,"")</f>
        <v/>
      </c>
      <c r="O64" s="19">
        <f>JUL!G64</f>
        <v/>
      </c>
      <c r="P64" s="19">
        <f>AUG!G64</f>
        <v/>
      </c>
      <c r="Q64" s="19">
        <f>SEP!G64</f>
        <v/>
      </c>
      <c r="R64" s="20">
        <f>IFERROR(R54/R$55,"")</f>
        <v/>
      </c>
      <c r="S64" s="20">
        <f>IFERROR(S54/S$55,"")</f>
        <v/>
      </c>
    </row>
    <row r="65" ht="18.75" customHeight="1">
      <c r="A65" s="3" t="n"/>
      <c r="B65" s="13" t="inlineStr">
        <is>
          <t>Staff Trained (%)</t>
        </is>
      </c>
      <c r="C65" s="19">
        <f>OCT!G65</f>
        <v/>
      </c>
      <c r="D65" s="19">
        <f>NOV!G65</f>
        <v/>
      </c>
      <c r="E65" s="19">
        <f>DEC!G65</f>
        <v/>
      </c>
      <c r="F65" s="20">
        <f>IFERROR(F56/SUM(C5:E5),"")</f>
        <v/>
      </c>
      <c r="G65" s="19">
        <f>JAN!G65</f>
        <v/>
      </c>
      <c r="H65" s="19">
        <f>FEB!G65</f>
        <v/>
      </c>
      <c r="I65" s="19">
        <f>MAR!G65</f>
        <v/>
      </c>
      <c r="J65" s="20">
        <f>IFERROR(J56/SUM(G5:I5),"")</f>
        <v/>
      </c>
      <c r="K65" s="19">
        <f>APR!G65</f>
        <v/>
      </c>
      <c r="L65" s="19">
        <f>MAY!G65</f>
        <v/>
      </c>
      <c r="M65" s="19">
        <f>JUN!G65</f>
        <v/>
      </c>
      <c r="N65" s="20">
        <f>IFERROR(N56/SUM(K5:M5),"")</f>
        <v/>
      </c>
      <c r="O65" s="19">
        <f>JUL!G65</f>
        <v/>
      </c>
      <c r="P65" s="19">
        <f>AUG!G65</f>
        <v/>
      </c>
      <c r="Q65" s="19">
        <f>SEP!G65</f>
        <v/>
      </c>
      <c r="R65" s="20">
        <f>IFERROR(R56/SUM(O5:Q5),"")</f>
        <v/>
      </c>
      <c r="S65" s="20">
        <f>IFERROR(S56/SUM(C5:E5,G5:I5,K5:M5,O5:Q5),"")</f>
        <v/>
      </c>
    </row>
    <row r="66" ht="18.75" customHeight="1">
      <c r="A66" s="3" t="n"/>
      <c r="B66" s="18" t="inlineStr">
        <is>
          <t>Training Hours / EE</t>
        </is>
      </c>
      <c r="C66" s="16">
        <f>OCT!G66</f>
        <v/>
      </c>
      <c r="D66" s="16">
        <f>NOV!G66</f>
        <v/>
      </c>
      <c r="E66" s="16">
        <f>DEC!G66</f>
        <v/>
      </c>
      <c r="F66" s="17">
        <f>IFERROR(F55/F5,"")</f>
        <v/>
      </c>
      <c r="G66" s="16">
        <f>JAN!G66</f>
        <v/>
      </c>
      <c r="H66" s="16">
        <f>FEB!G66</f>
        <v/>
      </c>
      <c r="I66" s="16">
        <f>MAR!G66</f>
        <v/>
      </c>
      <c r="J66" s="17">
        <f>IFERROR(J55/J5,"")</f>
        <v/>
      </c>
      <c r="K66" s="16">
        <f>APR!G66</f>
        <v/>
      </c>
      <c r="L66" s="16">
        <f>MAY!G66</f>
        <v/>
      </c>
      <c r="M66" s="16">
        <f>JUN!G66</f>
        <v/>
      </c>
      <c r="N66" s="17">
        <f>IFERROR(N55/N5,"")</f>
        <v/>
      </c>
      <c r="O66" s="16">
        <f>JUL!G66</f>
        <v/>
      </c>
      <c r="P66" s="16">
        <f>AUG!G66</f>
        <v/>
      </c>
      <c r="Q66" s="16">
        <f>SEP!G66</f>
        <v/>
      </c>
      <c r="R66" s="17">
        <f>IFERROR(R55/R5,"")</f>
        <v/>
      </c>
      <c r="S66" s="17">
        <f>IFERROR(S55/S5,"")</f>
        <v/>
      </c>
    </row>
    <row r="67" ht="18.75" customHeight="1">
      <c r="A67" s="3" t="n"/>
      <c r="B67" s="18" t="inlineStr">
        <is>
          <t>Training Hours / EE Trained</t>
        </is>
      </c>
      <c r="C67" s="16">
        <f>OCT!G67</f>
        <v/>
      </c>
      <c r="D67" s="16">
        <f>NOV!G67</f>
        <v/>
      </c>
      <c r="E67" s="16">
        <f>DEC!G67</f>
        <v/>
      </c>
      <c r="F67" s="17">
        <f>IFERROR(F55/F56,"")</f>
        <v/>
      </c>
      <c r="G67" s="16">
        <f>JAN!G67</f>
        <v/>
      </c>
      <c r="H67" s="16">
        <f>FEB!G67</f>
        <v/>
      </c>
      <c r="I67" s="16">
        <f>MAR!G67</f>
        <v/>
      </c>
      <c r="J67" s="17">
        <f>IFERROR(J55/J56,"")</f>
        <v/>
      </c>
      <c r="K67" s="16">
        <f>APR!G67</f>
        <v/>
      </c>
      <c r="L67" s="16">
        <f>MAY!G67</f>
        <v/>
      </c>
      <c r="M67" s="16">
        <f>JUN!G67</f>
        <v/>
      </c>
      <c r="N67" s="17">
        <f>IFERROR(N55/N56,"")</f>
        <v/>
      </c>
      <c r="O67" s="16">
        <f>JUL!G67</f>
        <v/>
      </c>
      <c r="P67" s="16">
        <f>AUG!G67</f>
        <v/>
      </c>
      <c r="Q67" s="16">
        <f>SEP!G67</f>
        <v/>
      </c>
      <c r="R67" s="17">
        <f>IFERROR(R55/R56,"")</f>
        <v/>
      </c>
      <c r="S67" s="17">
        <f>IFERROR(S55/S56,"")</f>
        <v/>
      </c>
    </row>
    <row r="68" ht="18.75" customHeight="1">
      <c r="A68" s="3" t="n"/>
      <c r="B68" s="18" t="inlineStr">
        <is>
          <t>Training Invest. / EE (USD)</t>
        </is>
      </c>
      <c r="C68" s="16">
        <f>OCT!G68</f>
        <v/>
      </c>
      <c r="D68" s="16">
        <f>NOV!G68</f>
        <v/>
      </c>
      <c r="E68" s="16">
        <f>DEC!G68</f>
        <v/>
      </c>
      <c r="F68" s="17">
        <f>IF(COUNT(F58:F59)=0,"",IFERROR((N(F58)+N(F59))/F5,""))</f>
        <v/>
      </c>
      <c r="G68" s="16">
        <f>JAN!G68</f>
        <v/>
      </c>
      <c r="H68" s="16">
        <f>FEB!G68</f>
        <v/>
      </c>
      <c r="I68" s="16">
        <f>MAR!G68</f>
        <v/>
      </c>
      <c r="J68" s="17">
        <f>IF(COUNT(J58:J59)=0,"",IFERROR((N(J58)+N(J59))/J5,""))</f>
        <v/>
      </c>
      <c r="K68" s="16">
        <f>APR!G68</f>
        <v/>
      </c>
      <c r="L68" s="16">
        <f>MAY!G68</f>
        <v/>
      </c>
      <c r="M68" s="16">
        <f>JUN!G68</f>
        <v/>
      </c>
      <c r="N68" s="17">
        <f>IF(COUNT(N58:N59)=0,"",IFERROR((N(N58)+N(N59))/N5,""))</f>
        <v/>
      </c>
      <c r="O68" s="16">
        <f>JUL!G68</f>
        <v/>
      </c>
      <c r="P68" s="16">
        <f>AUG!G68</f>
        <v/>
      </c>
      <c r="Q68" s="16">
        <f>SEP!G68</f>
        <v/>
      </c>
      <c r="R68" s="17">
        <f>IF(COUNT(R58:R59)=0,"",IFERROR((N(R58)+N(R59))/R5,""))</f>
        <v/>
      </c>
      <c r="S68" s="17">
        <f>IF(COUNT(S58:S59)=0,"",IFERROR((N(S58)+N(S59))/S5,""))</f>
        <v/>
      </c>
    </row>
    <row r="69" ht="18.75" customHeight="1">
      <c r="A69" s="3" t="n"/>
      <c r="B69" s="18" t="inlineStr">
        <is>
          <t>Training Invest. / EE Trained (USD)</t>
        </is>
      </c>
      <c r="C69" s="16">
        <f>OCT!G69</f>
        <v/>
      </c>
      <c r="D69" s="16">
        <f>NOV!G69</f>
        <v/>
      </c>
      <c r="E69" s="16">
        <f>DEC!G69</f>
        <v/>
      </c>
      <c r="F69" s="17">
        <f>IF(COUNT(F58:F59)=0,"",IFERROR((N(F58)+N(F59))/F56,""))</f>
        <v/>
      </c>
      <c r="G69" s="16">
        <f>JAN!G69</f>
        <v/>
      </c>
      <c r="H69" s="16">
        <f>FEB!G69</f>
        <v/>
      </c>
      <c r="I69" s="16">
        <f>MAR!G69</f>
        <v/>
      </c>
      <c r="J69" s="17">
        <f>IF(COUNT(J58:J59)=0,"",IFERROR((N(J58)+N(J59))/J56,""))</f>
        <v/>
      </c>
      <c r="K69" s="16">
        <f>APR!G69</f>
        <v/>
      </c>
      <c r="L69" s="16">
        <f>MAY!G69</f>
        <v/>
      </c>
      <c r="M69" s="16">
        <f>JUN!G69</f>
        <v/>
      </c>
      <c r="N69" s="17">
        <f>IF(COUNT(N58:N59)=0,"",IFERROR((N(N58)+N(N59))/N56,""))</f>
        <v/>
      </c>
      <c r="O69" s="16">
        <f>JUL!G69</f>
        <v/>
      </c>
      <c r="P69" s="16">
        <f>AUG!G69</f>
        <v/>
      </c>
      <c r="Q69" s="16">
        <f>SEP!G69</f>
        <v/>
      </c>
      <c r="R69" s="17">
        <f>IF(COUNT(R58:R59)=0,"",IFERROR((N(R58)+N(R59))/R56,""))</f>
        <v/>
      </c>
      <c r="S69" s="17">
        <f>IF(COUNT(S58:S59)=0,"",IFERROR((N(S58)+N(S59))/S56,""))</f>
        <v/>
      </c>
    </row>
    <row r="70" ht="18.75" customHeight="1">
      <c r="A70" s="3" t="n"/>
      <c r="B70" s="25" t="inlineStr">
        <is>
          <t>Input Cells Not Submitted</t>
        </is>
      </c>
      <c r="C70" s="14">
        <f>OCT!G70</f>
        <v/>
      </c>
      <c r="D70" s="14">
        <f>NOV!G70</f>
        <v/>
      </c>
      <c r="E70" s="14">
        <f>DEC!G70</f>
        <v/>
      </c>
      <c r="F70" s="14">
        <f>SUM(C70:E70)</f>
        <v/>
      </c>
      <c r="G70" s="14">
        <f>JAN!G70</f>
        <v/>
      </c>
      <c r="H70" s="14">
        <f>FEB!G70</f>
        <v/>
      </c>
      <c r="I70" s="14">
        <f>MAR!G70</f>
        <v/>
      </c>
      <c r="J70" s="14">
        <f>SUM(G70:I70)</f>
        <v/>
      </c>
      <c r="K70" s="14">
        <f>APR!G70</f>
        <v/>
      </c>
      <c r="L70" s="14">
        <f>MAY!G70</f>
        <v/>
      </c>
      <c r="M70" s="14">
        <f>JUN!G70</f>
        <v/>
      </c>
      <c r="N70" s="14">
        <f>SUM(K70:M70)</f>
        <v/>
      </c>
      <c r="O70" s="14">
        <f>JUL!G70</f>
        <v/>
      </c>
      <c r="P70" s="14">
        <f>AUG!G70</f>
        <v/>
      </c>
      <c r="Q70" s="14">
        <f>SEP!G70</f>
        <v/>
      </c>
      <c r="R70" s="14">
        <f>SUM(O70:Q70)</f>
        <v/>
      </c>
      <c r="S70" s="14">
        <f>SUM(C70:E70,G70:I70,K70:M70,O70:Q70)</f>
        <v/>
      </c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SERVICES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 t="n">
        <v>202610</v>
      </c>
      <c r="B2" s="5" t="inlineStr">
        <is>
          <t>OCT</t>
        </is>
      </c>
      <c r="C2" s="27" t="inlineStr">
        <is>
          <t>Jonas Browne &amp; Hubbard (G'da) Limited</t>
        </is>
      </c>
      <c r="D2" s="27" t="inlineStr">
        <is>
          <t>M&amp;C Drugstore</t>
        </is>
      </c>
      <c r="E2" s="27" t="inlineStr">
        <is>
          <t>M&amp;C Ltd.</t>
        </is>
      </c>
      <c r="F2" s="27" t="inlineStr">
        <is>
          <t>Coreas Hazells (Services)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30" t="n"/>
      <c r="D31" s="30" t="n"/>
      <c r="E31" s="30" t="n"/>
      <c r="F31" s="30" t="n"/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IF('(Jonas)'!$AB$4="","",'(Jonas)'!$AB$4)</f>
        <v/>
      </c>
      <c r="D39" s="14">
        <f>IF('(M&amp;C_Drug)'!$AB$4="","",'(M&amp;C_Drug)'!$AB$4)</f>
        <v/>
      </c>
      <c r="E39" s="14">
        <f>IF('(M&amp;C_Ltd)'!$AB$4="","",'(M&amp;C_Ltd)'!$AB$4)</f>
        <v/>
      </c>
      <c r="F39" s="14">
        <f>IF('(Coreas_Serv)'!$AB$4="","",'(Coreas_Serv)'!$AB$4)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IF('(Jonas)'!$AD$4="","",'(Jonas)'!$AD$4)</f>
        <v/>
      </c>
      <c r="D40" s="14">
        <f>IF('(M&amp;C_Drug)'!$AD$4="","",'(M&amp;C_Drug)'!$AD$4)</f>
        <v/>
      </c>
      <c r="E40" s="14">
        <f>IF('(M&amp;C_Ltd)'!$AD$4="","",'(M&amp;C_Ltd)'!$AD$4)</f>
        <v/>
      </c>
      <c r="F40" s="14">
        <f>IF('(Coreas_Serv)'!$AD$4="","",'(Coreas_Serv)'!$AD$4)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IF('(Jonas)'!$G$4="","",'(Jonas)'!$G$4)</f>
        <v/>
      </c>
      <c r="D46" s="19">
        <f>IF('(M&amp;C_Drug)'!$G$4="","",'(M&amp;C_Drug)'!$G$4)</f>
        <v/>
      </c>
      <c r="E46" s="19">
        <f>IF('(M&amp;C_Ltd)'!$G$4="","",'(M&amp;C_Ltd)'!$G$4)</f>
        <v/>
      </c>
      <c r="F46" s="19">
        <f>IF('(Coreas_Serv)'!$G$4="","",'(Coreas_Serv)'!$G$4)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IF('(Jonas)'!$O$4="","",'(Jonas)'!$O$4)</f>
        <v/>
      </c>
      <c r="D47" s="19">
        <f>IF('(M&amp;C_Drug)'!$O$4="","",'(M&amp;C_Drug)'!$O$4)</f>
        <v/>
      </c>
      <c r="E47" s="19">
        <f>IF('(M&amp;C_Ltd)'!$O$4="","",'(M&amp;C_Ltd)'!$O$4)</f>
        <v/>
      </c>
      <c r="F47" s="19">
        <f>IF('(Coreas_Serv)'!$O$4="","",'(Coreas_Serv)'!$O$4)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SERVICES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VALUE(TEXT(EDATE(DATE(LEFT(OCT!A2,4),RIGHT(OCT!A2,2),1),1),"yyyymm"))</f>
        <v/>
      </c>
      <c r="B2" s="5" t="inlineStr">
        <is>
          <t>NOV</t>
        </is>
      </c>
      <c r="C2" s="27" t="inlineStr">
        <is>
          <t>Jonas Browne &amp; Hubbard (G'da) Limited</t>
        </is>
      </c>
      <c r="D2" s="27" t="inlineStr">
        <is>
          <t>M&amp;C Drugstore</t>
        </is>
      </c>
      <c r="E2" s="27" t="inlineStr">
        <is>
          <t>M&amp;C Ltd.</t>
        </is>
      </c>
      <c r="F2" s="27" t="inlineStr">
        <is>
          <t>Coreas Hazells (Services)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IF(OCT!C5="","",OCT!C5)</f>
        <v/>
      </c>
      <c r="D31" s="11">
        <f>IF(OCT!D5="","",OCT!D5)</f>
        <v/>
      </c>
      <c r="E31" s="11">
        <f>IF(OCT!E5="","",OCT!E5)</f>
        <v/>
      </c>
      <c r="F31" s="11">
        <f>IF(OCT!F5="","",OCT!F5)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IF('(Jonas)'!$AB$5="","",'(Jonas)'!$AB$5)</f>
        <v/>
      </c>
      <c r="D39" s="14">
        <f>IF('(M&amp;C_Drug)'!$AB$5="","",'(M&amp;C_Drug)'!$AB$5)</f>
        <v/>
      </c>
      <c r="E39" s="14">
        <f>IF('(M&amp;C_Ltd)'!$AB$5="","",'(M&amp;C_Ltd)'!$AB$5)</f>
        <v/>
      </c>
      <c r="F39" s="14">
        <f>IF('(Coreas_Serv)'!$AB$5="","",'(Coreas_Serv)'!$AB$5)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IF('(Jonas)'!$AD$5="","",'(Jonas)'!$AD$5)</f>
        <v/>
      </c>
      <c r="D40" s="14">
        <f>IF('(M&amp;C_Drug)'!$AD$5="","",'(M&amp;C_Drug)'!$AD$5)</f>
        <v/>
      </c>
      <c r="E40" s="14">
        <f>IF('(M&amp;C_Ltd)'!$AD$5="","",'(M&amp;C_Ltd)'!$AD$5)</f>
        <v/>
      </c>
      <c r="F40" s="14">
        <f>IF('(Coreas_Serv)'!$AD$5="","",'(Coreas_Serv)'!$AD$5)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IF('(Jonas)'!$G$5="","",'(Jonas)'!$G$5)</f>
        <v/>
      </c>
      <c r="D46" s="19">
        <f>IF('(M&amp;C_Drug)'!$G$5="","",'(M&amp;C_Drug)'!$G$5)</f>
        <v/>
      </c>
      <c r="E46" s="19">
        <f>IF('(M&amp;C_Ltd)'!$G$5="","",'(M&amp;C_Ltd)'!$G$5)</f>
        <v/>
      </c>
      <c r="F46" s="19">
        <f>IF('(Coreas_Serv)'!$G$5="","",'(Coreas_Serv)'!$G$5)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IF('(Jonas)'!$O$5="","",'(Jonas)'!$O$5)</f>
        <v/>
      </c>
      <c r="D47" s="19">
        <f>IF('(M&amp;C_Drug)'!$O$5="","",'(M&amp;C_Drug)'!$O$5)</f>
        <v/>
      </c>
      <c r="E47" s="19">
        <f>IF('(M&amp;C_Ltd)'!$O$5="","",'(M&amp;C_Ltd)'!$O$5)</f>
        <v/>
      </c>
      <c r="F47" s="19">
        <f>IF('(Coreas_Serv)'!$O$5="","",'(Coreas_Serv)'!$O$5)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SERVICES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VALUE(TEXT(EDATE(DATE(LEFT(NOV!A2,4),RIGHT(NOV!A2,2),1),1),"yyyymm"))</f>
        <v/>
      </c>
      <c r="B2" s="5" t="inlineStr">
        <is>
          <t>DEC</t>
        </is>
      </c>
      <c r="C2" s="27" t="inlineStr">
        <is>
          <t>Jonas Browne &amp; Hubbard (G'da) Limited</t>
        </is>
      </c>
      <c r="D2" s="27" t="inlineStr">
        <is>
          <t>M&amp;C Drugstore</t>
        </is>
      </c>
      <c r="E2" s="27" t="inlineStr">
        <is>
          <t>M&amp;C Ltd.</t>
        </is>
      </c>
      <c r="F2" s="27" t="inlineStr">
        <is>
          <t>Coreas Hazells (Services)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IF(NOV!C5="","",NOV!C5)</f>
        <v/>
      </c>
      <c r="D31" s="11">
        <f>IF(NOV!D5="","",NOV!D5)</f>
        <v/>
      </c>
      <c r="E31" s="11">
        <f>IF(NOV!E5="","",NOV!E5)</f>
        <v/>
      </c>
      <c r="F31" s="11">
        <f>IF(NOV!F5="","",NOV!F5)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IF('(Jonas)'!$AB$6="","",'(Jonas)'!$AB$6)</f>
        <v/>
      </c>
      <c r="D39" s="14">
        <f>IF('(M&amp;C_Drug)'!$AB$6="","",'(M&amp;C_Drug)'!$AB$6)</f>
        <v/>
      </c>
      <c r="E39" s="14">
        <f>IF('(M&amp;C_Ltd)'!$AB$6="","",'(M&amp;C_Ltd)'!$AB$6)</f>
        <v/>
      </c>
      <c r="F39" s="14">
        <f>IF('(Coreas_Serv)'!$AB$6="","",'(Coreas_Serv)'!$AB$6)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IF('(Jonas)'!$AD$6="","",'(Jonas)'!$AD$6)</f>
        <v/>
      </c>
      <c r="D40" s="14">
        <f>IF('(M&amp;C_Drug)'!$AD$6="","",'(M&amp;C_Drug)'!$AD$6)</f>
        <v/>
      </c>
      <c r="E40" s="14">
        <f>IF('(M&amp;C_Ltd)'!$AD$6="","",'(M&amp;C_Ltd)'!$AD$6)</f>
        <v/>
      </c>
      <c r="F40" s="14">
        <f>IF('(Coreas_Serv)'!$AD$6="","",'(Coreas_Serv)'!$AD$6)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IF('(Jonas)'!$G$6="","",'(Jonas)'!$G$6)</f>
        <v/>
      </c>
      <c r="D46" s="19">
        <f>IF('(M&amp;C_Drug)'!$G$6="","",'(M&amp;C_Drug)'!$G$6)</f>
        <v/>
      </c>
      <c r="E46" s="19">
        <f>IF('(M&amp;C_Ltd)'!$G$6="","",'(M&amp;C_Ltd)'!$G$6)</f>
        <v/>
      </c>
      <c r="F46" s="19">
        <f>IF('(Coreas_Serv)'!$G$6="","",'(Coreas_Serv)'!$G$6)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IF('(Jonas)'!$O$6="","",'(Jonas)'!$O$6)</f>
        <v/>
      </c>
      <c r="D47" s="19">
        <f>IF('(M&amp;C_Drug)'!$O$6="","",'(M&amp;C_Drug)'!$O$6)</f>
        <v/>
      </c>
      <c r="E47" s="19">
        <f>IF('(M&amp;C_Ltd)'!$O$6="","",'(M&amp;C_Ltd)'!$O$6)</f>
        <v/>
      </c>
      <c r="F47" s="19">
        <f>IF('(Coreas_Serv)'!$O$6="","",'(Coreas_Serv)'!$O$6)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SERVICES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VALUE(TEXT(EDATE(DATE(LEFT(DEC!A2,4),RIGHT(DEC!A2,2),1),1),"yyyymm"))</f>
        <v/>
      </c>
      <c r="B2" s="5" t="inlineStr">
        <is>
          <t>JAN</t>
        </is>
      </c>
      <c r="C2" s="27" t="inlineStr">
        <is>
          <t>Jonas Browne &amp; Hubbard (G'da) Limited</t>
        </is>
      </c>
      <c r="D2" s="27" t="inlineStr">
        <is>
          <t>M&amp;C Drugstore</t>
        </is>
      </c>
      <c r="E2" s="27" t="inlineStr">
        <is>
          <t>M&amp;C Ltd.</t>
        </is>
      </c>
      <c r="F2" s="27" t="inlineStr">
        <is>
          <t>Coreas Hazells (Services)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IF(DEC!C5="","",DEC!C5)</f>
        <v/>
      </c>
      <c r="D31" s="11">
        <f>IF(DEC!D5="","",DEC!D5)</f>
        <v/>
      </c>
      <c r="E31" s="11">
        <f>IF(DEC!E5="","",DEC!E5)</f>
        <v/>
      </c>
      <c r="F31" s="11">
        <f>IF(DEC!F5="","",DEC!F5)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IF('(Jonas)'!$AB$7="","",'(Jonas)'!$AB$7)</f>
        <v/>
      </c>
      <c r="D39" s="14">
        <f>IF('(M&amp;C_Drug)'!$AB$7="","",'(M&amp;C_Drug)'!$AB$7)</f>
        <v/>
      </c>
      <c r="E39" s="14">
        <f>IF('(M&amp;C_Ltd)'!$AB$7="","",'(M&amp;C_Ltd)'!$AB$7)</f>
        <v/>
      </c>
      <c r="F39" s="14">
        <f>IF('(Coreas_Serv)'!$AB$7="","",'(Coreas_Serv)'!$AB$7)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IF('(Jonas)'!$AD$7="","",'(Jonas)'!$AD$7)</f>
        <v/>
      </c>
      <c r="D40" s="14">
        <f>IF('(M&amp;C_Drug)'!$AD$7="","",'(M&amp;C_Drug)'!$AD$7)</f>
        <v/>
      </c>
      <c r="E40" s="14">
        <f>IF('(M&amp;C_Ltd)'!$AD$7="","",'(M&amp;C_Ltd)'!$AD$7)</f>
        <v/>
      </c>
      <c r="F40" s="14">
        <f>IF('(Coreas_Serv)'!$AD$7="","",'(Coreas_Serv)'!$AD$7)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IF('(Jonas)'!$G$7="","",'(Jonas)'!$G$7)</f>
        <v/>
      </c>
      <c r="D46" s="19">
        <f>IF('(M&amp;C_Drug)'!$G$7="","",'(M&amp;C_Drug)'!$G$7)</f>
        <v/>
      </c>
      <c r="E46" s="19">
        <f>IF('(M&amp;C_Ltd)'!$G$7="","",'(M&amp;C_Ltd)'!$G$7)</f>
        <v/>
      </c>
      <c r="F46" s="19">
        <f>IF('(Coreas_Serv)'!$G$7="","",'(Coreas_Serv)'!$G$7)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IF('(Jonas)'!$O$7="","",'(Jonas)'!$O$7)</f>
        <v/>
      </c>
      <c r="D47" s="19">
        <f>IF('(M&amp;C_Drug)'!$O$7="","",'(M&amp;C_Drug)'!$O$7)</f>
        <v/>
      </c>
      <c r="E47" s="19">
        <f>IF('(M&amp;C_Ltd)'!$O$7="","",'(M&amp;C_Ltd)'!$O$7)</f>
        <v/>
      </c>
      <c r="F47" s="19">
        <f>IF('(Coreas_Serv)'!$O$7="","",'(Coreas_Serv)'!$O$7)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SERVICES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VALUE(TEXT(EDATE(DATE(LEFT(JAN!A2,4),RIGHT(JAN!A2,2),1),1),"yyyymm"))</f>
        <v/>
      </c>
      <c r="B2" s="5" t="inlineStr">
        <is>
          <t>FEB</t>
        </is>
      </c>
      <c r="C2" s="27" t="inlineStr">
        <is>
          <t>Jonas Browne &amp; Hubbard (G'da) Limited</t>
        </is>
      </c>
      <c r="D2" s="27" t="inlineStr">
        <is>
          <t>M&amp;C Drugstore</t>
        </is>
      </c>
      <c r="E2" s="27" t="inlineStr">
        <is>
          <t>M&amp;C Ltd.</t>
        </is>
      </c>
      <c r="F2" s="27" t="inlineStr">
        <is>
          <t>Coreas Hazells (Services)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IF(JAN!C5="","",JAN!C5)</f>
        <v/>
      </c>
      <c r="D31" s="11">
        <f>IF(JAN!D5="","",JAN!D5)</f>
        <v/>
      </c>
      <c r="E31" s="11">
        <f>IF(JAN!E5="","",JAN!E5)</f>
        <v/>
      </c>
      <c r="F31" s="11">
        <f>IF(JAN!F5="","",JAN!F5)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IF('(Jonas)'!$AB$8="","",'(Jonas)'!$AB$8)</f>
        <v/>
      </c>
      <c r="D39" s="14">
        <f>IF('(M&amp;C_Drug)'!$AB$8="","",'(M&amp;C_Drug)'!$AB$8)</f>
        <v/>
      </c>
      <c r="E39" s="14">
        <f>IF('(M&amp;C_Ltd)'!$AB$8="","",'(M&amp;C_Ltd)'!$AB$8)</f>
        <v/>
      </c>
      <c r="F39" s="14">
        <f>IF('(Coreas_Serv)'!$AB$8="","",'(Coreas_Serv)'!$AB$8)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IF('(Jonas)'!$AD$8="","",'(Jonas)'!$AD$8)</f>
        <v/>
      </c>
      <c r="D40" s="14">
        <f>IF('(M&amp;C_Drug)'!$AD$8="","",'(M&amp;C_Drug)'!$AD$8)</f>
        <v/>
      </c>
      <c r="E40" s="14">
        <f>IF('(M&amp;C_Ltd)'!$AD$8="","",'(M&amp;C_Ltd)'!$AD$8)</f>
        <v/>
      </c>
      <c r="F40" s="14">
        <f>IF('(Coreas_Serv)'!$AD$8="","",'(Coreas_Serv)'!$AD$8)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IF('(Jonas)'!$G$8="","",'(Jonas)'!$G$8)</f>
        <v/>
      </c>
      <c r="D46" s="19">
        <f>IF('(M&amp;C_Drug)'!$G$8="","",'(M&amp;C_Drug)'!$G$8)</f>
        <v/>
      </c>
      <c r="E46" s="19">
        <f>IF('(M&amp;C_Ltd)'!$G$8="","",'(M&amp;C_Ltd)'!$G$8)</f>
        <v/>
      </c>
      <c r="F46" s="19">
        <f>IF('(Coreas_Serv)'!$G$8="","",'(Coreas_Serv)'!$G$8)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IF('(Jonas)'!$O$8="","",'(Jonas)'!$O$8)</f>
        <v/>
      </c>
      <c r="D47" s="19">
        <f>IF('(M&amp;C_Drug)'!$O$8="","",'(M&amp;C_Drug)'!$O$8)</f>
        <v/>
      </c>
      <c r="E47" s="19">
        <f>IF('(M&amp;C_Ltd)'!$O$8="","",'(M&amp;C_Ltd)'!$O$8)</f>
        <v/>
      </c>
      <c r="F47" s="19">
        <f>IF('(Coreas_Serv)'!$O$8="","",'(Coreas_Serv)'!$O$8)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SERVICES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VALUE(TEXT(EDATE(DATE(LEFT(FEB!A2,4),RIGHT(FEB!A2,2),1),1),"yyyymm"))</f>
        <v/>
      </c>
      <c r="B2" s="5" t="inlineStr">
        <is>
          <t>MAR</t>
        </is>
      </c>
      <c r="C2" s="27" t="inlineStr">
        <is>
          <t>Jonas Browne &amp; Hubbard (G'da) Limited</t>
        </is>
      </c>
      <c r="D2" s="27" t="inlineStr">
        <is>
          <t>M&amp;C Drugstore</t>
        </is>
      </c>
      <c r="E2" s="27" t="inlineStr">
        <is>
          <t>M&amp;C Ltd.</t>
        </is>
      </c>
      <c r="F2" s="27" t="inlineStr">
        <is>
          <t>Coreas Hazells (Services)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IF(FEB!C5="","",FEB!C5)</f>
        <v/>
      </c>
      <c r="D31" s="11">
        <f>IF(FEB!D5="","",FEB!D5)</f>
        <v/>
      </c>
      <c r="E31" s="11">
        <f>IF(FEB!E5="","",FEB!E5)</f>
        <v/>
      </c>
      <c r="F31" s="11">
        <f>IF(FEB!F5="","",FEB!F5)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IF('(Jonas)'!$AB$9="","",'(Jonas)'!$AB$9)</f>
        <v/>
      </c>
      <c r="D39" s="14">
        <f>IF('(M&amp;C_Drug)'!$AB$9="","",'(M&amp;C_Drug)'!$AB$9)</f>
        <v/>
      </c>
      <c r="E39" s="14">
        <f>IF('(M&amp;C_Ltd)'!$AB$9="","",'(M&amp;C_Ltd)'!$AB$9)</f>
        <v/>
      </c>
      <c r="F39" s="14">
        <f>IF('(Coreas_Serv)'!$AB$9="","",'(Coreas_Serv)'!$AB$9)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IF('(Jonas)'!$AD$9="","",'(Jonas)'!$AD$9)</f>
        <v/>
      </c>
      <c r="D40" s="14">
        <f>IF('(M&amp;C_Drug)'!$AD$9="","",'(M&amp;C_Drug)'!$AD$9)</f>
        <v/>
      </c>
      <c r="E40" s="14">
        <f>IF('(M&amp;C_Ltd)'!$AD$9="","",'(M&amp;C_Ltd)'!$AD$9)</f>
        <v/>
      </c>
      <c r="F40" s="14">
        <f>IF('(Coreas_Serv)'!$AD$9="","",'(Coreas_Serv)'!$AD$9)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IF('(Jonas)'!$G$9="","",'(Jonas)'!$G$9)</f>
        <v/>
      </c>
      <c r="D46" s="19">
        <f>IF('(M&amp;C_Drug)'!$G$9="","",'(M&amp;C_Drug)'!$G$9)</f>
        <v/>
      </c>
      <c r="E46" s="19">
        <f>IF('(M&amp;C_Ltd)'!$G$9="","",'(M&amp;C_Ltd)'!$G$9)</f>
        <v/>
      </c>
      <c r="F46" s="19">
        <f>IF('(Coreas_Serv)'!$G$9="","",'(Coreas_Serv)'!$G$9)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IF('(Jonas)'!$O$9="","",'(Jonas)'!$O$9)</f>
        <v/>
      </c>
      <c r="D47" s="19">
        <f>IF('(M&amp;C_Drug)'!$O$9="","",'(M&amp;C_Drug)'!$O$9)</f>
        <v/>
      </c>
      <c r="E47" s="19">
        <f>IF('(M&amp;C_Ltd)'!$O$9="","",'(M&amp;C_Ltd)'!$O$9)</f>
        <v/>
      </c>
      <c r="F47" s="19">
        <f>IF('(Coreas_Serv)'!$O$9="","",'(Coreas_Serv)'!$O$9)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SERVICES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VALUE(TEXT(EDATE(DATE(LEFT(MAR!A2,4),RIGHT(MAR!A2,2),1),1),"yyyymm"))</f>
        <v/>
      </c>
      <c r="B2" s="5" t="inlineStr">
        <is>
          <t>APR</t>
        </is>
      </c>
      <c r="C2" s="27" t="inlineStr">
        <is>
          <t>Jonas Browne &amp; Hubbard (G'da) Limited</t>
        </is>
      </c>
      <c r="D2" s="27" t="inlineStr">
        <is>
          <t>M&amp;C Drugstore</t>
        </is>
      </c>
      <c r="E2" s="27" t="inlineStr">
        <is>
          <t>M&amp;C Ltd.</t>
        </is>
      </c>
      <c r="F2" s="27" t="inlineStr">
        <is>
          <t>Coreas Hazells (Services)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IF(MAR!C5="","",MAR!C5)</f>
        <v/>
      </c>
      <c r="D31" s="11">
        <f>IF(MAR!D5="","",MAR!D5)</f>
        <v/>
      </c>
      <c r="E31" s="11">
        <f>IF(MAR!E5="","",MAR!E5)</f>
        <v/>
      </c>
      <c r="F31" s="11">
        <f>IF(MAR!F5="","",MAR!F5)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IF('(Jonas)'!$AB$10="","",'(Jonas)'!$AB$10)</f>
        <v/>
      </c>
      <c r="D39" s="14">
        <f>IF('(M&amp;C_Drug)'!$AB$10="","",'(M&amp;C_Drug)'!$AB$10)</f>
        <v/>
      </c>
      <c r="E39" s="14">
        <f>IF('(M&amp;C_Ltd)'!$AB$10="","",'(M&amp;C_Ltd)'!$AB$10)</f>
        <v/>
      </c>
      <c r="F39" s="14">
        <f>IF('(Coreas_Serv)'!$AB$10="","",'(Coreas_Serv)'!$AB$10)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IF('(Jonas)'!$AD$10="","",'(Jonas)'!$AD$10)</f>
        <v/>
      </c>
      <c r="D40" s="14">
        <f>IF('(M&amp;C_Drug)'!$AD$10="","",'(M&amp;C_Drug)'!$AD$10)</f>
        <v/>
      </c>
      <c r="E40" s="14">
        <f>IF('(M&amp;C_Ltd)'!$AD$10="","",'(M&amp;C_Ltd)'!$AD$10)</f>
        <v/>
      </c>
      <c r="F40" s="14">
        <f>IF('(Coreas_Serv)'!$AD$10="","",'(Coreas_Serv)'!$AD$10)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IF('(Jonas)'!$G$10="","",'(Jonas)'!$G$10)</f>
        <v/>
      </c>
      <c r="D46" s="19">
        <f>IF('(M&amp;C_Drug)'!$G$10="","",'(M&amp;C_Drug)'!$G$10)</f>
        <v/>
      </c>
      <c r="E46" s="19">
        <f>IF('(M&amp;C_Ltd)'!$G$10="","",'(M&amp;C_Ltd)'!$G$10)</f>
        <v/>
      </c>
      <c r="F46" s="19">
        <f>IF('(Coreas_Serv)'!$G$10="","",'(Coreas_Serv)'!$G$10)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IF('(Jonas)'!$O$10="","",'(Jonas)'!$O$10)</f>
        <v/>
      </c>
      <c r="D47" s="19">
        <f>IF('(M&amp;C_Drug)'!$O$10="","",'(M&amp;C_Drug)'!$O$10)</f>
        <v/>
      </c>
      <c r="E47" s="19">
        <f>IF('(M&amp;C_Ltd)'!$O$10="","",'(M&amp;C_Ltd)'!$O$10)</f>
        <v/>
      </c>
      <c r="F47" s="19">
        <f>IF('(Coreas_Serv)'!$O$10="","",'(Coreas_Serv)'!$O$10)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SERVICES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VALUE(TEXT(EDATE(DATE(LEFT(APR!A2,4),RIGHT(APR!A2,2),1),1),"yyyymm"))</f>
        <v/>
      </c>
      <c r="B2" s="5" t="inlineStr">
        <is>
          <t>MAY</t>
        </is>
      </c>
      <c r="C2" s="27" t="inlineStr">
        <is>
          <t>Jonas Browne &amp; Hubbard (G'da) Limited</t>
        </is>
      </c>
      <c r="D2" s="27" t="inlineStr">
        <is>
          <t>M&amp;C Drugstore</t>
        </is>
      </c>
      <c r="E2" s="27" t="inlineStr">
        <is>
          <t>M&amp;C Ltd.</t>
        </is>
      </c>
      <c r="F2" s="27" t="inlineStr">
        <is>
          <t>Coreas Hazells (Services)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IF(APR!C5="","",APR!C5)</f>
        <v/>
      </c>
      <c r="D31" s="11">
        <f>IF(APR!D5="","",APR!D5)</f>
        <v/>
      </c>
      <c r="E31" s="11">
        <f>IF(APR!E5="","",APR!E5)</f>
        <v/>
      </c>
      <c r="F31" s="11">
        <f>IF(APR!F5="","",APR!F5)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IF('(Jonas)'!$AB$11="","",'(Jonas)'!$AB$11)</f>
        <v/>
      </c>
      <c r="D39" s="14">
        <f>IF('(M&amp;C_Drug)'!$AB$11="","",'(M&amp;C_Drug)'!$AB$11)</f>
        <v/>
      </c>
      <c r="E39" s="14">
        <f>IF('(M&amp;C_Ltd)'!$AB$11="","",'(M&amp;C_Ltd)'!$AB$11)</f>
        <v/>
      </c>
      <c r="F39" s="14">
        <f>IF('(Coreas_Serv)'!$AB$11="","",'(Coreas_Serv)'!$AB$11)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IF('(Jonas)'!$AD$11="","",'(Jonas)'!$AD$11)</f>
        <v/>
      </c>
      <c r="D40" s="14">
        <f>IF('(M&amp;C_Drug)'!$AD$11="","",'(M&amp;C_Drug)'!$AD$11)</f>
        <v/>
      </c>
      <c r="E40" s="14">
        <f>IF('(M&amp;C_Ltd)'!$AD$11="","",'(M&amp;C_Ltd)'!$AD$11)</f>
        <v/>
      </c>
      <c r="F40" s="14">
        <f>IF('(Coreas_Serv)'!$AD$11="","",'(Coreas_Serv)'!$AD$11)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IF('(Jonas)'!$G$11="","",'(Jonas)'!$G$11)</f>
        <v/>
      </c>
      <c r="D46" s="19">
        <f>IF('(M&amp;C_Drug)'!$G$11="","",'(M&amp;C_Drug)'!$G$11)</f>
        <v/>
      </c>
      <c r="E46" s="19">
        <f>IF('(M&amp;C_Ltd)'!$G$11="","",'(M&amp;C_Ltd)'!$G$11)</f>
        <v/>
      </c>
      <c r="F46" s="19">
        <f>IF('(Coreas_Serv)'!$G$11="","",'(Coreas_Serv)'!$G$11)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IF('(Jonas)'!$O$11="","",'(Jonas)'!$O$11)</f>
        <v/>
      </c>
      <c r="D47" s="19">
        <f>IF('(M&amp;C_Drug)'!$O$11="","",'(M&amp;C_Drug)'!$O$11)</f>
        <v/>
      </c>
      <c r="E47" s="19">
        <f>IF('(M&amp;C_Ltd)'!$O$11="","",'(M&amp;C_Ltd)'!$O$11)</f>
        <v/>
      </c>
      <c r="F47" s="19">
        <f>IF('(Coreas_Serv)'!$O$11="","",'(Coreas_Serv)'!$O$11)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SERVICES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VALUE(TEXT(EDATE(DATE(LEFT(MAY!A2,4),RIGHT(MAY!A2,2),1),1),"yyyymm"))</f>
        <v/>
      </c>
      <c r="B2" s="5" t="inlineStr">
        <is>
          <t>JUN</t>
        </is>
      </c>
      <c r="C2" s="27" t="inlineStr">
        <is>
          <t>Jonas Browne &amp; Hubbard (G'da) Limited</t>
        </is>
      </c>
      <c r="D2" s="27" t="inlineStr">
        <is>
          <t>M&amp;C Drugstore</t>
        </is>
      </c>
      <c r="E2" s="27" t="inlineStr">
        <is>
          <t>M&amp;C Ltd.</t>
        </is>
      </c>
      <c r="F2" s="27" t="inlineStr">
        <is>
          <t>Coreas Hazells (Services)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IF(MAY!C5="","",MAY!C5)</f>
        <v/>
      </c>
      <c r="D31" s="11">
        <f>IF(MAY!D5="","",MAY!D5)</f>
        <v/>
      </c>
      <c r="E31" s="11">
        <f>IF(MAY!E5="","",MAY!E5)</f>
        <v/>
      </c>
      <c r="F31" s="11">
        <f>IF(MAY!F5="","",MAY!F5)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IF('(Jonas)'!$AB$12="","",'(Jonas)'!$AB$12)</f>
        <v/>
      </c>
      <c r="D39" s="14">
        <f>IF('(M&amp;C_Drug)'!$AB$12="","",'(M&amp;C_Drug)'!$AB$12)</f>
        <v/>
      </c>
      <c r="E39" s="14">
        <f>IF('(M&amp;C_Ltd)'!$AB$12="","",'(M&amp;C_Ltd)'!$AB$12)</f>
        <v/>
      </c>
      <c r="F39" s="14">
        <f>IF('(Coreas_Serv)'!$AB$12="","",'(Coreas_Serv)'!$AB$12)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IF('(Jonas)'!$AD$12="","",'(Jonas)'!$AD$12)</f>
        <v/>
      </c>
      <c r="D40" s="14">
        <f>IF('(M&amp;C_Drug)'!$AD$12="","",'(M&amp;C_Drug)'!$AD$12)</f>
        <v/>
      </c>
      <c r="E40" s="14">
        <f>IF('(M&amp;C_Ltd)'!$AD$12="","",'(M&amp;C_Ltd)'!$AD$12)</f>
        <v/>
      </c>
      <c r="F40" s="14">
        <f>IF('(Coreas_Serv)'!$AD$12="","",'(Coreas_Serv)'!$AD$12)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IF('(Jonas)'!$G$12="","",'(Jonas)'!$G$12)</f>
        <v/>
      </c>
      <c r="D46" s="19">
        <f>IF('(M&amp;C_Drug)'!$G$12="","",'(M&amp;C_Drug)'!$G$12)</f>
        <v/>
      </c>
      <c r="E46" s="19">
        <f>IF('(M&amp;C_Ltd)'!$G$12="","",'(M&amp;C_Ltd)'!$G$12)</f>
        <v/>
      </c>
      <c r="F46" s="19">
        <f>IF('(Coreas_Serv)'!$G$12="","",'(Coreas_Serv)'!$G$12)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IF('(Jonas)'!$O$12="","",'(Jonas)'!$O$12)</f>
        <v/>
      </c>
      <c r="D47" s="19">
        <f>IF('(M&amp;C_Drug)'!$O$12="","",'(M&amp;C_Drug)'!$O$12)</f>
        <v/>
      </c>
      <c r="E47" s="19">
        <f>IF('(M&amp;C_Ltd)'!$O$12="","",'(M&amp;C_Ltd)'!$O$12)</f>
        <v/>
      </c>
      <c r="F47" s="19">
        <f>IF('(Coreas_Serv)'!$O$12="","",'(Coreas_Serv)'!$O$12)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SERVICES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VALUE(TEXT(EDATE(DATE(LEFT(JUN!A2,4),RIGHT(JUN!A2,2),1),1),"yyyymm"))</f>
        <v/>
      </c>
      <c r="B2" s="5" t="inlineStr">
        <is>
          <t>JUL</t>
        </is>
      </c>
      <c r="C2" s="27" t="inlineStr">
        <is>
          <t>Jonas Browne &amp; Hubbard (G'da) Limited</t>
        </is>
      </c>
      <c r="D2" s="27" t="inlineStr">
        <is>
          <t>M&amp;C Drugstore</t>
        </is>
      </c>
      <c r="E2" s="27" t="inlineStr">
        <is>
          <t>M&amp;C Ltd.</t>
        </is>
      </c>
      <c r="F2" s="27" t="inlineStr">
        <is>
          <t>Coreas Hazells (Services)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IF(JUN!C5="","",JUN!C5)</f>
        <v/>
      </c>
      <c r="D31" s="11">
        <f>IF(JUN!D5="","",JUN!D5)</f>
        <v/>
      </c>
      <c r="E31" s="11">
        <f>IF(JUN!E5="","",JUN!E5)</f>
        <v/>
      </c>
      <c r="F31" s="11">
        <f>IF(JUN!F5="","",JUN!F5)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IF('(Jonas)'!$AB$13="","",'(Jonas)'!$AB$13)</f>
        <v/>
      </c>
      <c r="D39" s="14">
        <f>IF('(M&amp;C_Drug)'!$AB$13="","",'(M&amp;C_Drug)'!$AB$13)</f>
        <v/>
      </c>
      <c r="E39" s="14">
        <f>IF('(M&amp;C_Ltd)'!$AB$13="","",'(M&amp;C_Ltd)'!$AB$13)</f>
        <v/>
      </c>
      <c r="F39" s="14">
        <f>IF('(Coreas_Serv)'!$AB$13="","",'(Coreas_Serv)'!$AB$13)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IF('(Jonas)'!$AD$13="","",'(Jonas)'!$AD$13)</f>
        <v/>
      </c>
      <c r="D40" s="14">
        <f>IF('(M&amp;C_Drug)'!$AD$13="","",'(M&amp;C_Drug)'!$AD$13)</f>
        <v/>
      </c>
      <c r="E40" s="14">
        <f>IF('(M&amp;C_Ltd)'!$AD$13="","",'(M&amp;C_Ltd)'!$AD$13)</f>
        <v/>
      </c>
      <c r="F40" s="14">
        <f>IF('(Coreas_Serv)'!$AD$13="","",'(Coreas_Serv)'!$AD$13)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IF('(Jonas)'!$G$13="","",'(Jonas)'!$G$13)</f>
        <v/>
      </c>
      <c r="D46" s="19">
        <f>IF('(M&amp;C_Drug)'!$G$13="","",'(M&amp;C_Drug)'!$G$13)</f>
        <v/>
      </c>
      <c r="E46" s="19">
        <f>IF('(M&amp;C_Ltd)'!$G$13="","",'(M&amp;C_Ltd)'!$G$13)</f>
        <v/>
      </c>
      <c r="F46" s="19">
        <f>IF('(Coreas_Serv)'!$G$13="","",'(Coreas_Serv)'!$G$13)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IF('(Jonas)'!$O$13="","",'(Jonas)'!$O$13)</f>
        <v/>
      </c>
      <c r="D47" s="19">
        <f>IF('(M&amp;C_Drug)'!$O$13="","",'(M&amp;C_Drug)'!$O$13)</f>
        <v/>
      </c>
      <c r="E47" s="19">
        <f>IF('(M&amp;C_Ltd)'!$O$13="","",'(M&amp;C_Ltd)'!$O$13)</f>
        <v/>
      </c>
      <c r="F47" s="19">
        <f>IF('(Coreas_Serv)'!$O$13="","",'(Coreas_Serv)'!$O$13)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SERVICES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VALUE(TEXT(EDATE(DATE(LEFT(JUL!A2,4),RIGHT(JUL!A2,2),1),1),"yyyymm"))</f>
        <v/>
      </c>
      <c r="B2" s="5" t="inlineStr">
        <is>
          <t>AUG</t>
        </is>
      </c>
      <c r="C2" s="27" t="inlineStr">
        <is>
          <t>Jonas Browne &amp; Hubbard (G'da) Limited</t>
        </is>
      </c>
      <c r="D2" s="27" t="inlineStr">
        <is>
          <t>M&amp;C Drugstore</t>
        </is>
      </c>
      <c r="E2" s="27" t="inlineStr">
        <is>
          <t>M&amp;C Ltd.</t>
        </is>
      </c>
      <c r="F2" s="27" t="inlineStr">
        <is>
          <t>Coreas Hazells (Services)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IF(JUL!C5="","",JUL!C5)</f>
        <v/>
      </c>
      <c r="D31" s="11">
        <f>IF(JUL!D5="","",JUL!D5)</f>
        <v/>
      </c>
      <c r="E31" s="11">
        <f>IF(JUL!E5="","",JUL!E5)</f>
        <v/>
      </c>
      <c r="F31" s="11">
        <f>IF(JUL!F5="","",JUL!F5)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IF('(Jonas)'!$AB$14="","",'(Jonas)'!$AB$14)</f>
        <v/>
      </c>
      <c r="D39" s="14">
        <f>IF('(M&amp;C_Drug)'!$AB$14="","",'(M&amp;C_Drug)'!$AB$14)</f>
        <v/>
      </c>
      <c r="E39" s="14">
        <f>IF('(M&amp;C_Ltd)'!$AB$14="","",'(M&amp;C_Ltd)'!$AB$14)</f>
        <v/>
      </c>
      <c r="F39" s="14">
        <f>IF('(Coreas_Serv)'!$AB$14="","",'(Coreas_Serv)'!$AB$14)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IF('(Jonas)'!$AD$14="","",'(Jonas)'!$AD$14)</f>
        <v/>
      </c>
      <c r="D40" s="14">
        <f>IF('(M&amp;C_Drug)'!$AD$14="","",'(M&amp;C_Drug)'!$AD$14)</f>
        <v/>
      </c>
      <c r="E40" s="14">
        <f>IF('(M&amp;C_Ltd)'!$AD$14="","",'(M&amp;C_Ltd)'!$AD$14)</f>
        <v/>
      </c>
      <c r="F40" s="14">
        <f>IF('(Coreas_Serv)'!$AD$14="","",'(Coreas_Serv)'!$AD$14)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IF('(Jonas)'!$G$14="","",'(Jonas)'!$G$14)</f>
        <v/>
      </c>
      <c r="D46" s="19">
        <f>IF('(M&amp;C_Drug)'!$G$14="","",'(M&amp;C_Drug)'!$G$14)</f>
        <v/>
      </c>
      <c r="E46" s="19">
        <f>IF('(M&amp;C_Ltd)'!$G$14="","",'(M&amp;C_Ltd)'!$G$14)</f>
        <v/>
      </c>
      <c r="F46" s="19">
        <f>IF('(Coreas_Serv)'!$G$14="","",'(Coreas_Serv)'!$G$14)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IF('(Jonas)'!$O$14="","",'(Jonas)'!$O$14)</f>
        <v/>
      </c>
      <c r="D47" s="19">
        <f>IF('(M&amp;C_Drug)'!$O$14="","",'(M&amp;C_Drug)'!$O$14)</f>
        <v/>
      </c>
      <c r="E47" s="19">
        <f>IF('(M&amp;C_Ltd)'!$O$14="","",'(M&amp;C_Ltd)'!$O$14)</f>
        <v/>
      </c>
      <c r="F47" s="19">
        <f>IF('(Coreas_Serv)'!$O$14="","",'(Coreas_Serv)'!$O$14)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SERVICES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VALUE(TEXT(EDATE(DATE(LEFT(AUG!A2,4),RIGHT(AUG!A2,2),1),1),"yyyymm"))</f>
        <v/>
      </c>
      <c r="B2" s="5" t="inlineStr">
        <is>
          <t>SEP</t>
        </is>
      </c>
      <c r="C2" s="27" t="inlineStr">
        <is>
          <t>Jonas Browne &amp; Hubbard (G'da) Limited</t>
        </is>
      </c>
      <c r="D2" s="27" t="inlineStr">
        <is>
          <t>M&amp;C Drugstore</t>
        </is>
      </c>
      <c r="E2" s="27" t="inlineStr">
        <is>
          <t>M&amp;C Ltd.</t>
        </is>
      </c>
      <c r="F2" s="27" t="inlineStr">
        <is>
          <t>Coreas Hazells (Services)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IF(AUG!C5="","",AUG!C5)</f>
        <v/>
      </c>
      <c r="D31" s="11">
        <f>IF(AUG!D5="","",AUG!D5)</f>
        <v/>
      </c>
      <c r="E31" s="11">
        <f>IF(AUG!E5="","",AUG!E5)</f>
        <v/>
      </c>
      <c r="F31" s="11">
        <f>IF(AUG!F5="","",AUG!F5)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IF('(Jonas)'!$AB$15="","",'(Jonas)'!$AB$15)</f>
        <v/>
      </c>
      <c r="D39" s="14">
        <f>IF('(M&amp;C_Drug)'!$AB$15="","",'(M&amp;C_Drug)'!$AB$15)</f>
        <v/>
      </c>
      <c r="E39" s="14">
        <f>IF('(M&amp;C_Ltd)'!$AB$15="","",'(M&amp;C_Ltd)'!$AB$15)</f>
        <v/>
      </c>
      <c r="F39" s="14">
        <f>IF('(Coreas_Serv)'!$AB$15="","",'(Coreas_Serv)'!$AB$15)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IF('(Jonas)'!$AD$15="","",'(Jonas)'!$AD$15)</f>
        <v/>
      </c>
      <c r="D40" s="14">
        <f>IF('(M&amp;C_Drug)'!$AD$15="","",'(M&amp;C_Drug)'!$AD$15)</f>
        <v/>
      </c>
      <c r="E40" s="14">
        <f>IF('(M&amp;C_Ltd)'!$AD$15="","",'(M&amp;C_Ltd)'!$AD$15)</f>
        <v/>
      </c>
      <c r="F40" s="14">
        <f>IF('(Coreas_Serv)'!$AD$15="","",'(Coreas_Serv)'!$AD$15)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IF('(Jonas)'!$G$15="","",'(Jonas)'!$G$15)</f>
        <v/>
      </c>
      <c r="D46" s="19">
        <f>IF('(M&amp;C_Drug)'!$G$15="","",'(M&amp;C_Drug)'!$G$15)</f>
        <v/>
      </c>
      <c r="E46" s="19">
        <f>IF('(M&amp;C_Ltd)'!$G$15="","",'(M&amp;C_Ltd)'!$G$15)</f>
        <v/>
      </c>
      <c r="F46" s="19">
        <f>IF('(Coreas_Serv)'!$G$15="","",'(Coreas_Serv)'!$G$15)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IF('(Jonas)'!$O$15="","",'(Jonas)'!$O$15)</f>
        <v/>
      </c>
      <c r="D47" s="19">
        <f>IF('(M&amp;C_Drug)'!$O$15="","",'(M&amp;C_Drug)'!$O$15)</f>
        <v/>
      </c>
      <c r="E47" s="19">
        <f>IF('(M&amp;C_Ltd)'!$O$15="","",'(M&amp;C_Ltd)'!$O$15)</f>
        <v/>
      </c>
      <c r="F47" s="19">
        <f>IF('(Coreas_Serv)'!$O$15="","",'(Coreas_Serv)'!$O$15)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Jonas Browne &amp; Hubbard (G'da) Limited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IF(OCT!$C$5="","",OCT!$C$5)</f>
        <v/>
      </c>
      <c r="D4" s="55" t="n"/>
      <c r="E4" s="56">
        <f>IF(OCT!$C$43="","",OCT!$C$43)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IF(OCT!$C$44="","",OCT!$C$44)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IF(NOV!$C$5="","",NOV!$C$5)</f>
        <v/>
      </c>
      <c r="D5" s="55" t="n"/>
      <c r="E5" s="56">
        <f>IF(NOV!$C$43="","",NOV!$C$43)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IF(NOV!$C$44="","",NOV!$C$44)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IF(DEC!$C$5="","",DEC!$C$5)</f>
        <v/>
      </c>
      <c r="D6" s="55" t="n"/>
      <c r="E6" s="56">
        <f>IF(DEC!$C$43="","",DEC!$C$43)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IF(DEC!$C$44="","",DEC!$C$44)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IF(JAN!$C$5="","",JAN!$C$5)</f>
        <v/>
      </c>
      <c r="D7" s="55" t="n"/>
      <c r="E7" s="56">
        <f>IF(JAN!$C$43="","",JAN!$C$43)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IF(JAN!$C$44="","",JAN!$C$44)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IF(FEB!$C$5="","",FEB!$C$5)</f>
        <v/>
      </c>
      <c r="D8" s="55" t="n"/>
      <c r="E8" s="56">
        <f>IF(FEB!$C$43="","",FEB!$C$43)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IF(FEB!$C$44="","",FEB!$C$44)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IF(MAR!$C$5="","",MAR!$C$5)</f>
        <v/>
      </c>
      <c r="D9" s="55" t="n"/>
      <c r="E9" s="56">
        <f>IF(MAR!$C$43="","",MAR!$C$43)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IF(MAR!$C$44="","",MAR!$C$44)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IF(APR!$C$5="","",APR!$C$5)</f>
        <v/>
      </c>
      <c r="D10" s="55" t="n"/>
      <c r="E10" s="56">
        <f>IF(APR!$C$43="","",APR!$C$43)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IF(APR!$C$44="","",APR!$C$44)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IF(MAY!$C$5="","",MAY!$C$5)</f>
        <v/>
      </c>
      <c r="D11" s="55" t="n"/>
      <c r="E11" s="56">
        <f>IF(MAY!$C$43="","",MAY!$C$43)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IF(MAY!$C$44="","",MAY!$C$44)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IF(JUN!$C$5="","",JUN!$C$5)</f>
        <v/>
      </c>
      <c r="D12" s="55" t="n"/>
      <c r="E12" s="56">
        <f>IF(JUN!$C$43="","",JUN!$C$43)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IF(JUN!$C$44="","",JUN!$C$44)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IF(JUL!$C$5="","",JUL!$C$5)</f>
        <v/>
      </c>
      <c r="D13" s="55" t="n"/>
      <c r="E13" s="56">
        <f>IF(JUL!$C$43="","",JUL!$C$43)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IF(JUL!$C$44="","",JUL!$C$44)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IF(AUG!$C$5="","",AUG!$C$5)</f>
        <v/>
      </c>
      <c r="D14" s="55" t="n"/>
      <c r="E14" s="56">
        <f>IF(AUG!$C$43="","",AUG!$C$43)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IF(AUG!$C$44="","",AUG!$C$44)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IF(SEP!$C$5="","",SEP!$C$5)</f>
        <v/>
      </c>
      <c r="D15" s="55" t="n"/>
      <c r="E15" s="56">
        <f>IF(SEP!$C$43="","",SEP!$C$43)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IF(SEP!$C$44="","",SEP!$C$44)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3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M&amp;C Drugstore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IF(OCT!$D$5="","",OCT!$D$5)</f>
        <v/>
      </c>
      <c r="D4" s="55" t="n"/>
      <c r="E4" s="56">
        <f>IF(OCT!$D$43="","",OCT!$D$43)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IF(OCT!$D$44="","",OCT!$D$44)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IF($C4="","",SUMPRODUCT(($E$21:$E$130&gt;=$Z$4)*($E$21:$E$130&lt;=EOMONTH($Z4,0)),$G$21:$G$130))</f>
        <v/>
      </c>
      <c r="AB4" s="56">
        <f>IF(N(AA4)=0,"",SUMPRODUCT(($E$21:$E$130&gt;=$Z$4)*($E$21:$E$130&lt;=EOMONTH($Z4,0)),$F$21:$F$130,$G$21:$G$130)/AA4)</f>
        <v/>
      </c>
      <c r="AC4" s="59">
        <f>IF($C4="","",SUMPRODUCT(($L$21:$L$130&gt;=$Z$4)*($L$21:$L$130&lt;=EOMONTH($Z4,0)),$N$21:$N$130))</f>
        <v/>
      </c>
      <c r="AD4" s="56">
        <f>IF(N(AC4)=0,"",SUMPRODUCT(($L$21:$L$130&gt;=$Z$4)*($L$21:$L$130&lt;=EOMONTH($Z4,0)),$M$21:$M$130,$N$21:$N$130)/AC4)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IF(NOV!$D$5="","",NOV!$D$5)</f>
        <v/>
      </c>
      <c r="D5" s="55" t="n"/>
      <c r="E5" s="56">
        <f>IF(NOV!$D$43="","",NOV!$D$43)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IF(NOV!$D$44="","",NOV!$D$44)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IF($C5="","",SUMPRODUCT(($E$21:$E$130&gt;=$Z$4)*($E$21:$E$130&lt;=EOMONTH($Z5,0)),$G$21:$G$130))</f>
        <v/>
      </c>
      <c r="AB5" s="56">
        <f>IF(N(AA5)=0,"",SUMPRODUCT(($E$21:$E$130&gt;=$Z$4)*($E$21:$E$130&lt;=EOMONTH($Z5,0)),$F$21:$F$130,$G$21:$G$130)/AA5)</f>
        <v/>
      </c>
      <c r="AC5" s="59">
        <f>IF($C5="","",SUMPRODUCT(($L$21:$L$130&gt;=$Z$4)*($L$21:$L$130&lt;=EOMONTH($Z5,0)),$N$21:$N$130))</f>
        <v/>
      </c>
      <c r="AD5" s="56">
        <f>IF(N(AC5)=0,"",SUMPRODUCT(($L$21:$L$130&gt;=$Z$4)*($L$21:$L$130&lt;=EOMONTH($Z5,0)),$M$21:$M$130,$N$21:$N$130)/AC5)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IF(DEC!$D$5="","",DEC!$D$5)</f>
        <v/>
      </c>
      <c r="D6" s="55" t="n"/>
      <c r="E6" s="56">
        <f>IF(DEC!$D$43="","",DEC!$D$43)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IF(DEC!$D$44="","",DEC!$D$44)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IF($C6="","",SUMPRODUCT(($E$21:$E$130&gt;=$Z$4)*($E$21:$E$130&lt;=EOMONTH($Z6,0)),$G$21:$G$130))</f>
        <v/>
      </c>
      <c r="AB6" s="56">
        <f>IF(N(AA6)=0,"",SUMPRODUCT(($E$21:$E$130&gt;=$Z$4)*($E$21:$E$130&lt;=EOMONTH($Z6,0)),$F$21:$F$130,$G$21:$G$130)/AA6)</f>
        <v/>
      </c>
      <c r="AC6" s="59">
        <f>IF($C6="","",SUMPRODUCT(($L$21:$L$130&gt;=$Z$4)*($L$21:$L$130&lt;=EOMONTH($Z6,0)),$N$21:$N$130))</f>
        <v/>
      </c>
      <c r="AD6" s="56">
        <f>IF(N(AC6)=0,"",SUMPRODUCT(($L$21:$L$130&gt;=$Z$4)*($L$21:$L$130&lt;=EOMONTH($Z6,0)),$M$21:$M$130,$N$21:$N$130)/AC6)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IF(JAN!$D$5="","",JAN!$D$5)</f>
        <v/>
      </c>
      <c r="D7" s="55" t="n"/>
      <c r="E7" s="56">
        <f>IF(JAN!$D$43="","",JAN!$D$43)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IF(JAN!$D$44="","",JAN!$D$44)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IF($C7="","",SUMPRODUCT(($E$21:$E$130&gt;=$Z$4)*($E$21:$E$130&lt;=EOMONTH($Z7,0)),$G$21:$G$130))</f>
        <v/>
      </c>
      <c r="AB7" s="56">
        <f>IF(N(AA7)=0,"",SUMPRODUCT(($E$21:$E$130&gt;=$Z$4)*($E$21:$E$130&lt;=EOMONTH($Z7,0)),$F$21:$F$130,$G$21:$G$130)/AA7)</f>
        <v/>
      </c>
      <c r="AC7" s="59">
        <f>IF($C7="","",SUMPRODUCT(($L$21:$L$130&gt;=$Z$4)*($L$21:$L$130&lt;=EOMONTH($Z7,0)),$N$21:$N$130))</f>
        <v/>
      </c>
      <c r="AD7" s="56">
        <f>IF(N(AC7)=0,"",SUMPRODUCT(($L$21:$L$130&gt;=$Z$4)*($L$21:$L$130&lt;=EOMONTH($Z7,0)),$M$21:$M$130,$N$21:$N$130)/AC7)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IF(FEB!$D$5="","",FEB!$D$5)</f>
        <v/>
      </c>
      <c r="D8" s="55" t="n"/>
      <c r="E8" s="56">
        <f>IF(FEB!$D$43="","",FEB!$D$43)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IF(FEB!$D$44="","",FEB!$D$44)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IF($C8="","",SUMPRODUCT(($E$21:$E$130&gt;=$Z$4)*($E$21:$E$130&lt;=EOMONTH($Z8,0)),$G$21:$G$130))</f>
        <v/>
      </c>
      <c r="AB8" s="56">
        <f>IF(N(AA8)=0,"",SUMPRODUCT(($E$21:$E$130&gt;=$Z$4)*($E$21:$E$130&lt;=EOMONTH($Z8,0)),$F$21:$F$130,$G$21:$G$130)/AA8)</f>
        <v/>
      </c>
      <c r="AC8" s="59">
        <f>IF($C8="","",SUMPRODUCT(($L$21:$L$130&gt;=$Z$4)*($L$21:$L$130&lt;=EOMONTH($Z8,0)),$N$21:$N$130))</f>
        <v/>
      </c>
      <c r="AD8" s="56">
        <f>IF(N(AC8)=0,"",SUMPRODUCT(($L$21:$L$130&gt;=$Z$4)*($L$21:$L$130&lt;=EOMONTH($Z8,0)),$M$21:$M$130,$N$21:$N$130)/AC8)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IF(MAR!$D$5="","",MAR!$D$5)</f>
        <v/>
      </c>
      <c r="D9" s="55" t="n"/>
      <c r="E9" s="56">
        <f>IF(MAR!$D$43="","",MAR!$D$43)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IF(MAR!$D$44="","",MAR!$D$44)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IF($C9="","",SUMPRODUCT(($E$21:$E$130&gt;=$Z$4)*($E$21:$E$130&lt;=EOMONTH($Z9,0)),$G$21:$G$130))</f>
        <v/>
      </c>
      <c r="AB9" s="56">
        <f>IF(N(AA9)=0,"",SUMPRODUCT(($E$21:$E$130&gt;=$Z$4)*($E$21:$E$130&lt;=EOMONTH($Z9,0)),$F$21:$F$130,$G$21:$G$130)/AA9)</f>
        <v/>
      </c>
      <c r="AC9" s="59">
        <f>IF($C9="","",SUMPRODUCT(($L$21:$L$130&gt;=$Z$4)*($L$21:$L$130&lt;=EOMONTH($Z9,0)),$N$21:$N$130))</f>
        <v/>
      </c>
      <c r="AD9" s="56">
        <f>IF(N(AC9)=0,"",SUMPRODUCT(($L$21:$L$130&gt;=$Z$4)*($L$21:$L$130&lt;=EOMONTH($Z9,0)),$M$21:$M$130,$N$21:$N$130)/AC9)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IF(APR!$D$5="","",APR!$D$5)</f>
        <v/>
      </c>
      <c r="D10" s="55" t="n"/>
      <c r="E10" s="56">
        <f>IF(APR!$D$43="","",APR!$D$43)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IF(APR!$D$44="","",APR!$D$44)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IF($C10="","",SUMPRODUCT(($E$21:$E$130&gt;=$Z$4)*($E$21:$E$130&lt;=EOMONTH($Z10,0)),$G$21:$G$130))</f>
        <v/>
      </c>
      <c r="AB10" s="56">
        <f>IF(N(AA10)=0,"",SUMPRODUCT(($E$21:$E$130&gt;=$Z$4)*($E$21:$E$130&lt;=EOMONTH($Z10,0)),$F$21:$F$130,$G$21:$G$130)/AA10)</f>
        <v/>
      </c>
      <c r="AC10" s="59">
        <f>IF($C10="","",SUMPRODUCT(($L$21:$L$130&gt;=$Z$4)*($L$21:$L$130&lt;=EOMONTH($Z10,0)),$N$21:$N$130))</f>
        <v/>
      </c>
      <c r="AD10" s="56">
        <f>IF(N(AC10)=0,"",SUMPRODUCT(($L$21:$L$130&gt;=$Z$4)*($L$21:$L$130&lt;=EOMONTH($Z10,0)),$M$21:$M$130,$N$21:$N$130)/AC10)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IF(MAY!$D$5="","",MAY!$D$5)</f>
        <v/>
      </c>
      <c r="D11" s="55" t="n"/>
      <c r="E11" s="56">
        <f>IF(MAY!$D$43="","",MAY!$D$43)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IF(MAY!$D$44="","",MAY!$D$44)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IF($C11="","",SUMPRODUCT(($E$21:$E$130&gt;=$Z$4)*($E$21:$E$130&lt;=EOMONTH($Z11,0)),$G$21:$G$130))</f>
        <v/>
      </c>
      <c r="AB11" s="56">
        <f>IF(N(AA11)=0,"",SUMPRODUCT(($E$21:$E$130&gt;=$Z$4)*($E$21:$E$130&lt;=EOMONTH($Z11,0)),$F$21:$F$130,$G$21:$G$130)/AA11)</f>
        <v/>
      </c>
      <c r="AC11" s="59">
        <f>IF($C11="","",SUMPRODUCT(($L$21:$L$130&gt;=$Z$4)*($L$21:$L$130&lt;=EOMONTH($Z11,0)),$N$21:$N$130))</f>
        <v/>
      </c>
      <c r="AD11" s="56">
        <f>IF(N(AC11)=0,"",SUMPRODUCT(($L$21:$L$130&gt;=$Z$4)*($L$21:$L$130&lt;=EOMONTH($Z11,0)),$M$21:$M$130,$N$21:$N$130)/AC11)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IF(JUN!$D$5="","",JUN!$D$5)</f>
        <v/>
      </c>
      <c r="D12" s="55" t="n"/>
      <c r="E12" s="56">
        <f>IF(JUN!$D$43="","",JUN!$D$43)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IF(JUN!$D$44="","",JUN!$D$44)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IF($C12="","",SUMPRODUCT(($E$21:$E$130&gt;=$Z$4)*($E$21:$E$130&lt;=EOMONTH($Z12,0)),$G$21:$G$130))</f>
        <v/>
      </c>
      <c r="AB12" s="56">
        <f>IF(N(AA12)=0,"",SUMPRODUCT(($E$21:$E$130&gt;=$Z$4)*($E$21:$E$130&lt;=EOMONTH($Z12,0)),$F$21:$F$130,$G$21:$G$130)/AA12)</f>
        <v/>
      </c>
      <c r="AC12" s="59">
        <f>IF($C12="","",SUMPRODUCT(($L$21:$L$130&gt;=$Z$4)*($L$21:$L$130&lt;=EOMONTH($Z12,0)),$N$21:$N$130))</f>
        <v/>
      </c>
      <c r="AD12" s="56">
        <f>IF(N(AC12)=0,"",SUMPRODUCT(($L$21:$L$130&gt;=$Z$4)*($L$21:$L$130&lt;=EOMONTH($Z12,0)),$M$21:$M$130,$N$21:$N$130)/AC12)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IF(JUL!$D$5="","",JUL!$D$5)</f>
        <v/>
      </c>
      <c r="D13" s="55" t="n"/>
      <c r="E13" s="56">
        <f>IF(JUL!$D$43="","",JUL!$D$43)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IF(JUL!$D$44="","",JUL!$D$44)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IF($C13="","",SUMPRODUCT(($E$21:$E$130&gt;=$Z$4)*($E$21:$E$130&lt;=EOMONTH($Z13,0)),$G$21:$G$130))</f>
        <v/>
      </c>
      <c r="AB13" s="56">
        <f>IF(N(AA13)=0,"",SUMPRODUCT(($E$21:$E$130&gt;=$Z$4)*($E$21:$E$130&lt;=EOMONTH($Z13,0)),$F$21:$F$130,$G$21:$G$130)/AA13)</f>
        <v/>
      </c>
      <c r="AC13" s="59">
        <f>IF($C13="","",SUMPRODUCT(($L$21:$L$130&gt;=$Z$4)*($L$21:$L$130&lt;=EOMONTH($Z13,0)),$N$21:$N$130))</f>
        <v/>
      </c>
      <c r="AD13" s="56">
        <f>IF(N(AC13)=0,"",SUMPRODUCT(($L$21:$L$130&gt;=$Z$4)*($L$21:$L$130&lt;=EOMONTH($Z13,0)),$M$21:$M$130,$N$21:$N$130)/AC13)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IF(AUG!$D$5="","",AUG!$D$5)</f>
        <v/>
      </c>
      <c r="D14" s="55" t="n"/>
      <c r="E14" s="56">
        <f>IF(AUG!$D$43="","",AUG!$D$43)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IF(AUG!$D$44="","",AUG!$D$44)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IF($C14="","",SUMPRODUCT(($E$21:$E$130&gt;=$Z$4)*($E$21:$E$130&lt;=EOMONTH($Z14,0)),$G$21:$G$130))</f>
        <v/>
      </c>
      <c r="AB14" s="56">
        <f>IF(N(AA14)=0,"",SUMPRODUCT(($E$21:$E$130&gt;=$Z$4)*($E$21:$E$130&lt;=EOMONTH($Z14,0)),$F$21:$F$130,$G$21:$G$130)/AA14)</f>
        <v/>
      </c>
      <c r="AC14" s="59">
        <f>IF($C14="","",SUMPRODUCT(($L$21:$L$130&gt;=$Z$4)*($L$21:$L$130&lt;=EOMONTH($Z14,0)),$N$21:$N$130))</f>
        <v/>
      </c>
      <c r="AD14" s="56">
        <f>IF(N(AC14)=0,"",SUMPRODUCT(($L$21:$L$130&gt;=$Z$4)*($L$21:$L$130&lt;=EOMONTH($Z14,0)),$M$21:$M$130,$N$21:$N$130)/AC14)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IF(SEP!$D$5="","",SEP!$D$5)</f>
        <v/>
      </c>
      <c r="D15" s="55" t="n"/>
      <c r="E15" s="56">
        <f>IF(SEP!$D$43="","",SEP!$D$43)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IF(SEP!$D$44="","",SEP!$D$44)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IF($C15="","",SUMPRODUCT(($E$21:$E$130&gt;=$Z$4)*($E$21:$E$130&lt;=EOMONTH($Z15,0)),$G$21:$G$130))</f>
        <v/>
      </c>
      <c r="AB15" s="56">
        <f>IF(N(AA15)=0,"",SUMPRODUCT(($E$21:$E$130&gt;=$Z$4)*($E$21:$E$130&lt;=EOMONTH($Z15,0)),$F$21:$F$130,$G$21:$G$130)/AA15)</f>
        <v/>
      </c>
      <c r="AC15" s="59">
        <f>IF($C15="","",SUMPRODUCT(($L$21:$L$130&gt;=$Z$4)*($L$21:$L$130&lt;=EOMONTH($Z15,0)),$N$21:$N$130))</f>
        <v/>
      </c>
      <c r="AD15" s="56">
        <f>IF(N(AC15)=0,"",SUMPRODUCT(($L$21:$L$130&gt;=$Z$4)*($L$21:$L$130&lt;=EOMONTH($Z15,0)),$M$21:$M$130,$N$21:$N$130)/AC15)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SUMPRODUCT(($E$21:$E$130&gt;=$Z$4)*($E$21:$E$130&lt;=EOMONTH($Z$15,0)),$G$21:$G$130)</f>
        <v/>
      </c>
      <c r="AB16" s="62">
        <f>IF(N(AA16)=0,"",SUMPRODUCT(($E$21:$E$130&gt;=$Z$4)*($E$21:$E$130&lt;=EOMONTH($Z$15,0)),$F$21:$F$130,$G$21:$G$130)/AA16)</f>
        <v/>
      </c>
      <c r="AC16" s="65">
        <f>SUMPRODUCT(($L$21:$L$130&gt;=$Z$4)*($L$21:$L$130&lt;=EOMONTH($Z$15,0)),$N$21:$N$130)</f>
        <v/>
      </c>
      <c r="AD16" s="62">
        <f>IF(N(AC16)=0,"",SUMPRODUCT(($L$21:$L$130&gt;=$Z$4)*($L$21:$L$130&lt;=EOMONTH($Z$15,0)),$M$21:$M$130,$N$21:$N$130)/AC16)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53" t="n">
        <v>51</v>
      </c>
      <c r="B71" s="67" t="n"/>
      <c r="C71" s="55" t="n"/>
      <c r="D71" s="68" t="n"/>
      <c r="E71" s="68" t="n"/>
      <c r="F71" s="59">
        <f>IF(OR(E71="",D71=""),"",MAX(E71-D71,0))</f>
        <v/>
      </c>
      <c r="G71" s="59">
        <f>IF(F71="","",IF(N(C71)=0,1,C71))</f>
        <v/>
      </c>
      <c r="H71" s="53" t="n">
        <v>51</v>
      </c>
      <c r="I71" s="67" t="n"/>
      <c r="J71" s="55" t="n"/>
      <c r="K71" s="68" t="n"/>
      <c r="L71" s="68" t="n"/>
      <c r="M71" s="59">
        <f>IF(OR(L71="",K71=""),"",MAX(L71-K71,0))</f>
        <v/>
      </c>
      <c r="N71" s="59">
        <f>IF(M71="","",IF(N(J71)=0,1,J71))</f>
        <v/>
      </c>
    </row>
    <row r="72">
      <c r="A72" s="53" t="n">
        <v>52</v>
      </c>
      <c r="B72" s="67" t="n"/>
      <c r="C72" s="55" t="n"/>
      <c r="D72" s="68" t="n"/>
      <c r="E72" s="68" t="n"/>
      <c r="F72" s="59">
        <f>IF(OR(E72="",D72=""),"",MAX(E72-D72,0))</f>
        <v/>
      </c>
      <c r="G72" s="59">
        <f>IF(F72="","",IF(N(C72)=0,1,C72))</f>
        <v/>
      </c>
      <c r="H72" s="53" t="n">
        <v>52</v>
      </c>
      <c r="I72" s="67" t="n"/>
      <c r="J72" s="55" t="n"/>
      <c r="K72" s="68" t="n"/>
      <c r="L72" s="68" t="n"/>
      <c r="M72" s="59">
        <f>IF(OR(L72="",K72=""),"",MAX(L72-K72,0))</f>
        <v/>
      </c>
      <c r="N72" s="59">
        <f>IF(M72="","",IF(N(J72)=0,1,J72))</f>
        <v/>
      </c>
    </row>
    <row r="73">
      <c r="A73" s="53" t="n">
        <v>53</v>
      </c>
      <c r="B73" s="67" t="n"/>
      <c r="C73" s="55" t="n"/>
      <c r="D73" s="68" t="n"/>
      <c r="E73" s="68" t="n"/>
      <c r="F73" s="59">
        <f>IF(OR(E73="",D73=""),"",MAX(E73-D73,0))</f>
        <v/>
      </c>
      <c r="G73" s="59">
        <f>IF(F73="","",IF(N(C73)=0,1,C73))</f>
        <v/>
      </c>
      <c r="H73" s="53" t="n">
        <v>53</v>
      </c>
      <c r="I73" s="67" t="n"/>
      <c r="J73" s="55" t="n"/>
      <c r="K73" s="68" t="n"/>
      <c r="L73" s="68" t="n"/>
      <c r="M73" s="59">
        <f>IF(OR(L73="",K73=""),"",MAX(L73-K73,0))</f>
        <v/>
      </c>
      <c r="N73" s="59">
        <f>IF(M73="","",IF(N(J73)=0,1,J73))</f>
        <v/>
      </c>
    </row>
    <row r="74">
      <c r="A74" s="53" t="n">
        <v>54</v>
      </c>
      <c r="B74" s="67" t="n"/>
      <c r="C74" s="55" t="n"/>
      <c r="D74" s="68" t="n"/>
      <c r="E74" s="68" t="n"/>
      <c r="F74" s="59">
        <f>IF(OR(E74="",D74=""),"",MAX(E74-D74,0))</f>
        <v/>
      </c>
      <c r="G74" s="59">
        <f>IF(F74="","",IF(N(C74)=0,1,C74))</f>
        <v/>
      </c>
      <c r="H74" s="53" t="n">
        <v>54</v>
      </c>
      <c r="I74" s="67" t="n"/>
      <c r="J74" s="55" t="n"/>
      <c r="K74" s="68" t="n"/>
      <c r="L74" s="68" t="n"/>
      <c r="M74" s="59">
        <f>IF(OR(L74="",K74=""),"",MAX(L74-K74,0))</f>
        <v/>
      </c>
      <c r="N74" s="59">
        <f>IF(M74="","",IF(N(J74)=0,1,J74))</f>
        <v/>
      </c>
    </row>
    <row r="75">
      <c r="A75" s="53" t="n">
        <v>55</v>
      </c>
      <c r="B75" s="67" t="n"/>
      <c r="C75" s="55" t="n"/>
      <c r="D75" s="68" t="n"/>
      <c r="E75" s="68" t="n"/>
      <c r="F75" s="59">
        <f>IF(OR(E75="",D75=""),"",MAX(E75-D75,0))</f>
        <v/>
      </c>
      <c r="G75" s="59">
        <f>IF(F75="","",IF(N(C75)=0,1,C75))</f>
        <v/>
      </c>
      <c r="H75" s="53" t="n">
        <v>55</v>
      </c>
      <c r="I75" s="67" t="n"/>
      <c r="J75" s="55" t="n"/>
      <c r="K75" s="68" t="n"/>
      <c r="L75" s="68" t="n"/>
      <c r="M75" s="59">
        <f>IF(OR(L75="",K75=""),"",MAX(L75-K75,0))</f>
        <v/>
      </c>
      <c r="N75" s="59">
        <f>IF(M75="","",IF(N(J75)=0,1,J75))</f>
        <v/>
      </c>
    </row>
    <row r="76">
      <c r="A76" s="53" t="n">
        <v>56</v>
      </c>
      <c r="B76" s="67" t="n"/>
      <c r="C76" s="55" t="n"/>
      <c r="D76" s="68" t="n"/>
      <c r="E76" s="68" t="n"/>
      <c r="F76" s="59">
        <f>IF(OR(E76="",D76=""),"",MAX(E76-D76,0))</f>
        <v/>
      </c>
      <c r="G76" s="59">
        <f>IF(F76="","",IF(N(C76)=0,1,C76))</f>
        <v/>
      </c>
      <c r="H76" s="53" t="n">
        <v>56</v>
      </c>
      <c r="I76" s="67" t="n"/>
      <c r="J76" s="55" t="n"/>
      <c r="K76" s="68" t="n"/>
      <c r="L76" s="68" t="n"/>
      <c r="M76" s="59">
        <f>IF(OR(L76="",K76=""),"",MAX(L76-K76,0))</f>
        <v/>
      </c>
      <c r="N76" s="59">
        <f>IF(M76="","",IF(N(J76)=0,1,J76))</f>
        <v/>
      </c>
    </row>
    <row r="77">
      <c r="A77" s="53" t="n">
        <v>57</v>
      </c>
      <c r="B77" s="67" t="n"/>
      <c r="C77" s="55" t="n"/>
      <c r="D77" s="68" t="n"/>
      <c r="E77" s="68" t="n"/>
      <c r="F77" s="59">
        <f>IF(OR(E77="",D77=""),"",MAX(E77-D77,0))</f>
        <v/>
      </c>
      <c r="G77" s="59">
        <f>IF(F77="","",IF(N(C77)=0,1,C77))</f>
        <v/>
      </c>
      <c r="H77" s="53" t="n">
        <v>57</v>
      </c>
      <c r="I77" s="67" t="n"/>
      <c r="J77" s="55" t="n"/>
      <c r="K77" s="68" t="n"/>
      <c r="L77" s="68" t="n"/>
      <c r="M77" s="59">
        <f>IF(OR(L77="",K77=""),"",MAX(L77-K77,0))</f>
        <v/>
      </c>
      <c r="N77" s="59">
        <f>IF(M77="","",IF(N(J77)=0,1,J77))</f>
        <v/>
      </c>
    </row>
    <row r="78">
      <c r="A78" s="53" t="n">
        <v>58</v>
      </c>
      <c r="B78" s="67" t="n"/>
      <c r="C78" s="55" t="n"/>
      <c r="D78" s="68" t="n"/>
      <c r="E78" s="68" t="n"/>
      <c r="F78" s="59">
        <f>IF(OR(E78="",D78=""),"",MAX(E78-D78,0))</f>
        <v/>
      </c>
      <c r="G78" s="59">
        <f>IF(F78="","",IF(N(C78)=0,1,C78))</f>
        <v/>
      </c>
      <c r="H78" s="53" t="n">
        <v>58</v>
      </c>
      <c r="I78" s="67" t="n"/>
      <c r="J78" s="55" t="n"/>
      <c r="K78" s="68" t="n"/>
      <c r="L78" s="68" t="n"/>
      <c r="M78" s="59">
        <f>IF(OR(L78="",K78=""),"",MAX(L78-K78,0))</f>
        <v/>
      </c>
      <c r="N78" s="59">
        <f>IF(M78="","",IF(N(J78)=0,1,J78))</f>
        <v/>
      </c>
    </row>
    <row r="79">
      <c r="A79" s="53" t="n">
        <v>59</v>
      </c>
      <c r="B79" s="67" t="n"/>
      <c r="C79" s="55" t="n"/>
      <c r="D79" s="68" t="n"/>
      <c r="E79" s="68" t="n"/>
      <c r="F79" s="59">
        <f>IF(OR(E79="",D79=""),"",MAX(E79-D79,0))</f>
        <v/>
      </c>
      <c r="G79" s="59">
        <f>IF(F79="","",IF(N(C79)=0,1,C79))</f>
        <v/>
      </c>
      <c r="H79" s="53" t="n">
        <v>59</v>
      </c>
      <c r="I79" s="67" t="n"/>
      <c r="J79" s="55" t="n"/>
      <c r="K79" s="68" t="n"/>
      <c r="L79" s="68" t="n"/>
      <c r="M79" s="59">
        <f>IF(OR(L79="",K79=""),"",MAX(L79-K79,0))</f>
        <v/>
      </c>
      <c r="N79" s="59">
        <f>IF(M79="","",IF(N(J79)=0,1,J79))</f>
        <v/>
      </c>
    </row>
    <row r="80">
      <c r="A80" s="53" t="n">
        <v>60</v>
      </c>
      <c r="B80" s="67" t="n"/>
      <c r="C80" s="55" t="n"/>
      <c r="D80" s="68" t="n"/>
      <c r="E80" s="68" t="n"/>
      <c r="F80" s="59">
        <f>IF(OR(E80="",D80=""),"",MAX(E80-D80,0))</f>
        <v/>
      </c>
      <c r="G80" s="59">
        <f>IF(F80="","",IF(N(C80)=0,1,C80))</f>
        <v/>
      </c>
      <c r="H80" s="53" t="n">
        <v>60</v>
      </c>
      <c r="I80" s="67" t="n"/>
      <c r="J80" s="55" t="n"/>
      <c r="K80" s="68" t="n"/>
      <c r="L80" s="68" t="n"/>
      <c r="M80" s="59">
        <f>IF(OR(L80="",K80=""),"",MAX(L80-K80,0))</f>
        <v/>
      </c>
      <c r="N80" s="59">
        <f>IF(M80="","",IF(N(J80)=0,1,J80))</f>
        <v/>
      </c>
    </row>
    <row r="81">
      <c r="A81" s="53" t="n">
        <v>61</v>
      </c>
      <c r="B81" s="67" t="n"/>
      <c r="C81" s="55" t="n"/>
      <c r="D81" s="68" t="n"/>
      <c r="E81" s="68" t="n"/>
      <c r="F81" s="59">
        <f>IF(OR(E81="",D81=""),"",MAX(E81-D81,0))</f>
        <v/>
      </c>
      <c r="G81" s="59">
        <f>IF(F81="","",IF(N(C81)=0,1,C81))</f>
        <v/>
      </c>
      <c r="H81" s="53" t="n">
        <v>61</v>
      </c>
      <c r="I81" s="67" t="n"/>
      <c r="J81" s="55" t="n"/>
      <c r="K81" s="68" t="n"/>
      <c r="L81" s="68" t="n"/>
      <c r="M81" s="59">
        <f>IF(OR(L81="",K81=""),"",MAX(L81-K81,0))</f>
        <v/>
      </c>
      <c r="N81" s="59">
        <f>IF(M81="","",IF(N(J81)=0,1,J81))</f>
        <v/>
      </c>
    </row>
    <row r="82">
      <c r="A82" s="53" t="n">
        <v>62</v>
      </c>
      <c r="B82" s="67" t="n"/>
      <c r="C82" s="55" t="n"/>
      <c r="D82" s="68" t="n"/>
      <c r="E82" s="68" t="n"/>
      <c r="F82" s="59">
        <f>IF(OR(E82="",D82=""),"",MAX(E82-D82,0))</f>
        <v/>
      </c>
      <c r="G82" s="59">
        <f>IF(F82="","",IF(N(C82)=0,1,C82))</f>
        <v/>
      </c>
      <c r="H82" s="53" t="n">
        <v>62</v>
      </c>
      <c r="I82" s="67" t="n"/>
      <c r="J82" s="55" t="n"/>
      <c r="K82" s="68" t="n"/>
      <c r="L82" s="68" t="n"/>
      <c r="M82" s="59">
        <f>IF(OR(L82="",K82=""),"",MAX(L82-K82,0))</f>
        <v/>
      </c>
      <c r="N82" s="59">
        <f>IF(M82="","",IF(N(J82)=0,1,J82))</f>
        <v/>
      </c>
    </row>
    <row r="83">
      <c r="A83" s="53" t="n">
        <v>63</v>
      </c>
      <c r="B83" s="67" t="n"/>
      <c r="C83" s="55" t="n"/>
      <c r="D83" s="68" t="n"/>
      <c r="E83" s="68" t="n"/>
      <c r="F83" s="59">
        <f>IF(OR(E83="",D83=""),"",MAX(E83-D83,0))</f>
        <v/>
      </c>
      <c r="G83" s="59">
        <f>IF(F83="","",IF(N(C83)=0,1,C83))</f>
        <v/>
      </c>
      <c r="H83" s="53" t="n">
        <v>63</v>
      </c>
      <c r="I83" s="67" t="n"/>
      <c r="J83" s="55" t="n"/>
      <c r="K83" s="68" t="n"/>
      <c r="L83" s="68" t="n"/>
      <c r="M83" s="59">
        <f>IF(OR(L83="",K83=""),"",MAX(L83-K83,0))</f>
        <v/>
      </c>
      <c r="N83" s="59">
        <f>IF(M83="","",IF(N(J83)=0,1,J83))</f>
        <v/>
      </c>
    </row>
    <row r="84">
      <c r="A84" s="53" t="n">
        <v>64</v>
      </c>
      <c r="B84" s="67" t="n"/>
      <c r="C84" s="55" t="n"/>
      <c r="D84" s="68" t="n"/>
      <c r="E84" s="68" t="n"/>
      <c r="F84" s="59">
        <f>IF(OR(E84="",D84=""),"",MAX(E84-D84,0))</f>
        <v/>
      </c>
      <c r="G84" s="59">
        <f>IF(F84="","",IF(N(C84)=0,1,C84))</f>
        <v/>
      </c>
      <c r="H84" s="53" t="n">
        <v>64</v>
      </c>
      <c r="I84" s="67" t="n"/>
      <c r="J84" s="55" t="n"/>
      <c r="K84" s="68" t="n"/>
      <c r="L84" s="68" t="n"/>
      <c r="M84" s="59">
        <f>IF(OR(L84="",K84=""),"",MAX(L84-K84,0))</f>
        <v/>
      </c>
      <c r="N84" s="59">
        <f>IF(M84="","",IF(N(J84)=0,1,J84))</f>
        <v/>
      </c>
    </row>
    <row r="85">
      <c r="A85" s="53" t="n">
        <v>65</v>
      </c>
      <c r="B85" s="67" t="n"/>
      <c r="C85" s="55" t="n"/>
      <c r="D85" s="68" t="n"/>
      <c r="E85" s="68" t="n"/>
      <c r="F85" s="59">
        <f>IF(OR(E85="",D85=""),"",MAX(E85-D85,0))</f>
        <v/>
      </c>
      <c r="G85" s="59">
        <f>IF(F85="","",IF(N(C85)=0,1,C85))</f>
        <v/>
      </c>
      <c r="H85" s="53" t="n">
        <v>65</v>
      </c>
      <c r="I85" s="67" t="n"/>
      <c r="J85" s="55" t="n"/>
      <c r="K85" s="68" t="n"/>
      <c r="L85" s="68" t="n"/>
      <c r="M85" s="59">
        <f>IF(OR(L85="",K85=""),"",MAX(L85-K85,0))</f>
        <v/>
      </c>
      <c r="N85" s="59">
        <f>IF(M85="","",IF(N(J85)=0,1,J85))</f>
        <v/>
      </c>
    </row>
    <row r="86">
      <c r="A86" s="53" t="n">
        <v>66</v>
      </c>
      <c r="B86" s="67" t="n"/>
      <c r="C86" s="55" t="n"/>
      <c r="D86" s="68" t="n"/>
      <c r="E86" s="68" t="n"/>
      <c r="F86" s="59">
        <f>IF(OR(E86="",D86=""),"",MAX(E86-D86,0))</f>
        <v/>
      </c>
      <c r="G86" s="59">
        <f>IF(F86="","",IF(N(C86)=0,1,C86))</f>
        <v/>
      </c>
      <c r="H86" s="53" t="n">
        <v>66</v>
      </c>
      <c r="I86" s="67" t="n"/>
      <c r="J86" s="55" t="n"/>
      <c r="K86" s="68" t="n"/>
      <c r="L86" s="68" t="n"/>
      <c r="M86" s="59">
        <f>IF(OR(L86="",K86=""),"",MAX(L86-K86,0))</f>
        <v/>
      </c>
      <c r="N86" s="59">
        <f>IF(M86="","",IF(N(J86)=0,1,J86))</f>
        <v/>
      </c>
    </row>
    <row r="87">
      <c r="A87" s="53" t="n">
        <v>67</v>
      </c>
      <c r="B87" s="67" t="n"/>
      <c r="C87" s="55" t="n"/>
      <c r="D87" s="68" t="n"/>
      <c r="E87" s="68" t="n"/>
      <c r="F87" s="59">
        <f>IF(OR(E87="",D87=""),"",MAX(E87-D87,0))</f>
        <v/>
      </c>
      <c r="G87" s="59">
        <f>IF(F87="","",IF(N(C87)=0,1,C87))</f>
        <v/>
      </c>
      <c r="H87" s="53" t="n">
        <v>67</v>
      </c>
      <c r="I87" s="67" t="n"/>
      <c r="J87" s="55" t="n"/>
      <c r="K87" s="68" t="n"/>
      <c r="L87" s="68" t="n"/>
      <c r="M87" s="59">
        <f>IF(OR(L87="",K87=""),"",MAX(L87-K87,0))</f>
        <v/>
      </c>
      <c r="N87" s="59">
        <f>IF(M87="","",IF(N(J87)=0,1,J87))</f>
        <v/>
      </c>
    </row>
    <row r="88">
      <c r="A88" s="53" t="n">
        <v>68</v>
      </c>
      <c r="B88" s="67" t="n"/>
      <c r="C88" s="55" t="n"/>
      <c r="D88" s="68" t="n"/>
      <c r="E88" s="68" t="n"/>
      <c r="F88" s="59">
        <f>IF(OR(E88="",D88=""),"",MAX(E88-D88,0))</f>
        <v/>
      </c>
      <c r="G88" s="59">
        <f>IF(F88="","",IF(N(C88)=0,1,C88))</f>
        <v/>
      </c>
      <c r="H88" s="53" t="n">
        <v>68</v>
      </c>
      <c r="I88" s="67" t="n"/>
      <c r="J88" s="55" t="n"/>
      <c r="K88" s="68" t="n"/>
      <c r="L88" s="68" t="n"/>
      <c r="M88" s="59">
        <f>IF(OR(L88="",K88=""),"",MAX(L88-K88,0))</f>
        <v/>
      </c>
      <c r="N88" s="59">
        <f>IF(M88="","",IF(N(J88)=0,1,J88))</f>
        <v/>
      </c>
    </row>
    <row r="89">
      <c r="A89" s="53" t="n">
        <v>69</v>
      </c>
      <c r="B89" s="67" t="n"/>
      <c r="C89" s="55" t="n"/>
      <c r="D89" s="68" t="n"/>
      <c r="E89" s="68" t="n"/>
      <c r="F89" s="59">
        <f>IF(OR(E89="",D89=""),"",MAX(E89-D89,0))</f>
        <v/>
      </c>
      <c r="G89" s="59">
        <f>IF(F89="","",IF(N(C89)=0,1,C89))</f>
        <v/>
      </c>
      <c r="H89" s="53" t="n">
        <v>69</v>
      </c>
      <c r="I89" s="67" t="n"/>
      <c r="J89" s="55" t="n"/>
      <c r="K89" s="68" t="n"/>
      <c r="L89" s="68" t="n"/>
      <c r="M89" s="59">
        <f>IF(OR(L89="",K89=""),"",MAX(L89-K89,0))</f>
        <v/>
      </c>
      <c r="N89" s="59">
        <f>IF(M89="","",IF(N(J89)=0,1,J89))</f>
        <v/>
      </c>
    </row>
    <row r="90">
      <c r="A90" s="53" t="n">
        <v>70</v>
      </c>
      <c r="B90" s="67" t="n"/>
      <c r="C90" s="55" t="n"/>
      <c r="D90" s="68" t="n"/>
      <c r="E90" s="68" t="n"/>
      <c r="F90" s="59">
        <f>IF(OR(E90="",D90=""),"",MAX(E90-D90,0))</f>
        <v/>
      </c>
      <c r="G90" s="59">
        <f>IF(F90="","",IF(N(C90)=0,1,C90))</f>
        <v/>
      </c>
      <c r="H90" s="53" t="n">
        <v>70</v>
      </c>
      <c r="I90" s="67" t="n"/>
      <c r="J90" s="55" t="n"/>
      <c r="K90" s="68" t="n"/>
      <c r="L90" s="68" t="n"/>
      <c r="M90" s="59">
        <f>IF(OR(L90="",K90=""),"",MAX(L90-K90,0))</f>
        <v/>
      </c>
      <c r="N90" s="59">
        <f>IF(M90="","",IF(N(J90)=0,1,J90))</f>
        <v/>
      </c>
    </row>
    <row r="91">
      <c r="A91" s="53" t="n">
        <v>71</v>
      </c>
      <c r="B91" s="67" t="n"/>
      <c r="C91" s="55" t="n"/>
      <c r="D91" s="68" t="n"/>
      <c r="E91" s="68" t="n"/>
      <c r="F91" s="59">
        <f>IF(OR(E91="",D91=""),"",MAX(E91-D91,0))</f>
        <v/>
      </c>
      <c r="G91" s="59">
        <f>IF(F91="","",IF(N(C91)=0,1,C91))</f>
        <v/>
      </c>
      <c r="H91" s="53" t="n">
        <v>71</v>
      </c>
      <c r="I91" s="67" t="n"/>
      <c r="J91" s="55" t="n"/>
      <c r="K91" s="68" t="n"/>
      <c r="L91" s="68" t="n"/>
      <c r="M91" s="59">
        <f>IF(OR(L91="",K91=""),"",MAX(L91-K91,0))</f>
        <v/>
      </c>
      <c r="N91" s="59">
        <f>IF(M91="","",IF(N(J91)=0,1,J91))</f>
        <v/>
      </c>
    </row>
    <row r="92">
      <c r="A92" s="53" t="n">
        <v>72</v>
      </c>
      <c r="B92" s="67" t="n"/>
      <c r="C92" s="55" t="n"/>
      <c r="D92" s="68" t="n"/>
      <c r="E92" s="68" t="n"/>
      <c r="F92" s="59">
        <f>IF(OR(E92="",D92=""),"",MAX(E92-D92,0))</f>
        <v/>
      </c>
      <c r="G92" s="59">
        <f>IF(F92="","",IF(N(C92)=0,1,C92))</f>
        <v/>
      </c>
      <c r="H92" s="53" t="n">
        <v>72</v>
      </c>
      <c r="I92" s="67" t="n"/>
      <c r="J92" s="55" t="n"/>
      <c r="K92" s="68" t="n"/>
      <c r="L92" s="68" t="n"/>
      <c r="M92" s="59">
        <f>IF(OR(L92="",K92=""),"",MAX(L92-K92,0))</f>
        <v/>
      </c>
      <c r="N92" s="59">
        <f>IF(M92="","",IF(N(J92)=0,1,J92))</f>
        <v/>
      </c>
    </row>
    <row r="93">
      <c r="A93" s="53" t="n">
        <v>73</v>
      </c>
      <c r="B93" s="67" t="n"/>
      <c r="C93" s="55" t="n"/>
      <c r="D93" s="68" t="n"/>
      <c r="E93" s="68" t="n"/>
      <c r="F93" s="59">
        <f>IF(OR(E93="",D93=""),"",MAX(E93-D93,0))</f>
        <v/>
      </c>
      <c r="G93" s="59">
        <f>IF(F93="","",IF(N(C93)=0,1,C93))</f>
        <v/>
      </c>
      <c r="H93" s="53" t="n">
        <v>73</v>
      </c>
      <c r="I93" s="67" t="n"/>
      <c r="J93" s="55" t="n"/>
      <c r="K93" s="68" t="n"/>
      <c r="L93" s="68" t="n"/>
      <c r="M93" s="59">
        <f>IF(OR(L93="",K93=""),"",MAX(L93-K93,0))</f>
        <v/>
      </c>
      <c r="N93" s="59">
        <f>IF(M93="","",IF(N(J93)=0,1,J93))</f>
        <v/>
      </c>
    </row>
    <row r="94">
      <c r="A94" s="53" t="n">
        <v>74</v>
      </c>
      <c r="B94" s="67" t="n"/>
      <c r="C94" s="55" t="n"/>
      <c r="D94" s="68" t="n"/>
      <c r="E94" s="68" t="n"/>
      <c r="F94" s="59">
        <f>IF(OR(E94="",D94=""),"",MAX(E94-D94,0))</f>
        <v/>
      </c>
      <c r="G94" s="59">
        <f>IF(F94="","",IF(N(C94)=0,1,C94))</f>
        <v/>
      </c>
      <c r="H94" s="53" t="n">
        <v>74</v>
      </c>
      <c r="I94" s="67" t="n"/>
      <c r="J94" s="55" t="n"/>
      <c r="K94" s="68" t="n"/>
      <c r="L94" s="68" t="n"/>
      <c r="M94" s="59">
        <f>IF(OR(L94="",K94=""),"",MAX(L94-K94,0))</f>
        <v/>
      </c>
      <c r="N94" s="59">
        <f>IF(M94="","",IF(N(J94)=0,1,J94))</f>
        <v/>
      </c>
    </row>
    <row r="95">
      <c r="A95" s="53" t="n">
        <v>75</v>
      </c>
      <c r="B95" s="67" t="n"/>
      <c r="C95" s="55" t="n"/>
      <c r="D95" s="68" t="n"/>
      <c r="E95" s="68" t="n"/>
      <c r="F95" s="59">
        <f>IF(OR(E95="",D95=""),"",MAX(E95-D95,0))</f>
        <v/>
      </c>
      <c r="G95" s="59">
        <f>IF(F95="","",IF(N(C95)=0,1,C95))</f>
        <v/>
      </c>
      <c r="H95" s="53" t="n">
        <v>75</v>
      </c>
      <c r="I95" s="67" t="n"/>
      <c r="J95" s="55" t="n"/>
      <c r="K95" s="68" t="n"/>
      <c r="L95" s="68" t="n"/>
      <c r="M95" s="59">
        <f>IF(OR(L95="",K95=""),"",MAX(L95-K95,0))</f>
        <v/>
      </c>
      <c r="N95" s="59">
        <f>IF(M95="","",IF(N(J95)=0,1,J95))</f>
        <v/>
      </c>
    </row>
    <row r="96">
      <c r="A96" s="53" t="n">
        <v>76</v>
      </c>
      <c r="B96" s="67" t="n"/>
      <c r="C96" s="55" t="n"/>
      <c r="D96" s="68" t="n"/>
      <c r="E96" s="68" t="n"/>
      <c r="F96" s="59">
        <f>IF(OR(E96="",D96=""),"",MAX(E96-D96,0))</f>
        <v/>
      </c>
      <c r="G96" s="59">
        <f>IF(F96="","",IF(N(C96)=0,1,C96))</f>
        <v/>
      </c>
      <c r="H96" s="53" t="n">
        <v>76</v>
      </c>
      <c r="I96" s="67" t="n"/>
      <c r="J96" s="55" t="n"/>
      <c r="K96" s="68" t="n"/>
      <c r="L96" s="68" t="n"/>
      <c r="M96" s="59">
        <f>IF(OR(L96="",K96=""),"",MAX(L96-K96,0))</f>
        <v/>
      </c>
      <c r="N96" s="59">
        <f>IF(M96="","",IF(N(J96)=0,1,J96))</f>
        <v/>
      </c>
    </row>
    <row r="97">
      <c r="A97" s="53" t="n">
        <v>77</v>
      </c>
      <c r="B97" s="67" t="n"/>
      <c r="C97" s="55" t="n"/>
      <c r="D97" s="68" t="n"/>
      <c r="E97" s="68" t="n"/>
      <c r="F97" s="59">
        <f>IF(OR(E97="",D97=""),"",MAX(E97-D97,0))</f>
        <v/>
      </c>
      <c r="G97" s="59">
        <f>IF(F97="","",IF(N(C97)=0,1,C97))</f>
        <v/>
      </c>
      <c r="H97" s="53" t="n">
        <v>77</v>
      </c>
      <c r="I97" s="67" t="n"/>
      <c r="J97" s="55" t="n"/>
      <c r="K97" s="68" t="n"/>
      <c r="L97" s="68" t="n"/>
      <c r="M97" s="59">
        <f>IF(OR(L97="",K97=""),"",MAX(L97-K97,0))</f>
        <v/>
      </c>
      <c r="N97" s="59">
        <f>IF(M97="","",IF(N(J97)=0,1,J97))</f>
        <v/>
      </c>
    </row>
    <row r="98">
      <c r="A98" s="53" t="n">
        <v>78</v>
      </c>
      <c r="B98" s="67" t="n"/>
      <c r="C98" s="55" t="n"/>
      <c r="D98" s="68" t="n"/>
      <c r="E98" s="68" t="n"/>
      <c r="F98" s="59">
        <f>IF(OR(E98="",D98=""),"",MAX(E98-D98,0))</f>
        <v/>
      </c>
      <c r="G98" s="59">
        <f>IF(F98="","",IF(N(C98)=0,1,C98))</f>
        <v/>
      </c>
      <c r="H98" s="53" t="n">
        <v>78</v>
      </c>
      <c r="I98" s="67" t="n"/>
      <c r="J98" s="55" t="n"/>
      <c r="K98" s="68" t="n"/>
      <c r="L98" s="68" t="n"/>
      <c r="M98" s="59">
        <f>IF(OR(L98="",K98=""),"",MAX(L98-K98,0))</f>
        <v/>
      </c>
      <c r="N98" s="59">
        <f>IF(M98="","",IF(N(J98)=0,1,J98))</f>
        <v/>
      </c>
    </row>
    <row r="99">
      <c r="A99" s="53" t="n">
        <v>79</v>
      </c>
      <c r="B99" s="67" t="n"/>
      <c r="C99" s="55" t="n"/>
      <c r="D99" s="68" t="n"/>
      <c r="E99" s="68" t="n"/>
      <c r="F99" s="59">
        <f>IF(OR(E99="",D99=""),"",MAX(E99-D99,0))</f>
        <v/>
      </c>
      <c r="G99" s="59">
        <f>IF(F99="","",IF(N(C99)=0,1,C99))</f>
        <v/>
      </c>
      <c r="H99" s="53" t="n">
        <v>79</v>
      </c>
      <c r="I99" s="67" t="n"/>
      <c r="J99" s="55" t="n"/>
      <c r="K99" s="68" t="n"/>
      <c r="L99" s="68" t="n"/>
      <c r="M99" s="59">
        <f>IF(OR(L99="",K99=""),"",MAX(L99-K99,0))</f>
        <v/>
      </c>
      <c r="N99" s="59">
        <f>IF(M99="","",IF(N(J99)=0,1,J99))</f>
        <v/>
      </c>
    </row>
    <row r="100">
      <c r="A100" s="53" t="n">
        <v>80</v>
      </c>
      <c r="B100" s="67" t="n"/>
      <c r="C100" s="55" t="n"/>
      <c r="D100" s="68" t="n"/>
      <c r="E100" s="68" t="n"/>
      <c r="F100" s="59">
        <f>IF(OR(E100="",D100=""),"",MAX(E100-D100,0))</f>
        <v/>
      </c>
      <c r="G100" s="59">
        <f>IF(F100="","",IF(N(C100)=0,1,C100))</f>
        <v/>
      </c>
      <c r="H100" s="53" t="n">
        <v>80</v>
      </c>
      <c r="I100" s="67" t="n"/>
      <c r="J100" s="55" t="n"/>
      <c r="K100" s="68" t="n"/>
      <c r="L100" s="68" t="n"/>
      <c r="M100" s="59">
        <f>IF(OR(L100="",K100=""),"",MAX(L100-K100,0))</f>
        <v/>
      </c>
      <c r="N100" s="59">
        <f>IF(M100="","",IF(N(J100)=0,1,J100))</f>
        <v/>
      </c>
    </row>
    <row r="101">
      <c r="A101" s="53" t="n">
        <v>81</v>
      </c>
      <c r="B101" s="67" t="n"/>
      <c r="C101" s="55" t="n"/>
      <c r="D101" s="68" t="n"/>
      <c r="E101" s="68" t="n"/>
      <c r="F101" s="59">
        <f>IF(OR(E101="",D101=""),"",MAX(E101-D101,0))</f>
        <v/>
      </c>
      <c r="G101" s="59">
        <f>IF(F101="","",IF(N(C101)=0,1,C101))</f>
        <v/>
      </c>
      <c r="H101" s="53" t="n">
        <v>81</v>
      </c>
      <c r="I101" s="67" t="n"/>
      <c r="J101" s="55" t="n"/>
      <c r="K101" s="68" t="n"/>
      <c r="L101" s="68" t="n"/>
      <c r="M101" s="59">
        <f>IF(OR(L101="",K101=""),"",MAX(L101-K101,0))</f>
        <v/>
      </c>
      <c r="N101" s="59">
        <f>IF(M101="","",IF(N(J101)=0,1,J101))</f>
        <v/>
      </c>
    </row>
    <row r="102">
      <c r="A102" s="53" t="n">
        <v>82</v>
      </c>
      <c r="B102" s="67" t="n"/>
      <c r="C102" s="55" t="n"/>
      <c r="D102" s="68" t="n"/>
      <c r="E102" s="68" t="n"/>
      <c r="F102" s="59">
        <f>IF(OR(E102="",D102=""),"",MAX(E102-D102,0))</f>
        <v/>
      </c>
      <c r="G102" s="59">
        <f>IF(F102="","",IF(N(C102)=0,1,C102))</f>
        <v/>
      </c>
      <c r="H102" s="53" t="n">
        <v>82</v>
      </c>
      <c r="I102" s="67" t="n"/>
      <c r="J102" s="55" t="n"/>
      <c r="K102" s="68" t="n"/>
      <c r="L102" s="68" t="n"/>
      <c r="M102" s="59">
        <f>IF(OR(L102="",K102=""),"",MAX(L102-K102,0))</f>
        <v/>
      </c>
      <c r="N102" s="59">
        <f>IF(M102="","",IF(N(J102)=0,1,J102))</f>
        <v/>
      </c>
    </row>
    <row r="103">
      <c r="A103" s="53" t="n">
        <v>83</v>
      </c>
      <c r="B103" s="67" t="n"/>
      <c r="C103" s="55" t="n"/>
      <c r="D103" s="68" t="n"/>
      <c r="E103" s="68" t="n"/>
      <c r="F103" s="59">
        <f>IF(OR(E103="",D103=""),"",MAX(E103-D103,0))</f>
        <v/>
      </c>
      <c r="G103" s="59">
        <f>IF(F103="","",IF(N(C103)=0,1,C103))</f>
        <v/>
      </c>
      <c r="H103" s="53" t="n">
        <v>83</v>
      </c>
      <c r="I103" s="67" t="n"/>
      <c r="J103" s="55" t="n"/>
      <c r="K103" s="68" t="n"/>
      <c r="L103" s="68" t="n"/>
      <c r="M103" s="59">
        <f>IF(OR(L103="",K103=""),"",MAX(L103-K103,0))</f>
        <v/>
      </c>
      <c r="N103" s="59">
        <f>IF(M103="","",IF(N(J103)=0,1,J103))</f>
        <v/>
      </c>
    </row>
    <row r="104">
      <c r="A104" s="53" t="n">
        <v>84</v>
      </c>
      <c r="B104" s="67" t="n"/>
      <c r="C104" s="55" t="n"/>
      <c r="D104" s="68" t="n"/>
      <c r="E104" s="68" t="n"/>
      <c r="F104" s="59">
        <f>IF(OR(E104="",D104=""),"",MAX(E104-D104,0))</f>
        <v/>
      </c>
      <c r="G104" s="59">
        <f>IF(F104="","",IF(N(C104)=0,1,C104))</f>
        <v/>
      </c>
      <c r="H104" s="53" t="n">
        <v>84</v>
      </c>
      <c r="I104" s="67" t="n"/>
      <c r="J104" s="55" t="n"/>
      <c r="K104" s="68" t="n"/>
      <c r="L104" s="68" t="n"/>
      <c r="M104" s="59">
        <f>IF(OR(L104="",K104=""),"",MAX(L104-K104,0))</f>
        <v/>
      </c>
      <c r="N104" s="59">
        <f>IF(M104="","",IF(N(J104)=0,1,J104))</f>
        <v/>
      </c>
    </row>
    <row r="105">
      <c r="A105" s="53" t="n">
        <v>85</v>
      </c>
      <c r="B105" s="67" t="n"/>
      <c r="C105" s="55" t="n"/>
      <c r="D105" s="68" t="n"/>
      <c r="E105" s="68" t="n"/>
      <c r="F105" s="59">
        <f>IF(OR(E105="",D105=""),"",MAX(E105-D105,0))</f>
        <v/>
      </c>
      <c r="G105" s="59">
        <f>IF(F105="","",IF(N(C105)=0,1,C105))</f>
        <v/>
      </c>
      <c r="H105" s="53" t="n">
        <v>85</v>
      </c>
      <c r="I105" s="67" t="n"/>
      <c r="J105" s="55" t="n"/>
      <c r="K105" s="68" t="n"/>
      <c r="L105" s="68" t="n"/>
      <c r="M105" s="59">
        <f>IF(OR(L105="",K105=""),"",MAX(L105-K105,0))</f>
        <v/>
      </c>
      <c r="N105" s="59">
        <f>IF(M105="","",IF(N(J105)=0,1,J105))</f>
        <v/>
      </c>
    </row>
    <row r="106">
      <c r="A106" s="53" t="n">
        <v>86</v>
      </c>
      <c r="B106" s="67" t="n"/>
      <c r="C106" s="55" t="n"/>
      <c r="D106" s="68" t="n"/>
      <c r="E106" s="68" t="n"/>
      <c r="F106" s="59">
        <f>IF(OR(E106="",D106=""),"",MAX(E106-D106,0))</f>
        <v/>
      </c>
      <c r="G106" s="59">
        <f>IF(F106="","",IF(N(C106)=0,1,C106))</f>
        <v/>
      </c>
      <c r="H106" s="53" t="n">
        <v>86</v>
      </c>
      <c r="I106" s="67" t="n"/>
      <c r="J106" s="55" t="n"/>
      <c r="K106" s="68" t="n"/>
      <c r="L106" s="68" t="n"/>
      <c r="M106" s="59">
        <f>IF(OR(L106="",K106=""),"",MAX(L106-K106,0))</f>
        <v/>
      </c>
      <c r="N106" s="59">
        <f>IF(M106="","",IF(N(J106)=0,1,J106))</f>
        <v/>
      </c>
    </row>
    <row r="107">
      <c r="A107" s="53" t="n">
        <v>87</v>
      </c>
      <c r="B107" s="67" t="n"/>
      <c r="C107" s="55" t="n"/>
      <c r="D107" s="68" t="n"/>
      <c r="E107" s="68" t="n"/>
      <c r="F107" s="59">
        <f>IF(OR(E107="",D107=""),"",MAX(E107-D107,0))</f>
        <v/>
      </c>
      <c r="G107" s="59">
        <f>IF(F107="","",IF(N(C107)=0,1,C107))</f>
        <v/>
      </c>
      <c r="H107" s="53" t="n">
        <v>87</v>
      </c>
      <c r="I107" s="67" t="n"/>
      <c r="J107" s="55" t="n"/>
      <c r="K107" s="68" t="n"/>
      <c r="L107" s="68" t="n"/>
      <c r="M107" s="59">
        <f>IF(OR(L107="",K107=""),"",MAX(L107-K107,0))</f>
        <v/>
      </c>
      <c r="N107" s="59">
        <f>IF(M107="","",IF(N(J107)=0,1,J107))</f>
        <v/>
      </c>
    </row>
    <row r="108">
      <c r="A108" s="53" t="n">
        <v>88</v>
      </c>
      <c r="B108" s="67" t="n"/>
      <c r="C108" s="55" t="n"/>
      <c r="D108" s="68" t="n"/>
      <c r="E108" s="68" t="n"/>
      <c r="F108" s="59">
        <f>IF(OR(E108="",D108=""),"",MAX(E108-D108,0))</f>
        <v/>
      </c>
      <c r="G108" s="59">
        <f>IF(F108="","",IF(N(C108)=0,1,C108))</f>
        <v/>
      </c>
      <c r="H108" s="53" t="n">
        <v>88</v>
      </c>
      <c r="I108" s="67" t="n"/>
      <c r="J108" s="55" t="n"/>
      <c r="K108" s="68" t="n"/>
      <c r="L108" s="68" t="n"/>
      <c r="M108" s="59">
        <f>IF(OR(L108="",K108=""),"",MAX(L108-K108,0))</f>
        <v/>
      </c>
      <c r="N108" s="59">
        <f>IF(M108="","",IF(N(J108)=0,1,J108))</f>
        <v/>
      </c>
    </row>
    <row r="109">
      <c r="A109" s="53" t="n">
        <v>89</v>
      </c>
      <c r="B109" s="67" t="n"/>
      <c r="C109" s="55" t="n"/>
      <c r="D109" s="68" t="n"/>
      <c r="E109" s="68" t="n"/>
      <c r="F109" s="59">
        <f>IF(OR(E109="",D109=""),"",MAX(E109-D109,0))</f>
        <v/>
      </c>
      <c r="G109" s="59">
        <f>IF(F109="","",IF(N(C109)=0,1,C109))</f>
        <v/>
      </c>
      <c r="H109" s="53" t="n">
        <v>89</v>
      </c>
      <c r="I109" s="67" t="n"/>
      <c r="J109" s="55" t="n"/>
      <c r="K109" s="68" t="n"/>
      <c r="L109" s="68" t="n"/>
      <c r="M109" s="59">
        <f>IF(OR(L109="",K109=""),"",MAX(L109-K109,0))</f>
        <v/>
      </c>
      <c r="N109" s="59">
        <f>IF(M109="","",IF(N(J109)=0,1,J109))</f>
        <v/>
      </c>
    </row>
    <row r="110">
      <c r="A110" s="53" t="n">
        <v>90</v>
      </c>
      <c r="B110" s="67" t="n"/>
      <c r="C110" s="55" t="n"/>
      <c r="D110" s="68" t="n"/>
      <c r="E110" s="68" t="n"/>
      <c r="F110" s="59">
        <f>IF(OR(E110="",D110=""),"",MAX(E110-D110,0))</f>
        <v/>
      </c>
      <c r="G110" s="59">
        <f>IF(F110="","",IF(N(C110)=0,1,C110))</f>
        <v/>
      </c>
      <c r="H110" s="53" t="n">
        <v>90</v>
      </c>
      <c r="I110" s="67" t="n"/>
      <c r="J110" s="55" t="n"/>
      <c r="K110" s="68" t="n"/>
      <c r="L110" s="68" t="n"/>
      <c r="M110" s="59">
        <f>IF(OR(L110="",K110=""),"",MAX(L110-K110,0))</f>
        <v/>
      </c>
      <c r="N110" s="59">
        <f>IF(M110="","",IF(N(J110)=0,1,J110))</f>
        <v/>
      </c>
    </row>
    <row r="111">
      <c r="A111" s="53" t="n">
        <v>91</v>
      </c>
      <c r="B111" s="67" t="n"/>
      <c r="C111" s="55" t="n"/>
      <c r="D111" s="68" t="n"/>
      <c r="E111" s="68" t="n"/>
      <c r="F111" s="59">
        <f>IF(OR(E111="",D111=""),"",MAX(E111-D111,0))</f>
        <v/>
      </c>
      <c r="G111" s="59">
        <f>IF(F111="","",IF(N(C111)=0,1,C111))</f>
        <v/>
      </c>
      <c r="H111" s="53" t="n">
        <v>91</v>
      </c>
      <c r="I111" s="67" t="n"/>
      <c r="J111" s="55" t="n"/>
      <c r="K111" s="68" t="n"/>
      <c r="L111" s="68" t="n"/>
      <c r="M111" s="59">
        <f>IF(OR(L111="",K111=""),"",MAX(L111-K111,0))</f>
        <v/>
      </c>
      <c r="N111" s="59">
        <f>IF(M111="","",IF(N(J111)=0,1,J111))</f>
        <v/>
      </c>
    </row>
    <row r="112">
      <c r="A112" s="53" t="n">
        <v>92</v>
      </c>
      <c r="B112" s="67" t="n"/>
      <c r="C112" s="55" t="n"/>
      <c r="D112" s="68" t="n"/>
      <c r="E112" s="68" t="n"/>
      <c r="F112" s="59">
        <f>IF(OR(E112="",D112=""),"",MAX(E112-D112,0))</f>
        <v/>
      </c>
      <c r="G112" s="59">
        <f>IF(F112="","",IF(N(C112)=0,1,C112))</f>
        <v/>
      </c>
      <c r="H112" s="53" t="n">
        <v>92</v>
      </c>
      <c r="I112" s="67" t="n"/>
      <c r="J112" s="55" t="n"/>
      <c r="K112" s="68" t="n"/>
      <c r="L112" s="68" t="n"/>
      <c r="M112" s="59">
        <f>IF(OR(L112="",K112=""),"",MAX(L112-K112,0))</f>
        <v/>
      </c>
      <c r="N112" s="59">
        <f>IF(M112="","",IF(N(J112)=0,1,J112))</f>
        <v/>
      </c>
    </row>
    <row r="113">
      <c r="A113" s="53" t="n">
        <v>93</v>
      </c>
      <c r="B113" s="67" t="n"/>
      <c r="C113" s="55" t="n"/>
      <c r="D113" s="68" t="n"/>
      <c r="E113" s="68" t="n"/>
      <c r="F113" s="59">
        <f>IF(OR(E113="",D113=""),"",MAX(E113-D113,0))</f>
        <v/>
      </c>
      <c r="G113" s="59">
        <f>IF(F113="","",IF(N(C113)=0,1,C113))</f>
        <v/>
      </c>
      <c r="H113" s="53" t="n">
        <v>93</v>
      </c>
      <c r="I113" s="67" t="n"/>
      <c r="J113" s="55" t="n"/>
      <c r="K113" s="68" t="n"/>
      <c r="L113" s="68" t="n"/>
      <c r="M113" s="59">
        <f>IF(OR(L113="",K113=""),"",MAX(L113-K113,0))</f>
        <v/>
      </c>
      <c r="N113" s="59">
        <f>IF(M113="","",IF(N(J113)=0,1,J113))</f>
        <v/>
      </c>
    </row>
    <row r="114">
      <c r="A114" s="53" t="n">
        <v>94</v>
      </c>
      <c r="B114" s="67" t="n"/>
      <c r="C114" s="55" t="n"/>
      <c r="D114" s="68" t="n"/>
      <c r="E114" s="68" t="n"/>
      <c r="F114" s="59">
        <f>IF(OR(E114="",D114=""),"",MAX(E114-D114,0))</f>
        <v/>
      </c>
      <c r="G114" s="59">
        <f>IF(F114="","",IF(N(C114)=0,1,C114))</f>
        <v/>
      </c>
      <c r="H114" s="53" t="n">
        <v>94</v>
      </c>
      <c r="I114" s="67" t="n"/>
      <c r="J114" s="55" t="n"/>
      <c r="K114" s="68" t="n"/>
      <c r="L114" s="68" t="n"/>
      <c r="M114" s="59">
        <f>IF(OR(L114="",K114=""),"",MAX(L114-K114,0))</f>
        <v/>
      </c>
      <c r="N114" s="59">
        <f>IF(M114="","",IF(N(J114)=0,1,J114))</f>
        <v/>
      </c>
    </row>
    <row r="115">
      <c r="A115" s="53" t="n">
        <v>95</v>
      </c>
      <c r="B115" s="67" t="n"/>
      <c r="C115" s="55" t="n"/>
      <c r="D115" s="68" t="n"/>
      <c r="E115" s="68" t="n"/>
      <c r="F115" s="59">
        <f>IF(OR(E115="",D115=""),"",MAX(E115-D115,0))</f>
        <v/>
      </c>
      <c r="G115" s="59">
        <f>IF(F115="","",IF(N(C115)=0,1,C115))</f>
        <v/>
      </c>
      <c r="H115" s="53" t="n">
        <v>95</v>
      </c>
      <c r="I115" s="67" t="n"/>
      <c r="J115" s="55" t="n"/>
      <c r="K115" s="68" t="n"/>
      <c r="L115" s="68" t="n"/>
      <c r="M115" s="59">
        <f>IF(OR(L115="",K115=""),"",MAX(L115-K115,0))</f>
        <v/>
      </c>
      <c r="N115" s="59">
        <f>IF(M115="","",IF(N(J115)=0,1,J115))</f>
        <v/>
      </c>
    </row>
    <row r="116">
      <c r="A116" s="53" t="n">
        <v>96</v>
      </c>
      <c r="B116" s="67" t="n"/>
      <c r="C116" s="55" t="n"/>
      <c r="D116" s="68" t="n"/>
      <c r="E116" s="68" t="n"/>
      <c r="F116" s="59">
        <f>IF(OR(E116="",D116=""),"",MAX(E116-D116,0))</f>
        <v/>
      </c>
      <c r="G116" s="59">
        <f>IF(F116="","",IF(N(C116)=0,1,C116))</f>
        <v/>
      </c>
      <c r="H116" s="53" t="n">
        <v>96</v>
      </c>
      <c r="I116" s="67" t="n"/>
      <c r="J116" s="55" t="n"/>
      <c r="K116" s="68" t="n"/>
      <c r="L116" s="68" t="n"/>
      <c r="M116" s="59">
        <f>IF(OR(L116="",K116=""),"",MAX(L116-K116,0))</f>
        <v/>
      </c>
      <c r="N116" s="59">
        <f>IF(M116="","",IF(N(J116)=0,1,J116))</f>
        <v/>
      </c>
    </row>
    <row r="117">
      <c r="A117" s="53" t="n">
        <v>97</v>
      </c>
      <c r="B117" s="67" t="n"/>
      <c r="C117" s="55" t="n"/>
      <c r="D117" s="68" t="n"/>
      <c r="E117" s="68" t="n"/>
      <c r="F117" s="59">
        <f>IF(OR(E117="",D117=""),"",MAX(E117-D117,0))</f>
        <v/>
      </c>
      <c r="G117" s="59">
        <f>IF(F117="","",IF(N(C117)=0,1,C117))</f>
        <v/>
      </c>
      <c r="H117" s="53" t="n">
        <v>97</v>
      </c>
      <c r="I117" s="67" t="n"/>
      <c r="J117" s="55" t="n"/>
      <c r="K117" s="68" t="n"/>
      <c r="L117" s="68" t="n"/>
      <c r="M117" s="59">
        <f>IF(OR(L117="",K117=""),"",MAX(L117-K117,0))</f>
        <v/>
      </c>
      <c r="N117" s="59">
        <f>IF(M117="","",IF(N(J117)=0,1,J117))</f>
        <v/>
      </c>
    </row>
    <row r="118">
      <c r="A118" s="53" t="n">
        <v>98</v>
      </c>
      <c r="B118" s="67" t="n"/>
      <c r="C118" s="55" t="n"/>
      <c r="D118" s="68" t="n"/>
      <c r="E118" s="68" t="n"/>
      <c r="F118" s="59">
        <f>IF(OR(E118="",D118=""),"",MAX(E118-D118,0))</f>
        <v/>
      </c>
      <c r="G118" s="59">
        <f>IF(F118="","",IF(N(C118)=0,1,C118))</f>
        <v/>
      </c>
      <c r="H118" s="53" t="n">
        <v>98</v>
      </c>
      <c r="I118" s="67" t="n"/>
      <c r="J118" s="55" t="n"/>
      <c r="K118" s="68" t="n"/>
      <c r="L118" s="68" t="n"/>
      <c r="M118" s="59">
        <f>IF(OR(L118="",K118=""),"",MAX(L118-K118,0))</f>
        <v/>
      </c>
      <c r="N118" s="59">
        <f>IF(M118="","",IF(N(J118)=0,1,J118))</f>
        <v/>
      </c>
    </row>
    <row r="119">
      <c r="A119" s="53" t="n">
        <v>99</v>
      </c>
      <c r="B119" s="67" t="n"/>
      <c r="C119" s="55" t="n"/>
      <c r="D119" s="68" t="n"/>
      <c r="E119" s="68" t="n"/>
      <c r="F119" s="59">
        <f>IF(OR(E119="",D119=""),"",MAX(E119-D119,0))</f>
        <v/>
      </c>
      <c r="G119" s="59">
        <f>IF(F119="","",IF(N(C119)=0,1,C119))</f>
        <v/>
      </c>
      <c r="H119" s="53" t="n">
        <v>99</v>
      </c>
      <c r="I119" s="67" t="n"/>
      <c r="J119" s="55" t="n"/>
      <c r="K119" s="68" t="n"/>
      <c r="L119" s="68" t="n"/>
      <c r="M119" s="59">
        <f>IF(OR(L119="",K119=""),"",MAX(L119-K119,0))</f>
        <v/>
      </c>
      <c r="N119" s="59">
        <f>IF(M119="","",IF(N(J119)=0,1,J119))</f>
        <v/>
      </c>
    </row>
    <row r="120">
      <c r="A120" s="53" t="n">
        <v>100</v>
      </c>
      <c r="B120" s="67" t="n"/>
      <c r="C120" s="55" t="n"/>
      <c r="D120" s="68" t="n"/>
      <c r="E120" s="68" t="n"/>
      <c r="F120" s="59">
        <f>IF(OR(E120="",D120=""),"",MAX(E120-D120,0))</f>
        <v/>
      </c>
      <c r="G120" s="59">
        <f>IF(F120="","",IF(N(C120)=0,1,C120))</f>
        <v/>
      </c>
      <c r="H120" s="53" t="n">
        <v>100</v>
      </c>
      <c r="I120" s="67" t="n"/>
      <c r="J120" s="55" t="n"/>
      <c r="K120" s="68" t="n"/>
      <c r="L120" s="68" t="n"/>
      <c r="M120" s="59">
        <f>IF(OR(L120="",K120=""),"",MAX(L120-K120,0))</f>
        <v/>
      </c>
      <c r="N120" s="59">
        <f>IF(M120="","",IF(N(J120)=0,1,J120))</f>
        <v/>
      </c>
    </row>
    <row r="121">
      <c r="A121" s="53" t="n">
        <v>101</v>
      </c>
      <c r="B121" s="67" t="n"/>
      <c r="C121" s="55" t="n"/>
      <c r="D121" s="68" t="n"/>
      <c r="E121" s="68" t="n"/>
      <c r="F121" s="59">
        <f>IF(OR(E121="",D121=""),"",MAX(E121-D121,0))</f>
        <v/>
      </c>
      <c r="G121" s="59">
        <f>IF(F121="","",IF(N(C121)=0,1,C121))</f>
        <v/>
      </c>
      <c r="H121" s="53" t="n">
        <v>101</v>
      </c>
      <c r="I121" s="67" t="n"/>
      <c r="J121" s="55" t="n"/>
      <c r="K121" s="68" t="n"/>
      <c r="L121" s="68" t="n"/>
      <c r="M121" s="59">
        <f>IF(OR(L121="",K121=""),"",MAX(L121-K121,0))</f>
        <v/>
      </c>
      <c r="N121" s="59">
        <f>IF(M121="","",IF(N(J121)=0,1,J121))</f>
        <v/>
      </c>
    </row>
    <row r="122">
      <c r="A122" s="53" t="n">
        <v>102</v>
      </c>
      <c r="B122" s="67" t="n"/>
      <c r="C122" s="55" t="n"/>
      <c r="D122" s="68" t="n"/>
      <c r="E122" s="68" t="n"/>
      <c r="F122" s="59">
        <f>IF(OR(E122="",D122=""),"",MAX(E122-D122,0))</f>
        <v/>
      </c>
      <c r="G122" s="59">
        <f>IF(F122="","",IF(N(C122)=0,1,C122))</f>
        <v/>
      </c>
      <c r="H122" s="53" t="n">
        <v>102</v>
      </c>
      <c r="I122" s="67" t="n"/>
      <c r="J122" s="55" t="n"/>
      <c r="K122" s="68" t="n"/>
      <c r="L122" s="68" t="n"/>
      <c r="M122" s="59">
        <f>IF(OR(L122="",K122=""),"",MAX(L122-K122,0))</f>
        <v/>
      </c>
      <c r="N122" s="59">
        <f>IF(M122="","",IF(N(J122)=0,1,J122))</f>
        <v/>
      </c>
    </row>
    <row r="123">
      <c r="A123" s="53" t="n">
        <v>103</v>
      </c>
      <c r="B123" s="67" t="n"/>
      <c r="C123" s="55" t="n"/>
      <c r="D123" s="68" t="n"/>
      <c r="E123" s="68" t="n"/>
      <c r="F123" s="59">
        <f>IF(OR(E123="",D123=""),"",MAX(E123-D123,0))</f>
        <v/>
      </c>
      <c r="G123" s="59">
        <f>IF(F123="","",IF(N(C123)=0,1,C123))</f>
        <v/>
      </c>
      <c r="H123" s="53" t="n">
        <v>103</v>
      </c>
      <c r="I123" s="67" t="n"/>
      <c r="J123" s="55" t="n"/>
      <c r="K123" s="68" t="n"/>
      <c r="L123" s="68" t="n"/>
      <c r="M123" s="59">
        <f>IF(OR(L123="",K123=""),"",MAX(L123-K123,0))</f>
        <v/>
      </c>
      <c r="N123" s="59">
        <f>IF(M123="","",IF(N(J123)=0,1,J123))</f>
        <v/>
      </c>
    </row>
    <row r="124">
      <c r="A124" s="53" t="n">
        <v>104</v>
      </c>
      <c r="B124" s="67" t="n"/>
      <c r="C124" s="55" t="n"/>
      <c r="D124" s="68" t="n"/>
      <c r="E124" s="68" t="n"/>
      <c r="F124" s="59">
        <f>IF(OR(E124="",D124=""),"",MAX(E124-D124,0))</f>
        <v/>
      </c>
      <c r="G124" s="59">
        <f>IF(F124="","",IF(N(C124)=0,1,C124))</f>
        <v/>
      </c>
      <c r="H124" s="53" t="n">
        <v>104</v>
      </c>
      <c r="I124" s="67" t="n"/>
      <c r="J124" s="55" t="n"/>
      <c r="K124" s="68" t="n"/>
      <c r="L124" s="68" t="n"/>
      <c r="M124" s="59">
        <f>IF(OR(L124="",K124=""),"",MAX(L124-K124,0))</f>
        <v/>
      </c>
      <c r="N124" s="59">
        <f>IF(M124="","",IF(N(J124)=0,1,J124))</f>
        <v/>
      </c>
    </row>
    <row r="125">
      <c r="A125" s="53" t="n">
        <v>105</v>
      </c>
      <c r="B125" s="67" t="n"/>
      <c r="C125" s="55" t="n"/>
      <c r="D125" s="68" t="n"/>
      <c r="E125" s="68" t="n"/>
      <c r="F125" s="59">
        <f>IF(OR(E125="",D125=""),"",MAX(E125-D125,0))</f>
        <v/>
      </c>
      <c r="G125" s="59">
        <f>IF(F125="","",IF(N(C125)=0,1,C125))</f>
        <v/>
      </c>
      <c r="H125" s="53" t="n">
        <v>105</v>
      </c>
      <c r="I125" s="67" t="n"/>
      <c r="J125" s="55" t="n"/>
      <c r="K125" s="68" t="n"/>
      <c r="L125" s="68" t="n"/>
      <c r="M125" s="59">
        <f>IF(OR(L125="",K125=""),"",MAX(L125-K125,0))</f>
        <v/>
      </c>
      <c r="N125" s="59">
        <f>IF(M125="","",IF(N(J125)=0,1,J125))</f>
        <v/>
      </c>
    </row>
    <row r="126">
      <c r="A126" s="53" t="n">
        <v>106</v>
      </c>
      <c r="B126" s="67" t="n"/>
      <c r="C126" s="55" t="n"/>
      <c r="D126" s="68" t="n"/>
      <c r="E126" s="68" t="n"/>
      <c r="F126" s="59">
        <f>IF(OR(E126="",D126=""),"",MAX(E126-D126,0))</f>
        <v/>
      </c>
      <c r="G126" s="59">
        <f>IF(F126="","",IF(N(C126)=0,1,C126))</f>
        <v/>
      </c>
      <c r="H126" s="53" t="n">
        <v>106</v>
      </c>
      <c r="I126" s="67" t="n"/>
      <c r="J126" s="55" t="n"/>
      <c r="K126" s="68" t="n"/>
      <c r="L126" s="68" t="n"/>
      <c r="M126" s="59">
        <f>IF(OR(L126="",K126=""),"",MAX(L126-K126,0))</f>
        <v/>
      </c>
      <c r="N126" s="59">
        <f>IF(M126="","",IF(N(J126)=0,1,J126))</f>
        <v/>
      </c>
    </row>
    <row r="127">
      <c r="A127" s="53" t="n">
        <v>107</v>
      </c>
      <c r="B127" s="67" t="n"/>
      <c r="C127" s="55" t="n"/>
      <c r="D127" s="68" t="n"/>
      <c r="E127" s="68" t="n"/>
      <c r="F127" s="59">
        <f>IF(OR(E127="",D127=""),"",MAX(E127-D127,0))</f>
        <v/>
      </c>
      <c r="G127" s="59">
        <f>IF(F127="","",IF(N(C127)=0,1,C127))</f>
        <v/>
      </c>
      <c r="H127" s="53" t="n">
        <v>107</v>
      </c>
      <c r="I127" s="67" t="n"/>
      <c r="J127" s="55" t="n"/>
      <c r="K127" s="68" t="n"/>
      <c r="L127" s="68" t="n"/>
      <c r="M127" s="59">
        <f>IF(OR(L127="",K127=""),"",MAX(L127-K127,0))</f>
        <v/>
      </c>
      <c r="N127" s="59">
        <f>IF(M127="","",IF(N(J127)=0,1,J127))</f>
        <v/>
      </c>
    </row>
    <row r="128">
      <c r="A128" s="53" t="n">
        <v>108</v>
      </c>
      <c r="B128" s="67" t="n"/>
      <c r="C128" s="55" t="n"/>
      <c r="D128" s="68" t="n"/>
      <c r="E128" s="68" t="n"/>
      <c r="F128" s="59">
        <f>IF(OR(E128="",D128=""),"",MAX(E128-D128,0))</f>
        <v/>
      </c>
      <c r="G128" s="59">
        <f>IF(F128="","",IF(N(C128)=0,1,C128))</f>
        <v/>
      </c>
      <c r="H128" s="53" t="n">
        <v>108</v>
      </c>
      <c r="I128" s="67" t="n"/>
      <c r="J128" s="55" t="n"/>
      <c r="K128" s="68" t="n"/>
      <c r="L128" s="68" t="n"/>
      <c r="M128" s="59">
        <f>IF(OR(L128="",K128=""),"",MAX(L128-K128,0))</f>
        <v/>
      </c>
      <c r="N128" s="59">
        <f>IF(M128="","",IF(N(J128)=0,1,J128))</f>
        <v/>
      </c>
    </row>
    <row r="129">
      <c r="A129" s="53" t="n">
        <v>109</v>
      </c>
      <c r="B129" s="67" t="n"/>
      <c r="C129" s="55" t="n"/>
      <c r="D129" s="68" t="n"/>
      <c r="E129" s="68" t="n"/>
      <c r="F129" s="59">
        <f>IF(OR(E129="",D129=""),"",MAX(E129-D129,0))</f>
        <v/>
      </c>
      <c r="G129" s="59">
        <f>IF(F129="","",IF(N(C129)=0,1,C129))</f>
        <v/>
      </c>
      <c r="H129" s="53" t="n">
        <v>109</v>
      </c>
      <c r="I129" s="67" t="n"/>
      <c r="J129" s="55" t="n"/>
      <c r="K129" s="68" t="n"/>
      <c r="L129" s="68" t="n"/>
      <c r="M129" s="59">
        <f>IF(OR(L129="",K129=""),"",MAX(L129-K129,0))</f>
        <v/>
      </c>
      <c r="N129" s="59">
        <f>IF(M129="","",IF(N(J129)=0,1,J129))</f>
        <v/>
      </c>
    </row>
    <row r="130">
      <c r="A130" s="53" t="n">
        <v>110</v>
      </c>
      <c r="B130" s="67" t="n"/>
      <c r="C130" s="55" t="n"/>
      <c r="D130" s="68" t="n"/>
      <c r="E130" s="68" t="n"/>
      <c r="F130" s="59">
        <f>IF(OR(E130="",D130=""),"",MAX(E130-D130,0))</f>
        <v/>
      </c>
      <c r="G130" s="59">
        <f>IF(F130="","",IF(N(C130)=0,1,C130))</f>
        <v/>
      </c>
      <c r="H130" s="53" t="n">
        <v>110</v>
      </c>
      <c r="I130" s="67" t="n"/>
      <c r="J130" s="55" t="n"/>
      <c r="K130" s="68" t="n"/>
      <c r="L130" s="68" t="n"/>
      <c r="M130" s="59">
        <f>IF(OR(L130="",K130=""),"",MAX(L130-K130,0))</f>
        <v/>
      </c>
      <c r="N130" s="59">
        <f>IF(M130="","",IF(N(J130)=0,1,J130))</f>
        <v/>
      </c>
    </row>
    <row r="131">
      <c r="A131" s="60" t="n"/>
      <c r="B131" s="61" t="inlineStr">
        <is>
          <t>Total</t>
        </is>
      </c>
      <c r="C131" s="65">
        <f>SUM(C21:C130)</f>
        <v/>
      </c>
      <c r="D131" s="60" t="n"/>
      <c r="E131" s="60" t="n"/>
      <c r="F131" s="62">
        <f>IF(N(G131)=0,"",SUMPRODUCT(F21:F130,G21:G130)/G131)</f>
        <v/>
      </c>
      <c r="G131" s="65">
        <f>SUM(G21:G130)</f>
        <v/>
      </c>
      <c r="H131" s="60" t="n"/>
      <c r="I131" s="61" t="inlineStr">
        <is>
          <t>Total</t>
        </is>
      </c>
      <c r="J131" s="65">
        <f>SUM(J21:J130)</f>
        <v/>
      </c>
      <c r="K131" s="60" t="n"/>
      <c r="L131" s="60" t="n"/>
      <c r="M131" s="62">
        <f>IF(N(N131)=0,"",SUMPRODUCT(M21:M130,N21:N130)/N131)</f>
        <v/>
      </c>
      <c r="N131" s="65">
        <f>SUM(N21:N130)</f>
        <v/>
      </c>
    </row>
    <row r="132">
      <c r="B13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13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130" showDropDown="0" showInputMessage="0" showErrorMessage="1" allowBlank="1" error="No. of Posts must be a whole number &gt;= 1." type="whole" operator="greaterThanOrEqual">
      <formula1>1</formula1>
    </dataValidation>
    <dataValidation sqref="K21:L13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13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M&amp;C Ltd.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IF(OCT!$E$5="","",OCT!$E$5)</f>
        <v/>
      </c>
      <c r="D4" s="55" t="n"/>
      <c r="E4" s="56">
        <f>IF(OCT!$E$43="","",OCT!$E$43)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IF(OCT!$E$44="","",OCT!$E$44)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IF(NOV!$E$5="","",NOV!$E$5)</f>
        <v/>
      </c>
      <c r="D5" s="55" t="n"/>
      <c r="E5" s="56">
        <f>IF(NOV!$E$43="","",NOV!$E$43)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IF(NOV!$E$44="","",NOV!$E$44)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IF(DEC!$E$5="","",DEC!$E$5)</f>
        <v/>
      </c>
      <c r="D6" s="55" t="n"/>
      <c r="E6" s="56">
        <f>IF(DEC!$E$43="","",DEC!$E$43)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IF(DEC!$E$44="","",DEC!$E$44)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IF(JAN!$E$5="","",JAN!$E$5)</f>
        <v/>
      </c>
      <c r="D7" s="55" t="n"/>
      <c r="E7" s="56">
        <f>IF(JAN!$E$43="","",JAN!$E$43)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IF(JAN!$E$44="","",JAN!$E$44)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IF(FEB!$E$5="","",FEB!$E$5)</f>
        <v/>
      </c>
      <c r="D8" s="55" t="n"/>
      <c r="E8" s="56">
        <f>IF(FEB!$E$43="","",FEB!$E$43)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IF(FEB!$E$44="","",FEB!$E$44)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IF(MAR!$E$5="","",MAR!$E$5)</f>
        <v/>
      </c>
      <c r="D9" s="55" t="n"/>
      <c r="E9" s="56">
        <f>IF(MAR!$E$43="","",MAR!$E$43)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IF(MAR!$E$44="","",MAR!$E$44)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IF(APR!$E$5="","",APR!$E$5)</f>
        <v/>
      </c>
      <c r="D10" s="55" t="n"/>
      <c r="E10" s="56">
        <f>IF(APR!$E$43="","",APR!$E$43)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IF(APR!$E$44="","",APR!$E$44)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IF(MAY!$E$5="","",MAY!$E$5)</f>
        <v/>
      </c>
      <c r="D11" s="55" t="n"/>
      <c r="E11" s="56">
        <f>IF(MAY!$E$43="","",MAY!$E$43)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IF(MAY!$E$44="","",MAY!$E$44)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IF(JUN!$E$5="","",JUN!$E$5)</f>
        <v/>
      </c>
      <c r="D12" s="55" t="n"/>
      <c r="E12" s="56">
        <f>IF(JUN!$E$43="","",JUN!$E$43)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IF(JUN!$E$44="","",JUN!$E$44)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IF(JUL!$E$5="","",JUL!$E$5)</f>
        <v/>
      </c>
      <c r="D13" s="55" t="n"/>
      <c r="E13" s="56">
        <f>IF(JUL!$E$43="","",JUL!$E$43)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IF(JUL!$E$44="","",JUL!$E$44)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IF(AUG!$E$5="","",AUG!$E$5)</f>
        <v/>
      </c>
      <c r="D14" s="55" t="n"/>
      <c r="E14" s="56">
        <f>IF(AUG!$E$43="","",AUG!$E$43)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IF(AUG!$E$44="","",AUG!$E$44)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IF(SEP!$E$5="","",SEP!$E$5)</f>
        <v/>
      </c>
      <c r="D15" s="55" t="n"/>
      <c r="E15" s="56">
        <f>IF(SEP!$E$43="","",SEP!$E$43)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IF(SEP!$E$44="","",SEP!$E$44)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Coreas Hazells (Services)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IF(OCT!$F$5="","",OCT!$F$5)</f>
        <v/>
      </c>
      <c r="D4" s="55" t="n"/>
      <c r="E4" s="56">
        <f>IF(OCT!$F$43="","",OCT!$F$43)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IF(OCT!$F$44="","",OCT!$F$44)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IF(NOV!$F$5="","",NOV!$F$5)</f>
        <v/>
      </c>
      <c r="D5" s="55" t="n"/>
      <c r="E5" s="56">
        <f>IF(NOV!$F$43="","",NOV!$F$43)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IF(NOV!$F$44="","",NOV!$F$44)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IF(DEC!$F$5="","",DEC!$F$5)</f>
        <v/>
      </c>
      <c r="D6" s="55" t="n"/>
      <c r="E6" s="56">
        <f>IF(DEC!$F$43="","",DEC!$F$43)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IF(DEC!$F$44="","",DEC!$F$44)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IF(JAN!$F$5="","",JAN!$F$5)</f>
        <v/>
      </c>
      <c r="D7" s="55" t="n"/>
      <c r="E7" s="56">
        <f>IF(JAN!$F$43="","",JAN!$F$43)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IF(JAN!$F$44="","",JAN!$F$44)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IF(FEB!$F$5="","",FEB!$F$5)</f>
        <v/>
      </c>
      <c r="D8" s="55" t="n"/>
      <c r="E8" s="56">
        <f>IF(FEB!$F$43="","",FEB!$F$43)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IF(FEB!$F$44="","",FEB!$F$44)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IF(MAR!$F$5="","",MAR!$F$5)</f>
        <v/>
      </c>
      <c r="D9" s="55" t="n"/>
      <c r="E9" s="56">
        <f>IF(MAR!$F$43="","",MAR!$F$43)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IF(MAR!$F$44="","",MAR!$F$44)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IF(APR!$F$5="","",APR!$F$5)</f>
        <v/>
      </c>
      <c r="D10" s="55" t="n"/>
      <c r="E10" s="56">
        <f>IF(APR!$F$43="","",APR!$F$43)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IF(APR!$F$44="","",APR!$F$44)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IF(MAY!$F$5="","",MAY!$F$5)</f>
        <v/>
      </c>
      <c r="D11" s="55" t="n"/>
      <c r="E11" s="56">
        <f>IF(MAY!$F$43="","",MAY!$F$43)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IF(MAY!$F$44="","",MAY!$F$44)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IF(JUN!$F$5="","",JUN!$F$5)</f>
        <v/>
      </c>
      <c r="D12" s="55" t="n"/>
      <c r="E12" s="56">
        <f>IF(JUN!$F$43="","",JUN!$F$43)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IF(JUN!$F$44="","",JUN!$F$44)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IF(JUL!$F$5="","",JUL!$F$5)</f>
        <v/>
      </c>
      <c r="D13" s="55" t="n"/>
      <c r="E13" s="56">
        <f>IF(JUL!$F$43="","",JUL!$F$43)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IF(JUL!$F$44="","",JUL!$F$44)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IF(AUG!$F$5="","",AUG!$F$5)</f>
        <v/>
      </c>
      <c r="D14" s="55" t="n"/>
      <c r="E14" s="56">
        <f>IF(AUG!$F$43="","",AUG!$F$43)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IF(AUG!$F$44="","",AUG!$F$44)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IF(SEP!$F$5="","",SEP!$F$5)</f>
        <v/>
      </c>
      <c r="D15" s="55" t="n"/>
      <c r="E15" s="56">
        <f>IF(SEP!$F$43="","",SEP!$F$43)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IF(SEP!$F$44="","",SEP!$F$44)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2026-09-26T17:34:42Z</dcterms:created>
  <dcterms:modified xsi:type="dcterms:W3CDTF">2026-09-26T17:34:46Z</dcterms:modified>
</cp:coreProperties>
</file>