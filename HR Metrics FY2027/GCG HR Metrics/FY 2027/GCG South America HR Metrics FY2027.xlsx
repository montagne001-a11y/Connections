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" sheetId="1" state="visible" r:id="rId1"/>
    <sheet name="OCT" sheetId="2" state="visible" r:id="rId2"/>
    <sheet name="NOV" sheetId="3" state="visible" r:id="rId3"/>
    <sheet name="DEC" sheetId="4" state="visible" r:id="rId4"/>
    <sheet name="JAN" sheetId="5" state="visible" r:id="rId5"/>
    <sheet name="FEB" sheetId="6" state="visible" r:id="rId6"/>
    <sheet name="MAR" sheetId="7" state="visible" r:id="rId7"/>
    <sheet name="APR" sheetId="8" state="visible" r:id="rId8"/>
    <sheet name="MAY" sheetId="9" state="visible" r:id="rId9"/>
    <sheet name="JUN" sheetId="10" state="visible" r:id="rId10"/>
    <sheet name="JUL" sheetId="11" state="visible" r:id="rId11"/>
    <sheet name="AUG" sheetId="12" state="visible" r:id="rId12"/>
    <sheet name="SEP" sheetId="13" state="visible" r:id="rId13"/>
    <sheet name="(Bogota)" sheetId="14" state="visible" r:id="rId14"/>
    <sheet name="(Colombia)" sheetId="15" state="visible" r:id="rId15"/>
    <sheet name="(Guayaquil)" sheetId="16" state="visible" r:id="rId16"/>
    <sheet name="(Paraguay)" sheetId="17" state="visible" r:id="rId17"/>
    <sheet name="(Quito)" sheetId="18" state="visible" r:id="rId18"/>
    <sheet name="(Uruguay)" sheetId="19" state="visible" r:id="rId19"/>
    <sheet name="(Caracas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#,##0.0"/>
    <numFmt numFmtId="167" formatCode="yyyy-mm-dd h:mm:ss"/>
    <numFmt numFmtId="168" formatCode="mmmm-yy"/>
    <numFmt numFmtId="169" formatCode="mm/dd/yyyy"/>
  </numFmts>
  <fonts count="18">
    <font>
      <name val="Calibri"/>
      <family val="2"/>
      <color theme="1"/>
      <sz val="11"/>
      <scheme val="minor"/>
    </font>
    <font>
      <name val="Calibri"/>
      <color rgb="FFBFBFBF"/>
      <sz val="12"/>
    </font>
    <font>
      <name val="Calibri"/>
      <color rgb="FFFFFFFF"/>
      <sz val="14"/>
    </font>
    <font>
      <name val="Calibri"/>
      <b val="1"/>
      <color rgb="FFF2CEEF"/>
      <sz val="12"/>
    </font>
    <font>
      <name val="Aptos Narrow"/>
      <family val="2"/>
      <color theme="1"/>
      <sz val="11"/>
      <scheme val="minor"/>
    </font>
    <font>
      <name val="Calibri"/>
      <color rgb="FFF2CEEF"/>
      <sz val="12"/>
    </font>
    <font>
      <name val="Calibri"/>
      <color rgb="FFFFFFFF"/>
      <sz val="16"/>
    </font>
    <font>
      <name val="Calibri"/>
      <color rgb="FF31216B"/>
      <sz val="12"/>
    </font>
    <font>
      <name val="Calibri"/>
      <color rgb="FFFFFFFF"/>
      <sz val="12"/>
    </font>
    <font>
      <name val="Calibri"/>
      <color rgb="FF808080"/>
      <sz val="12"/>
    </font>
    <font>
      <name val="Calibri"/>
      <color rgb="FF0E2841"/>
      <sz val="12"/>
    </font>
    <font>
      <name val="Calibri"/>
      <color rgb="FF000000"/>
      <sz val="12"/>
    </font>
    <font>
      <name val="Aptos Narrow"/>
      <family val="2"/>
      <color rgb="FFF2CEEF"/>
      <sz val="11"/>
      <scheme val="minor"/>
    </font>
    <font>
      <name val="Calibri"/>
      <b val="1"/>
      <color rgb="FFFFFFFF"/>
      <sz val="12"/>
    </font>
    <font>
      <name val="Calibri"/>
      <color rgb="FF000000"/>
      <sz val="14"/>
    </font>
    <font>
      <name val="Calibri"/>
      <color rgb="FFC00000"/>
      <sz val="14"/>
    </font>
    <font>
      <name val="Calibri"/>
      <b val="1"/>
      <color rgb="FF0E2841"/>
      <sz val="12"/>
    </font>
    <font>
      <name val="Calibri"/>
      <i val="1"/>
      <color rgb="FFC00000"/>
      <sz val="11"/>
    </font>
  </fonts>
  <fills count="14">
    <fill>
      <patternFill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31216B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</patternFill>
    </fill>
    <fill>
      <patternFill patternType="solid">
        <fgColor rgb="FF595959"/>
      </patternFill>
    </fill>
    <fill>
      <patternFill patternType="solid">
        <fgColor rgb="FFBDD7EE"/>
      </patternFill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13" fillId="8" borderId="0" applyAlignment="1" pivotButton="0" quotePrefix="0" xfId="0">
      <alignment horizontal="center"/>
    </xf>
    <xf numFmtId="0" fontId="9" fillId="2" borderId="0" pivotButton="0" quotePrefix="0" xfId="0"/>
    <xf numFmtId="0" fontId="10" fillId="3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166" fontId="10" fillId="9" borderId="0" applyAlignment="1" pivotButton="0" quotePrefix="0" xfId="0">
      <alignment horizontal="center"/>
    </xf>
    <xf numFmtId="0" fontId="8" fillId="4" borderId="0" applyAlignment="1" pivotButton="0" quotePrefix="0" xfId="0">
      <alignment horizontal="left"/>
    </xf>
    <xf numFmtId="1" fontId="10" fillId="0" borderId="0" applyAlignment="1" pivotButton="0" quotePrefix="0" xfId="0">
      <alignment horizontal="center"/>
    </xf>
    <xf numFmtId="1" fontId="10" fillId="9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4" fontId="10" fillId="9" borderId="0" applyAlignment="1" pivotButton="0" quotePrefix="0" xfId="0">
      <alignment horizontal="center"/>
    </xf>
    <xf numFmtId="0" fontId="8" fillId="2" borderId="0" applyAlignment="1" pivotButton="0" quotePrefix="0" xfId="0">
      <alignment horizontal="left"/>
    </xf>
    <xf numFmtId="165" fontId="10" fillId="0" borderId="0" applyAlignment="1" pivotButton="0" quotePrefix="0" xfId="0">
      <alignment horizontal="center"/>
    </xf>
    <xf numFmtId="165" fontId="10" fillId="9" borderId="0" applyAlignment="1" pivotButton="0" quotePrefix="0" xfId="0">
      <alignment horizontal="center"/>
    </xf>
    <xf numFmtId="0" fontId="8" fillId="5" borderId="0" applyAlignment="1" pivotButton="0" quotePrefix="0" xfId="0">
      <alignment horizontal="left"/>
    </xf>
    <xf numFmtId="0" fontId="10" fillId="6" borderId="0" applyAlignment="1" pivotButton="0" quotePrefix="0" xfId="0">
      <alignment horizontal="left"/>
    </xf>
    <xf numFmtId="9" fontId="10" fillId="0" borderId="0" applyAlignment="1" pivotButton="0" quotePrefix="0" xfId="0">
      <alignment horizontal="center"/>
    </xf>
    <xf numFmtId="9" fontId="10" fillId="9" borderId="0" applyAlignment="1" pivotButton="0" quotePrefix="0" xfId="0">
      <alignment horizontal="center"/>
    </xf>
    <xf numFmtId="0" fontId="8" fillId="2" borderId="0" pivotButton="0" quotePrefix="0" xfId="0"/>
    <xf numFmtId="49" fontId="3" fillId="2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/>
    </xf>
    <xf numFmtId="0" fontId="3" fillId="2" borderId="0" pivotButton="0" quotePrefix="0" xfId="0"/>
    <xf numFmtId="0" fontId="10" fillId="0" borderId="0" applyAlignment="1" applyProtection="1" pivotButton="0" quotePrefix="0" xfId="0">
      <alignment horizontal="center"/>
      <protection locked="0" hidden="0"/>
    </xf>
    <xf numFmtId="0" fontId="8" fillId="4" borderId="0" applyAlignment="1" pivotButton="0" quotePrefix="0" xfId="0">
      <alignment horizontal="center"/>
    </xf>
    <xf numFmtId="1" fontId="10" fillId="0" borderId="0" applyAlignment="1" applyProtection="1" pivotButton="0" quotePrefix="0" xfId="0">
      <alignment horizontal="center"/>
      <protection locked="0" hidden="0"/>
    </xf>
    <xf numFmtId="1" fontId="8" fillId="4" borderId="0" applyAlignment="1" pivotButton="0" quotePrefix="0" xfId="0">
      <alignment horizontal="center"/>
    </xf>
    <xf numFmtId="164" fontId="8" fillId="4" borderId="0" applyAlignment="1" pivotButton="0" quotePrefix="0" xfId="0">
      <alignment horizontal="center"/>
    </xf>
    <xf numFmtId="164" fontId="11" fillId="4" borderId="0" applyAlignment="1" pivotButton="0" quotePrefix="0" xfId="0">
      <alignment horizontal="center"/>
    </xf>
    <xf numFmtId="165" fontId="8" fillId="4" borderId="0" applyAlignment="1" pivotButton="0" quotePrefix="0" xfId="0">
      <alignment horizontal="center"/>
    </xf>
    <xf numFmtId="9" fontId="10" fillId="0" borderId="0" applyAlignment="1" applyProtection="1" pivotButton="0" quotePrefix="0" xfId="0">
      <alignment horizontal="center"/>
      <protection locked="0" hidden="0"/>
    </xf>
    <xf numFmtId="9" fontId="8" fillId="4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4" fillId="1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165" fontId="14" fillId="10" borderId="2" applyAlignment="1" pivotButton="0" quotePrefix="0" xfId="0">
      <alignment horizontal="center" vertical="center" wrapText="1"/>
    </xf>
    <xf numFmtId="164" fontId="14" fillId="1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13" fillId="11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8" fontId="7" fillId="0" borderId="2" applyAlignment="1" pivotButton="0" quotePrefix="0" xfId="0">
      <alignment horizontal="left" vertical="center" wrapText="1"/>
    </xf>
    <xf numFmtId="1" fontId="7" fillId="12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pivotButton="0" quotePrefix="0" xfId="0">
      <alignment horizontal="center" vertical="center" wrapText="1"/>
    </xf>
    <xf numFmtId="3" fontId="7" fillId="0" borderId="2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right"/>
    </xf>
    <xf numFmtId="164" fontId="16" fillId="13" borderId="2" applyAlignment="1" pivotButton="0" quotePrefix="0" xfId="0">
      <alignment horizontal="center" vertical="center" wrapText="1"/>
    </xf>
    <xf numFmtId="3" fontId="16" fillId="13" borderId="2" applyAlignment="1" pivotButton="0" quotePrefix="0" xfId="0">
      <alignment horizontal="center" vertical="center" wrapText="1"/>
    </xf>
    <xf numFmtId="10" fontId="16" fillId="13" borderId="2" applyAlignment="1" pivotButton="0" quotePrefix="0" xfId="0">
      <alignment horizontal="center" vertical="center" wrapText="1"/>
    </xf>
    <xf numFmtId="1" fontId="16" fillId="13" borderId="2" applyAlignment="1" pivotButton="0" quotePrefix="0" xfId="0">
      <alignment horizontal="center" vertical="center" wrapText="1"/>
    </xf>
    <xf numFmtId="0" fontId="17" fillId="0" borderId="0" pivotButton="0" quotePrefix="0" xfId="0"/>
    <xf numFmtId="0" fontId="7" fillId="12" borderId="2" applyAlignment="1" applyProtection="1" pivotButton="0" quotePrefix="0" xfId="0">
      <alignment horizontal="left" vertical="center" wrapText="1"/>
      <protection locked="0" hidden="0"/>
    </xf>
    <xf numFmtId="169" fontId="7" fillId="12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2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3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4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5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6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7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8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9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10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11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comments/comment12.xml><?xml version="1.0" encoding="utf-8"?>
<comments xmlns="http://schemas.openxmlformats.org/spreadsheetml/2006/main">
  <authors>
    <author>HR Metrics</author>
  </authors>
  <commentList>
    <comment ref="L2" authorId="0" shapeId="0">
      <text>
        <t>TRUE = the Headcount = 1.00/0.75/0.50/0.25 split does not add up to Employee Headcount (row 5). Difference shown in row 11.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3.7265625" customWidth="1" min="3" max="3"/>
    <col width="13.7265625" customWidth="1" min="19" max="19"/>
    <col width="8.26953125" customWidth="1" min="20" max="20"/>
    <col width="13.54296875" customWidth="1" min="21" max="21"/>
    <col width="8.81640625" customWidth="1" min="22" max="22"/>
    <col width="20.26953125" customWidth="1" min="35" max="35"/>
    <col width="8.81640625" customWidth="1" min="36" max="36"/>
  </cols>
  <sheetData>
    <row r="1" ht="18.75" customHeight="1">
      <c r="A1" s="1" t="n"/>
      <c r="B1" s="2" t="inlineStr">
        <is>
          <t>GCG SOUTH AMERICA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 ht="30" customHeight="1">
      <c r="A2" s="4" t="inlineStr">
        <is>
          <t>FY2027</t>
        </is>
      </c>
      <c r="B2" s="5" t="inlineStr">
        <is>
          <t>Quarter</t>
        </is>
      </c>
      <c r="C2" s="6" t="inlineStr">
        <is>
          <t>OCT</t>
        </is>
      </c>
      <c r="D2" s="6" t="inlineStr">
        <is>
          <t>NOV</t>
        </is>
      </c>
      <c r="E2" s="6" t="inlineStr">
        <is>
          <t>DEC</t>
        </is>
      </c>
      <c r="F2" s="7" t="inlineStr">
        <is>
          <t>∑Q1</t>
        </is>
      </c>
      <c r="G2" s="6" t="inlineStr">
        <is>
          <t>JAN</t>
        </is>
      </c>
      <c r="H2" s="6" t="inlineStr">
        <is>
          <t>FEB</t>
        </is>
      </c>
      <c r="I2" s="6" t="inlineStr">
        <is>
          <t>MAR</t>
        </is>
      </c>
      <c r="J2" s="7" t="inlineStr">
        <is>
          <t>∑Q2</t>
        </is>
      </c>
      <c r="K2" s="6" t="inlineStr">
        <is>
          <t>APR</t>
        </is>
      </c>
      <c r="L2" s="6" t="inlineStr">
        <is>
          <t>MAY</t>
        </is>
      </c>
      <c r="M2" s="6" t="inlineStr">
        <is>
          <t>JUN</t>
        </is>
      </c>
      <c r="N2" s="7" t="inlineStr">
        <is>
          <t>∑Q3</t>
        </is>
      </c>
      <c r="O2" s="6" t="inlineStr">
        <is>
          <t>JUL</t>
        </is>
      </c>
      <c r="P2" s="6" t="inlineStr">
        <is>
          <t>AUG</t>
        </is>
      </c>
      <c r="Q2" s="6" t="inlineStr">
        <is>
          <t>SEP</t>
        </is>
      </c>
      <c r="R2" s="7" t="inlineStr">
        <is>
          <t>∑Q4</t>
        </is>
      </c>
      <c r="S2" s="8" t="inlineStr">
        <is>
          <t>FY2027</t>
        </is>
      </c>
    </row>
    <row r="3" ht="18.75" customHeight="1">
      <c r="A3" s="9" t="n"/>
      <c r="B3" s="10" t="inlineStr">
        <is>
          <t>Permanent (Regular) Headcount</t>
        </is>
      </c>
      <c r="C3" s="11">
        <f>OCT!J3</f>
        <v/>
      </c>
      <c r="D3" s="11">
        <f>NOV!J3</f>
        <v/>
      </c>
      <c r="E3" s="11">
        <f>DEC!J3</f>
        <v/>
      </c>
      <c r="F3" s="12">
        <f>IFERROR(AVERAGE(C3:E3),"")</f>
        <v/>
      </c>
      <c r="G3" s="11">
        <f>JAN!J3</f>
        <v/>
      </c>
      <c r="H3" s="11">
        <f>FEB!J3</f>
        <v/>
      </c>
      <c r="I3" s="11">
        <f>MAR!J3</f>
        <v/>
      </c>
      <c r="J3" s="12">
        <f>IFERROR(AVERAGE(G3:I3),"")</f>
        <v/>
      </c>
      <c r="K3" s="11">
        <f>APR!J3</f>
        <v/>
      </c>
      <c r="L3" s="11">
        <f>MAY!J3</f>
        <v/>
      </c>
      <c r="M3" s="11">
        <f>JUN!J3</f>
        <v/>
      </c>
      <c r="N3" s="12">
        <f>IFERROR(AVERAGE(K3:M3),"")</f>
        <v/>
      </c>
      <c r="O3" s="11">
        <f>JUL!J3</f>
        <v/>
      </c>
      <c r="P3" s="11">
        <f>AUG!J3</f>
        <v/>
      </c>
      <c r="Q3" s="11">
        <f>SEP!J3</f>
        <v/>
      </c>
      <c r="R3" s="12">
        <f>IFERROR(AVERAGE(O3:Q3),"")</f>
        <v/>
      </c>
      <c r="S3" s="12">
        <f>IFERROR(AVERAGE(C3:E3,G3:I3,K3:M3,O3:Q3),"")</f>
        <v/>
      </c>
    </row>
    <row r="4" ht="18.75" customHeight="1">
      <c r="A4" s="3" t="n"/>
      <c r="B4" s="10" t="inlineStr">
        <is>
          <t>Temporary (Fix Term) Headcount</t>
        </is>
      </c>
      <c r="C4" s="11">
        <f>OCT!J4</f>
        <v/>
      </c>
      <c r="D4" s="11">
        <f>NOV!J4</f>
        <v/>
      </c>
      <c r="E4" s="11">
        <f>DEC!J4</f>
        <v/>
      </c>
      <c r="F4" s="12">
        <f>IFERROR(AVERAGE(C4:E4),"")</f>
        <v/>
      </c>
      <c r="G4" s="11">
        <f>JAN!J4</f>
        <v/>
      </c>
      <c r="H4" s="11">
        <f>FEB!J4</f>
        <v/>
      </c>
      <c r="I4" s="11">
        <f>MAR!J4</f>
        <v/>
      </c>
      <c r="J4" s="12">
        <f>IFERROR(AVERAGE(G4:I4),"")</f>
        <v/>
      </c>
      <c r="K4" s="11">
        <f>APR!J4</f>
        <v/>
      </c>
      <c r="L4" s="11">
        <f>MAY!J4</f>
        <v/>
      </c>
      <c r="M4" s="11">
        <f>JUN!J4</f>
        <v/>
      </c>
      <c r="N4" s="12">
        <f>IFERROR(AVERAGE(K4:M4),"")</f>
        <v/>
      </c>
      <c r="O4" s="11">
        <f>JUL!J4</f>
        <v/>
      </c>
      <c r="P4" s="11">
        <f>AUG!J4</f>
        <v/>
      </c>
      <c r="Q4" s="11">
        <f>SEP!J4</f>
        <v/>
      </c>
      <c r="R4" s="12">
        <f>IFERROR(AVERAGE(O4:Q4),"")</f>
        <v/>
      </c>
      <c r="S4" s="12">
        <f>IFERROR(AVERAGE(C4:E4,G4:I4,K4:M4,O4:Q4),"")</f>
        <v/>
      </c>
    </row>
    <row r="5" ht="18.75" customHeight="1">
      <c r="A5" s="3" t="n"/>
      <c r="B5" s="13" t="inlineStr">
        <is>
          <t>Employee Headcount (Productivity)</t>
        </is>
      </c>
      <c r="C5" s="11">
        <f>OCT!J5</f>
        <v/>
      </c>
      <c r="D5" s="11">
        <f>NOV!J5</f>
        <v/>
      </c>
      <c r="E5" s="11">
        <f>DEC!J5</f>
        <v/>
      </c>
      <c r="F5" s="12">
        <f>IF(COUNT(F3:F4)=0,"",SUM(F3:F4))</f>
        <v/>
      </c>
      <c r="G5" s="11">
        <f>JAN!J5</f>
        <v/>
      </c>
      <c r="H5" s="11">
        <f>FEB!J5</f>
        <v/>
      </c>
      <c r="I5" s="11">
        <f>MAR!J5</f>
        <v/>
      </c>
      <c r="J5" s="12">
        <f>IF(COUNT(J3:J4)=0,"",SUM(J3:J4))</f>
        <v/>
      </c>
      <c r="K5" s="11">
        <f>APR!J5</f>
        <v/>
      </c>
      <c r="L5" s="11">
        <f>MAY!J5</f>
        <v/>
      </c>
      <c r="M5" s="11">
        <f>JUN!J5</f>
        <v/>
      </c>
      <c r="N5" s="12">
        <f>IF(COUNT(N3:N4)=0,"",SUM(N3:N4))</f>
        <v/>
      </c>
      <c r="O5" s="11">
        <f>JUL!J5</f>
        <v/>
      </c>
      <c r="P5" s="11">
        <f>AUG!J5</f>
        <v/>
      </c>
      <c r="Q5" s="11">
        <f>SEP!J5</f>
        <v/>
      </c>
      <c r="R5" s="12">
        <f>IF(COUNT(R3:R4)=0,"",SUM(R3:R4))</f>
        <v/>
      </c>
      <c r="S5" s="12">
        <f>IF(COUNT(S3:S4)=0,"",SUM(S3:S4))</f>
        <v/>
      </c>
    </row>
    <row r="6" ht="18.75" customHeight="1">
      <c r="A6" s="3" t="n"/>
      <c r="B6" s="10" t="inlineStr">
        <is>
          <t>Headcount = 1.00</t>
        </is>
      </c>
      <c r="C6" s="11">
        <f>OCT!J6</f>
        <v/>
      </c>
      <c r="D6" s="11">
        <f>NOV!J6</f>
        <v/>
      </c>
      <c r="E6" s="11">
        <f>DEC!J6</f>
        <v/>
      </c>
      <c r="F6" s="12">
        <f>IFERROR(AVERAGE(C6:E6),"")</f>
        <v/>
      </c>
      <c r="G6" s="11">
        <f>JAN!J6</f>
        <v/>
      </c>
      <c r="H6" s="11">
        <f>FEB!J6</f>
        <v/>
      </c>
      <c r="I6" s="11">
        <f>MAR!J6</f>
        <v/>
      </c>
      <c r="J6" s="12">
        <f>IFERROR(AVERAGE(G6:I6),"")</f>
        <v/>
      </c>
      <c r="K6" s="11">
        <f>APR!J6</f>
        <v/>
      </c>
      <c r="L6" s="11">
        <f>MAY!J6</f>
        <v/>
      </c>
      <c r="M6" s="11">
        <f>JUN!J6</f>
        <v/>
      </c>
      <c r="N6" s="12">
        <f>IFERROR(AVERAGE(K6:M6),"")</f>
        <v/>
      </c>
      <c r="O6" s="11">
        <f>JUL!J6</f>
        <v/>
      </c>
      <c r="P6" s="11">
        <f>AUG!J6</f>
        <v/>
      </c>
      <c r="Q6" s="11">
        <f>SEP!J6</f>
        <v/>
      </c>
      <c r="R6" s="12">
        <f>IFERROR(AVERAGE(O6:Q6),"")</f>
        <v/>
      </c>
      <c r="S6" s="12">
        <f>IFERROR(AVERAGE(C6:E6,G6:I6,K6:M6,O6:Q6),"")</f>
        <v/>
      </c>
    </row>
    <row r="7" ht="18.75" customHeight="1">
      <c r="A7" s="3" t="n"/>
      <c r="B7" s="10" t="inlineStr">
        <is>
          <t>Headcount = 0.75</t>
        </is>
      </c>
      <c r="C7" s="11">
        <f>OCT!J7</f>
        <v/>
      </c>
      <c r="D7" s="11">
        <f>NOV!J7</f>
        <v/>
      </c>
      <c r="E7" s="11">
        <f>DEC!J7</f>
        <v/>
      </c>
      <c r="F7" s="12">
        <f>IFERROR(AVERAGE(C7:E7),"")</f>
        <v/>
      </c>
      <c r="G7" s="11">
        <f>JAN!J7</f>
        <v/>
      </c>
      <c r="H7" s="11">
        <f>FEB!J7</f>
        <v/>
      </c>
      <c r="I7" s="11">
        <f>MAR!J7</f>
        <v/>
      </c>
      <c r="J7" s="12">
        <f>IFERROR(AVERAGE(G7:I7),"")</f>
        <v/>
      </c>
      <c r="K7" s="11">
        <f>APR!J7</f>
        <v/>
      </c>
      <c r="L7" s="11">
        <f>MAY!J7</f>
        <v/>
      </c>
      <c r="M7" s="11">
        <f>JUN!J7</f>
        <v/>
      </c>
      <c r="N7" s="12">
        <f>IFERROR(AVERAGE(K7:M7),"")</f>
        <v/>
      </c>
      <c r="O7" s="11">
        <f>JUL!J7</f>
        <v/>
      </c>
      <c r="P7" s="11">
        <f>AUG!J7</f>
        <v/>
      </c>
      <c r="Q7" s="11">
        <f>SEP!J7</f>
        <v/>
      </c>
      <c r="R7" s="12">
        <f>IFERROR(AVERAGE(O7:Q7),"")</f>
        <v/>
      </c>
      <c r="S7" s="12">
        <f>IFERROR(AVERAGE(C7:E7,G7:I7,K7:M7,O7:Q7),"")</f>
        <v/>
      </c>
    </row>
    <row r="8" ht="18.75" customHeight="1">
      <c r="A8" s="3" t="n"/>
      <c r="B8" s="10" t="inlineStr">
        <is>
          <t>Headcount = 0.50</t>
        </is>
      </c>
      <c r="C8" s="11">
        <f>OCT!J8</f>
        <v/>
      </c>
      <c r="D8" s="11">
        <f>NOV!J8</f>
        <v/>
      </c>
      <c r="E8" s="11">
        <f>DEC!J8</f>
        <v/>
      </c>
      <c r="F8" s="12">
        <f>IFERROR(AVERAGE(C8:E8),"")</f>
        <v/>
      </c>
      <c r="G8" s="11">
        <f>JAN!J8</f>
        <v/>
      </c>
      <c r="H8" s="11">
        <f>FEB!J8</f>
        <v/>
      </c>
      <c r="I8" s="11">
        <f>MAR!J8</f>
        <v/>
      </c>
      <c r="J8" s="12">
        <f>IFERROR(AVERAGE(G8:I8),"")</f>
        <v/>
      </c>
      <c r="K8" s="11">
        <f>APR!J8</f>
        <v/>
      </c>
      <c r="L8" s="11">
        <f>MAY!J8</f>
        <v/>
      </c>
      <c r="M8" s="11">
        <f>JUN!J8</f>
        <v/>
      </c>
      <c r="N8" s="12">
        <f>IFERROR(AVERAGE(K8:M8),"")</f>
        <v/>
      </c>
      <c r="O8" s="11">
        <f>JUL!J8</f>
        <v/>
      </c>
      <c r="P8" s="11">
        <f>AUG!J8</f>
        <v/>
      </c>
      <c r="Q8" s="11">
        <f>SEP!J8</f>
        <v/>
      </c>
      <c r="R8" s="12">
        <f>IFERROR(AVERAGE(O8:Q8),"")</f>
        <v/>
      </c>
      <c r="S8" s="12">
        <f>IFERROR(AVERAGE(C8:E8,G8:I8,K8:M8,O8:Q8),"")</f>
        <v/>
      </c>
    </row>
    <row r="9" ht="18.75" customHeight="1">
      <c r="A9" s="3" t="n"/>
      <c r="B9" s="10" t="inlineStr">
        <is>
          <t>Headcount = 0.25</t>
        </is>
      </c>
      <c r="C9" s="11">
        <f>OCT!J9</f>
        <v/>
      </c>
      <c r="D9" s="11">
        <f>NOV!J9</f>
        <v/>
      </c>
      <c r="E9" s="11">
        <f>DEC!J9</f>
        <v/>
      </c>
      <c r="F9" s="12">
        <f>IFERROR(AVERAGE(C9:E9),"")</f>
        <v/>
      </c>
      <c r="G9" s="11">
        <f>JAN!J9</f>
        <v/>
      </c>
      <c r="H9" s="11">
        <f>FEB!J9</f>
        <v/>
      </c>
      <c r="I9" s="11">
        <f>MAR!J9</f>
        <v/>
      </c>
      <c r="J9" s="12">
        <f>IFERROR(AVERAGE(G9:I9),"")</f>
        <v/>
      </c>
      <c r="K9" s="11">
        <f>APR!J9</f>
        <v/>
      </c>
      <c r="L9" s="11">
        <f>MAY!J9</f>
        <v/>
      </c>
      <c r="M9" s="11">
        <f>JUN!J9</f>
        <v/>
      </c>
      <c r="N9" s="12">
        <f>IFERROR(AVERAGE(K9:M9),"")</f>
        <v/>
      </c>
      <c r="O9" s="11">
        <f>JUL!J9</f>
        <v/>
      </c>
      <c r="P9" s="11">
        <f>AUG!J9</f>
        <v/>
      </c>
      <c r="Q9" s="11">
        <f>SEP!J9</f>
        <v/>
      </c>
      <c r="R9" s="12">
        <f>IFERROR(AVERAGE(O9:Q9),"")</f>
        <v/>
      </c>
      <c r="S9" s="12">
        <f>IFERROR(AVERAGE(C9:E9,G9:I9,K9:M9,O9:Q9),"")</f>
        <v/>
      </c>
    </row>
    <row r="10" ht="18.75" customHeight="1">
      <c r="A10" s="3" t="n"/>
      <c r="B10" s="10" t="inlineStr">
        <is>
          <t>Standard Monthly Hours (FTE basis)</t>
        </is>
      </c>
      <c r="C10" s="14">
        <f>OCT!J10</f>
        <v/>
      </c>
      <c r="D10" s="14">
        <f>NOV!J10</f>
        <v/>
      </c>
      <c r="E10" s="14">
        <f>DEC!J10</f>
        <v/>
      </c>
      <c r="F10" s="15">
        <f>IFERROR(AVERAGE(C10:E10),"")</f>
        <v/>
      </c>
      <c r="G10" s="14">
        <f>JAN!J10</f>
        <v/>
      </c>
      <c r="H10" s="14">
        <f>FEB!J10</f>
        <v/>
      </c>
      <c r="I10" s="14">
        <f>MAR!J10</f>
        <v/>
      </c>
      <c r="J10" s="15">
        <f>IFERROR(AVERAGE(G10:I10),"")</f>
        <v/>
      </c>
      <c r="K10" s="14">
        <f>APR!J10</f>
        <v/>
      </c>
      <c r="L10" s="14">
        <f>MAY!J10</f>
        <v/>
      </c>
      <c r="M10" s="14">
        <f>JUN!J10</f>
        <v/>
      </c>
      <c r="N10" s="15">
        <f>IFERROR(AVERAGE(K10:M10),"")</f>
        <v/>
      </c>
      <c r="O10" s="14">
        <f>JUL!J10</f>
        <v/>
      </c>
      <c r="P10" s="14">
        <f>AUG!J10</f>
        <v/>
      </c>
      <c r="Q10" s="14">
        <f>SEP!J10</f>
        <v/>
      </c>
      <c r="R10" s="15">
        <f>IFERROR(AVERAGE(O10:Q10),"")</f>
        <v/>
      </c>
      <c r="S10" s="15">
        <f>IFERROR(AVERAGE(C10:E10,G10:I10,K10:M10,O10:Q10),"")</f>
        <v/>
      </c>
    </row>
    <row r="11" ht="18.75" customHeight="1">
      <c r="A11" s="3" t="n"/>
      <c r="B11" s="13" t="inlineStr">
        <is>
          <t>Employee FTE (Finance)</t>
        </is>
      </c>
      <c r="C11" s="16">
        <f>OCT!J11</f>
        <v/>
      </c>
      <c r="D11" s="16">
        <f>NOV!J11</f>
        <v/>
      </c>
      <c r="E11" s="16">
        <f>DEC!J11</f>
        <v/>
      </c>
      <c r="F11" s="17">
        <f>IF(COUNT(F6:F9)=0,"",N(F6)+N(F7)*0.75+N(F8)*0.5+N(F9)*0.25)</f>
        <v/>
      </c>
      <c r="G11" s="16">
        <f>JAN!J11</f>
        <v/>
      </c>
      <c r="H11" s="16">
        <f>FEB!J11</f>
        <v/>
      </c>
      <c r="I11" s="16">
        <f>MAR!J11</f>
        <v/>
      </c>
      <c r="J11" s="17">
        <f>IF(COUNT(J6:J9)=0,"",N(J6)+N(J7)*0.75+N(J8)*0.5+N(J9)*0.25)</f>
        <v/>
      </c>
      <c r="K11" s="16">
        <f>APR!J11</f>
        <v/>
      </c>
      <c r="L11" s="16">
        <f>MAY!J11</f>
        <v/>
      </c>
      <c r="M11" s="16">
        <f>JUN!J11</f>
        <v/>
      </c>
      <c r="N11" s="17">
        <f>IF(COUNT(N6:N9)=0,"",N(N6)+N(N7)*0.75+N(N8)*0.5+N(N9)*0.25)</f>
        <v/>
      </c>
      <c r="O11" s="16">
        <f>JUL!J11</f>
        <v/>
      </c>
      <c r="P11" s="16">
        <f>AUG!J11</f>
        <v/>
      </c>
      <c r="Q11" s="16">
        <f>SEP!J11</f>
        <v/>
      </c>
      <c r="R11" s="17">
        <f>IF(COUNT(R6:R9)=0,"",N(R6)+N(R7)*0.75+N(R8)*0.5+N(R9)*0.25)</f>
        <v/>
      </c>
      <c r="S11" s="17">
        <f>IF(COUNT(S6:S9)=0,"",N(S6)+N(S7)*0.75+N(S8)*0.5+N(S9)*0.25)</f>
        <v/>
      </c>
    </row>
    <row r="12" ht="18.75" customHeight="1">
      <c r="A12" s="3" t="n"/>
      <c r="B12" s="10" t="inlineStr">
        <is>
          <t>Subcontracted Workforce HC</t>
        </is>
      </c>
      <c r="C12" s="11">
        <f>OCT!J12</f>
        <v/>
      </c>
      <c r="D12" s="11">
        <f>NOV!J12</f>
        <v/>
      </c>
      <c r="E12" s="11">
        <f>DEC!J12</f>
        <v/>
      </c>
      <c r="F12" s="12">
        <f>IFERROR(AVERAGE(C12:E12),"")</f>
        <v/>
      </c>
      <c r="G12" s="11">
        <f>JAN!J12</f>
        <v/>
      </c>
      <c r="H12" s="11">
        <f>FEB!J12</f>
        <v/>
      </c>
      <c r="I12" s="11">
        <f>MAR!J12</f>
        <v/>
      </c>
      <c r="J12" s="12">
        <f>IFERROR(AVERAGE(G12:I12),"")</f>
        <v/>
      </c>
      <c r="K12" s="11">
        <f>APR!J12</f>
        <v/>
      </c>
      <c r="L12" s="11">
        <f>MAY!J12</f>
        <v/>
      </c>
      <c r="M12" s="11">
        <f>JUN!J12</f>
        <v/>
      </c>
      <c r="N12" s="12">
        <f>IFERROR(AVERAGE(K12:M12),"")</f>
        <v/>
      </c>
      <c r="O12" s="11">
        <f>JUL!J12</f>
        <v/>
      </c>
      <c r="P12" s="11">
        <f>AUG!J12</f>
        <v/>
      </c>
      <c r="Q12" s="11">
        <f>SEP!J12</f>
        <v/>
      </c>
      <c r="R12" s="12">
        <f>IFERROR(AVERAGE(O12:Q12),"")</f>
        <v/>
      </c>
      <c r="S12" s="12">
        <f>IFERROR(AVERAGE(C12:E12,G12:I12,K12:M12,O12:Q12),"")</f>
        <v/>
      </c>
    </row>
    <row r="13" ht="18.75" customHeight="1">
      <c r="A13" s="3" t="n"/>
      <c r="B13" s="10" t="inlineStr">
        <is>
          <t>Subcontracted Productive Hours</t>
        </is>
      </c>
      <c r="C13" s="14">
        <f>OCT!J13</f>
        <v/>
      </c>
      <c r="D13" s="14">
        <f>NOV!J13</f>
        <v/>
      </c>
      <c r="E13" s="14">
        <f>DEC!J13</f>
        <v/>
      </c>
      <c r="F13" s="15">
        <f>IFERROR(AVERAGE(C13:E13),"")</f>
        <v/>
      </c>
      <c r="G13" s="14">
        <f>JAN!J13</f>
        <v/>
      </c>
      <c r="H13" s="14">
        <f>FEB!J13</f>
        <v/>
      </c>
      <c r="I13" s="14">
        <f>MAR!J13</f>
        <v/>
      </c>
      <c r="J13" s="15">
        <f>IFERROR(AVERAGE(G13:I13),"")</f>
        <v/>
      </c>
      <c r="K13" s="14">
        <f>APR!J13</f>
        <v/>
      </c>
      <c r="L13" s="14">
        <f>MAY!J13</f>
        <v/>
      </c>
      <c r="M13" s="14">
        <f>JUN!J13</f>
        <v/>
      </c>
      <c r="N13" s="15">
        <f>IFERROR(AVERAGE(K13:M13),"")</f>
        <v/>
      </c>
      <c r="O13" s="14">
        <f>JUL!J13</f>
        <v/>
      </c>
      <c r="P13" s="14">
        <f>AUG!J13</f>
        <v/>
      </c>
      <c r="Q13" s="14">
        <f>SEP!J13</f>
        <v/>
      </c>
      <c r="R13" s="15">
        <f>IFERROR(AVERAGE(O13:Q13),"")</f>
        <v/>
      </c>
      <c r="S13" s="15">
        <f>IFERROR(AVERAGE(C13:E13,G13:I13,K13:M13,O13:Q13),"")</f>
        <v/>
      </c>
    </row>
    <row r="14" ht="18.75" customHeight="1">
      <c r="A14" s="3" t="n"/>
      <c r="B14" s="13" t="inlineStr">
        <is>
          <t>Subcontracted FTE</t>
        </is>
      </c>
      <c r="C14" s="16">
        <f>OCT!J14</f>
        <v/>
      </c>
      <c r="D14" s="16">
        <f>NOV!J14</f>
        <v/>
      </c>
      <c r="E14" s="16">
        <f>DEC!J14</f>
        <v/>
      </c>
      <c r="F14" s="17">
        <f>IFERROR(F13/F10,"")</f>
        <v/>
      </c>
      <c r="G14" s="16">
        <f>JAN!J14</f>
        <v/>
      </c>
      <c r="H14" s="16">
        <f>FEB!J14</f>
        <v/>
      </c>
      <c r="I14" s="16">
        <f>MAR!J14</f>
        <v/>
      </c>
      <c r="J14" s="17">
        <f>IFERROR(J13/J10,"")</f>
        <v/>
      </c>
      <c r="K14" s="16">
        <f>APR!J14</f>
        <v/>
      </c>
      <c r="L14" s="16">
        <f>MAY!J14</f>
        <v/>
      </c>
      <c r="M14" s="16">
        <f>JUN!J14</f>
        <v/>
      </c>
      <c r="N14" s="17">
        <f>IFERROR(N13/N10,"")</f>
        <v/>
      </c>
      <c r="O14" s="16">
        <f>JUL!J14</f>
        <v/>
      </c>
      <c r="P14" s="16">
        <f>AUG!J14</f>
        <v/>
      </c>
      <c r="Q14" s="16">
        <f>SEP!J14</f>
        <v/>
      </c>
      <c r="R14" s="17">
        <f>IFERROR(R13/R10,"")</f>
        <v/>
      </c>
      <c r="S14" s="17">
        <f>IFERROR(S13/S10,"")</f>
        <v/>
      </c>
    </row>
    <row r="15" ht="18.75" customHeight="1">
      <c r="A15" s="3" t="n"/>
      <c r="B15" s="18" t="inlineStr">
        <is>
          <t>Total Operational Workforce</t>
        </is>
      </c>
      <c r="C15" s="11">
        <f>OCT!J15</f>
        <v/>
      </c>
      <c r="D15" s="11">
        <f>NOV!J15</f>
        <v/>
      </c>
      <c r="E15" s="11">
        <f>DEC!J15</f>
        <v/>
      </c>
      <c r="F15" s="12">
        <f>IF(COUNT(F5,F12)=0,"",SUM(F5,F12))</f>
        <v/>
      </c>
      <c r="G15" s="11">
        <f>JAN!J15</f>
        <v/>
      </c>
      <c r="H15" s="11">
        <f>FEB!J15</f>
        <v/>
      </c>
      <c r="I15" s="11">
        <f>MAR!J15</f>
        <v/>
      </c>
      <c r="J15" s="12">
        <f>IF(COUNT(J5,J12)=0,"",SUM(J5,J12))</f>
        <v/>
      </c>
      <c r="K15" s="11">
        <f>APR!J15</f>
        <v/>
      </c>
      <c r="L15" s="11">
        <f>MAY!J15</f>
        <v/>
      </c>
      <c r="M15" s="11">
        <f>JUN!J15</f>
        <v/>
      </c>
      <c r="N15" s="12">
        <f>IF(COUNT(N5,N12)=0,"",SUM(N5,N12))</f>
        <v/>
      </c>
      <c r="O15" s="11">
        <f>JUL!J15</f>
        <v/>
      </c>
      <c r="P15" s="11">
        <f>AUG!J15</f>
        <v/>
      </c>
      <c r="Q15" s="11">
        <f>SEP!J15</f>
        <v/>
      </c>
      <c r="R15" s="12">
        <f>IF(COUNT(R5,R12)=0,"",SUM(R5,R12))</f>
        <v/>
      </c>
      <c r="S15" s="12">
        <f>IF(COUNT(S5,S12)=0,"",SUM(S5,S12))</f>
        <v/>
      </c>
    </row>
    <row r="16" ht="18.75" customHeight="1">
      <c r="A16" s="3" t="n"/>
      <c r="B16" s="18" t="inlineStr">
        <is>
          <t>Total Operational FTE</t>
        </is>
      </c>
      <c r="C16" s="16">
        <f>OCT!J16</f>
        <v/>
      </c>
      <c r="D16" s="16">
        <f>NOV!J16</f>
        <v/>
      </c>
      <c r="E16" s="16">
        <f>DEC!J16</f>
        <v/>
      </c>
      <c r="F16" s="17">
        <f>IF(COUNT(F11,F14)=0,"",SUM(F11,F14))</f>
        <v/>
      </c>
      <c r="G16" s="16">
        <f>JAN!J16</f>
        <v/>
      </c>
      <c r="H16" s="16">
        <f>FEB!J16</f>
        <v/>
      </c>
      <c r="I16" s="16">
        <f>MAR!J16</f>
        <v/>
      </c>
      <c r="J16" s="17">
        <f>IF(COUNT(J11,J14)=0,"",SUM(J11,J14))</f>
        <v/>
      </c>
      <c r="K16" s="16">
        <f>APR!J16</f>
        <v/>
      </c>
      <c r="L16" s="16">
        <f>MAY!J16</f>
        <v/>
      </c>
      <c r="M16" s="16">
        <f>JUN!J16</f>
        <v/>
      </c>
      <c r="N16" s="17">
        <f>IF(COUNT(N11,N14)=0,"",SUM(N11,N14))</f>
        <v/>
      </c>
      <c r="O16" s="16">
        <f>JUL!J16</f>
        <v/>
      </c>
      <c r="P16" s="16">
        <f>AUG!J16</f>
        <v/>
      </c>
      <c r="Q16" s="16">
        <f>SEP!J16</f>
        <v/>
      </c>
      <c r="R16" s="17">
        <f>IF(COUNT(R11,R14)=0,"",SUM(R11,R14))</f>
        <v/>
      </c>
      <c r="S16" s="17">
        <f>IF(COUNT(S11,S14)=0,"",SUM(S11,S14))</f>
        <v/>
      </c>
    </row>
    <row r="17" ht="18.75" customHeight="1">
      <c r="A17" s="3" t="n"/>
      <c r="B17" s="13" t="inlineStr">
        <is>
          <t>Subcontracted Share of Workforce (%)</t>
        </is>
      </c>
      <c r="C17" s="19">
        <f>OCT!J17</f>
        <v/>
      </c>
      <c r="D17" s="19">
        <f>NOV!J17</f>
        <v/>
      </c>
      <c r="E17" s="19">
        <f>DEC!J17</f>
        <v/>
      </c>
      <c r="F17" s="20">
        <f>IFERROR(F12/F15,"")</f>
        <v/>
      </c>
      <c r="G17" s="19">
        <f>JAN!J17</f>
        <v/>
      </c>
      <c r="H17" s="19">
        <f>FEB!J17</f>
        <v/>
      </c>
      <c r="I17" s="19">
        <f>MAR!J17</f>
        <v/>
      </c>
      <c r="J17" s="20">
        <f>IFERROR(J12/J15,"")</f>
        <v/>
      </c>
      <c r="K17" s="19">
        <f>APR!J17</f>
        <v/>
      </c>
      <c r="L17" s="19">
        <f>MAY!J17</f>
        <v/>
      </c>
      <c r="M17" s="19">
        <f>JUN!J17</f>
        <v/>
      </c>
      <c r="N17" s="20">
        <f>IFERROR(N12/N15,"")</f>
        <v/>
      </c>
      <c r="O17" s="19">
        <f>JUL!J17</f>
        <v/>
      </c>
      <c r="P17" s="19">
        <f>AUG!J17</f>
        <v/>
      </c>
      <c r="Q17" s="19">
        <f>SEP!J17</f>
        <v/>
      </c>
      <c r="R17" s="20">
        <f>IFERROR(R12/R15,"")</f>
        <v/>
      </c>
      <c r="S17" s="20">
        <f>IFERROR(S12/S15,"")</f>
        <v/>
      </c>
    </row>
    <row r="18" ht="18.75" customHeight="1">
      <c r="A18" s="3" t="n"/>
      <c r="B18" s="10" t="inlineStr">
        <is>
          <t>FTE HR Team</t>
        </is>
      </c>
      <c r="C18" s="11">
        <f>OCT!J18</f>
        <v/>
      </c>
      <c r="D18" s="11">
        <f>NOV!J18</f>
        <v/>
      </c>
      <c r="E18" s="11">
        <f>DEC!J18</f>
        <v/>
      </c>
      <c r="F18" s="12">
        <f>IFERROR(AVERAGE(C18:E18),"")</f>
        <v/>
      </c>
      <c r="G18" s="11">
        <f>JAN!J18</f>
        <v/>
      </c>
      <c r="H18" s="11">
        <f>FEB!J18</f>
        <v/>
      </c>
      <c r="I18" s="11">
        <f>MAR!J18</f>
        <v/>
      </c>
      <c r="J18" s="12">
        <f>IFERROR(AVERAGE(G18:I18),"")</f>
        <v/>
      </c>
      <c r="K18" s="11">
        <f>APR!J18</f>
        <v/>
      </c>
      <c r="L18" s="11">
        <f>MAY!J18</f>
        <v/>
      </c>
      <c r="M18" s="11">
        <f>JUN!J18</f>
        <v/>
      </c>
      <c r="N18" s="12">
        <f>IFERROR(AVERAGE(K18:M18),"")</f>
        <v/>
      </c>
      <c r="O18" s="11">
        <f>JUL!J18</f>
        <v/>
      </c>
      <c r="P18" s="11">
        <f>AUG!J18</f>
        <v/>
      </c>
      <c r="Q18" s="11">
        <f>SEP!J18</f>
        <v/>
      </c>
      <c r="R18" s="12">
        <f>IFERROR(AVERAGE(O18:Q18),"")</f>
        <v/>
      </c>
      <c r="S18" s="12">
        <f>IFERROR(AVERAGE(C18:E18,G18:I18,K18:M18,O18:Q18),"")</f>
        <v/>
      </c>
    </row>
    <row r="19" ht="18.75" customHeight="1">
      <c r="A19" s="3" t="n"/>
      <c r="B19" s="10" t="inlineStr">
        <is>
          <t>Permanent Hires</t>
        </is>
      </c>
      <c r="C19" s="11">
        <f>OCT!J19</f>
        <v/>
      </c>
      <c r="D19" s="11">
        <f>NOV!J19</f>
        <v/>
      </c>
      <c r="E19" s="11">
        <f>DEC!J19</f>
        <v/>
      </c>
      <c r="F19" s="12">
        <f>IF(COUNT(C19:E19)=0,"",SUM(C19:E19))</f>
        <v/>
      </c>
      <c r="G19" s="11">
        <f>JAN!J19</f>
        <v/>
      </c>
      <c r="H19" s="11">
        <f>FEB!J19</f>
        <v/>
      </c>
      <c r="I19" s="11">
        <f>MAR!J19</f>
        <v/>
      </c>
      <c r="J19" s="12">
        <f>IF(COUNT(G19:I19)=0,"",SUM(G19:I19))</f>
        <v/>
      </c>
      <c r="K19" s="11">
        <f>APR!J19</f>
        <v/>
      </c>
      <c r="L19" s="11">
        <f>MAY!J19</f>
        <v/>
      </c>
      <c r="M19" s="11">
        <f>JUN!J19</f>
        <v/>
      </c>
      <c r="N19" s="12">
        <f>IF(COUNT(K19:M19)=0,"",SUM(K19:M19))</f>
        <v/>
      </c>
      <c r="O19" s="11">
        <f>JUL!J19</f>
        <v/>
      </c>
      <c r="P19" s="11">
        <f>AUG!J19</f>
        <v/>
      </c>
      <c r="Q19" s="11">
        <f>SEP!J19</f>
        <v/>
      </c>
      <c r="R19" s="12">
        <f>IF(COUNT(O19:Q19)=0,"",SUM(O19:Q19))</f>
        <v/>
      </c>
      <c r="S19" s="12">
        <f>IF(COUNT(C19:E19,G19:I19,K19:M19,O19:Q19)=0,"",SUM(C19:E19,G19:I19,K19:M19,O19:Q19))</f>
        <v/>
      </c>
    </row>
    <row r="20" ht="18.75" customHeight="1">
      <c r="A20" s="3" t="n"/>
      <c r="B20" s="10" t="inlineStr">
        <is>
          <t>Temporary Hires</t>
        </is>
      </c>
      <c r="C20" s="11">
        <f>OCT!J20</f>
        <v/>
      </c>
      <c r="D20" s="11">
        <f>NOV!J20</f>
        <v/>
      </c>
      <c r="E20" s="11">
        <f>DEC!J20</f>
        <v/>
      </c>
      <c r="F20" s="12">
        <f>IF(COUNT(C20:E20)=0,"",SUM(C20:E20))</f>
        <v/>
      </c>
      <c r="G20" s="11">
        <f>JAN!J20</f>
        <v/>
      </c>
      <c r="H20" s="11">
        <f>FEB!J20</f>
        <v/>
      </c>
      <c r="I20" s="11">
        <f>MAR!J20</f>
        <v/>
      </c>
      <c r="J20" s="12">
        <f>IF(COUNT(G20:I20)=0,"",SUM(G20:I20))</f>
        <v/>
      </c>
      <c r="K20" s="11">
        <f>APR!J20</f>
        <v/>
      </c>
      <c r="L20" s="11">
        <f>MAY!J20</f>
        <v/>
      </c>
      <c r="M20" s="11">
        <f>JUN!J20</f>
        <v/>
      </c>
      <c r="N20" s="12">
        <f>IF(COUNT(K20:M20)=0,"",SUM(K20:M20))</f>
        <v/>
      </c>
      <c r="O20" s="11">
        <f>JUL!J20</f>
        <v/>
      </c>
      <c r="P20" s="11">
        <f>AUG!J20</f>
        <v/>
      </c>
      <c r="Q20" s="11">
        <f>SEP!J20</f>
        <v/>
      </c>
      <c r="R20" s="12">
        <f>IF(COUNT(O20:Q20)=0,"",SUM(O20:Q20))</f>
        <v/>
      </c>
      <c r="S20" s="12">
        <f>IF(COUNT(C20:E20,G20:I20,K20:M20,O20:Q20)=0,"",SUM(C20:E20,G20:I20,K20:M20,O20:Q20))</f>
        <v/>
      </c>
    </row>
    <row r="21" ht="18.75" customHeight="1">
      <c r="A21" s="3" t="n"/>
      <c r="B21" s="13" t="inlineStr">
        <is>
          <t>Total Hires</t>
        </is>
      </c>
      <c r="C21" s="11">
        <f>OCT!J21</f>
        <v/>
      </c>
      <c r="D21" s="11">
        <f>NOV!J21</f>
        <v/>
      </c>
      <c r="E21" s="11">
        <f>DEC!J21</f>
        <v/>
      </c>
      <c r="F21" s="12">
        <f>IF(COUNT(F19:F20)=0,"",SUM(F19:F20))</f>
        <v/>
      </c>
      <c r="G21" s="11">
        <f>JAN!J21</f>
        <v/>
      </c>
      <c r="H21" s="11">
        <f>FEB!J21</f>
        <v/>
      </c>
      <c r="I21" s="11">
        <f>MAR!J21</f>
        <v/>
      </c>
      <c r="J21" s="12">
        <f>IF(COUNT(J19:J20)=0,"",SUM(J19:J20))</f>
        <v/>
      </c>
      <c r="K21" s="11">
        <f>APR!J21</f>
        <v/>
      </c>
      <c r="L21" s="11">
        <f>MAY!J21</f>
        <v/>
      </c>
      <c r="M21" s="11">
        <f>JUN!J21</f>
        <v/>
      </c>
      <c r="N21" s="12">
        <f>IF(COUNT(N19:N20)=0,"",SUM(N19:N20))</f>
        <v/>
      </c>
      <c r="O21" s="11">
        <f>JUL!J21</f>
        <v/>
      </c>
      <c r="P21" s="11">
        <f>AUG!J21</f>
        <v/>
      </c>
      <c r="Q21" s="11">
        <f>SEP!J21</f>
        <v/>
      </c>
      <c r="R21" s="12">
        <f>IF(COUNT(R19:R20)=0,"",SUM(R19:R20))</f>
        <v/>
      </c>
      <c r="S21" s="12">
        <f>IF(COUNT(S19:S20)=0,"",SUM(S19:S20))</f>
        <v/>
      </c>
    </row>
    <row r="22" ht="18.75" customHeight="1">
      <c r="A22" s="3" t="n"/>
      <c r="B22" s="10" t="inlineStr">
        <is>
          <t>Permanent Exits</t>
        </is>
      </c>
      <c r="C22" s="11">
        <f>OCT!J22</f>
        <v/>
      </c>
      <c r="D22" s="11">
        <f>NOV!J22</f>
        <v/>
      </c>
      <c r="E22" s="11">
        <f>DEC!J22</f>
        <v/>
      </c>
      <c r="F22" s="12">
        <f>IF(COUNT(C22:E22)=0,"",SUM(C22:E22))</f>
        <v/>
      </c>
      <c r="G22" s="11">
        <f>JAN!J22</f>
        <v/>
      </c>
      <c r="H22" s="11">
        <f>FEB!J22</f>
        <v/>
      </c>
      <c r="I22" s="11">
        <f>MAR!J22</f>
        <v/>
      </c>
      <c r="J22" s="12">
        <f>IF(COUNT(G22:I22)=0,"",SUM(G22:I22))</f>
        <v/>
      </c>
      <c r="K22" s="11">
        <f>APR!J22</f>
        <v/>
      </c>
      <c r="L22" s="11">
        <f>MAY!J22</f>
        <v/>
      </c>
      <c r="M22" s="11">
        <f>JUN!J22</f>
        <v/>
      </c>
      <c r="N22" s="12">
        <f>IF(COUNT(K22:M22)=0,"",SUM(K22:M22))</f>
        <v/>
      </c>
      <c r="O22" s="11">
        <f>JUL!J22</f>
        <v/>
      </c>
      <c r="P22" s="11">
        <f>AUG!J22</f>
        <v/>
      </c>
      <c r="Q22" s="11">
        <f>SEP!J22</f>
        <v/>
      </c>
      <c r="R22" s="12">
        <f>IF(COUNT(O22:Q22)=0,"",SUM(O22:Q22))</f>
        <v/>
      </c>
      <c r="S22" s="12">
        <f>IF(COUNT(C22:E22,G22:I22,K22:M22,O22:Q22)=0,"",SUM(C22:E22,G22:I22,K22:M22,O22:Q22))</f>
        <v/>
      </c>
    </row>
    <row r="23" ht="18.75" customHeight="1">
      <c r="A23" s="3" t="n"/>
      <c r="B23" s="10" t="inlineStr">
        <is>
          <t>Temporary Exits</t>
        </is>
      </c>
      <c r="C23" s="11">
        <f>OCT!J23</f>
        <v/>
      </c>
      <c r="D23" s="11">
        <f>NOV!J23</f>
        <v/>
      </c>
      <c r="E23" s="11">
        <f>DEC!J23</f>
        <v/>
      </c>
      <c r="F23" s="12">
        <f>IF(COUNT(C23:E23)=0,"",SUM(C23:E23))</f>
        <v/>
      </c>
      <c r="G23" s="11">
        <f>JAN!J23</f>
        <v/>
      </c>
      <c r="H23" s="11">
        <f>FEB!J23</f>
        <v/>
      </c>
      <c r="I23" s="11">
        <f>MAR!J23</f>
        <v/>
      </c>
      <c r="J23" s="12">
        <f>IF(COUNT(G23:I23)=0,"",SUM(G23:I23))</f>
        <v/>
      </c>
      <c r="K23" s="11">
        <f>APR!J23</f>
        <v/>
      </c>
      <c r="L23" s="11">
        <f>MAY!J23</f>
        <v/>
      </c>
      <c r="M23" s="11">
        <f>JUN!J23</f>
        <v/>
      </c>
      <c r="N23" s="12">
        <f>IF(COUNT(K23:M23)=0,"",SUM(K23:M23))</f>
        <v/>
      </c>
      <c r="O23" s="11">
        <f>JUL!J23</f>
        <v/>
      </c>
      <c r="P23" s="11">
        <f>AUG!J23</f>
        <v/>
      </c>
      <c r="Q23" s="11">
        <f>SEP!J23</f>
        <v/>
      </c>
      <c r="R23" s="12">
        <f>IF(COUNT(O23:Q23)=0,"",SUM(O23:Q23))</f>
        <v/>
      </c>
      <c r="S23" s="12">
        <f>IF(COUNT(C23:E23,G23:I23,K23:M23,O23:Q23)=0,"",SUM(C23:E23,G23:I23,K23:M23,O23:Q23))</f>
        <v/>
      </c>
    </row>
    <row r="24" ht="18.75" customHeight="1">
      <c r="A24" s="3" t="n"/>
      <c r="B24" s="13" t="inlineStr">
        <is>
          <t>Total Exits</t>
        </is>
      </c>
      <c r="C24" s="11">
        <f>OCT!J24</f>
        <v/>
      </c>
      <c r="D24" s="11">
        <f>NOV!J24</f>
        <v/>
      </c>
      <c r="E24" s="11">
        <f>DEC!J24</f>
        <v/>
      </c>
      <c r="F24" s="12">
        <f>IF(COUNT(F22:F23)=0,"",SUM(F22:F23))</f>
        <v/>
      </c>
      <c r="G24" s="11">
        <f>JAN!J24</f>
        <v/>
      </c>
      <c r="H24" s="11">
        <f>FEB!J24</f>
        <v/>
      </c>
      <c r="I24" s="11">
        <f>MAR!J24</f>
        <v/>
      </c>
      <c r="J24" s="12">
        <f>IF(COUNT(J22:J23)=0,"",SUM(J22:J23))</f>
        <v/>
      </c>
      <c r="K24" s="11">
        <f>APR!J24</f>
        <v/>
      </c>
      <c r="L24" s="11">
        <f>MAY!J24</f>
        <v/>
      </c>
      <c r="M24" s="11">
        <f>JUN!J24</f>
        <v/>
      </c>
      <c r="N24" s="12">
        <f>IF(COUNT(N22:N23)=0,"",SUM(N22:N23))</f>
        <v/>
      </c>
      <c r="O24" s="11">
        <f>JUL!J24</f>
        <v/>
      </c>
      <c r="P24" s="11">
        <f>AUG!J24</f>
        <v/>
      </c>
      <c r="Q24" s="11">
        <f>SEP!J24</f>
        <v/>
      </c>
      <c r="R24" s="12">
        <f>IF(COUNT(R22:R23)=0,"",SUM(R22:R23))</f>
        <v/>
      </c>
      <c r="S24" s="12">
        <f>IF(COUNT(S22:S23)=0,"",SUM(S22:S23))</f>
        <v/>
      </c>
    </row>
    <row r="25" ht="18.75" customHeight="1">
      <c r="A25" s="3" t="n"/>
      <c r="B25" s="21" t="inlineStr">
        <is>
          <t>Permanent Turnover (%)</t>
        </is>
      </c>
      <c r="C25" s="19">
        <f>OCT!J25</f>
        <v/>
      </c>
      <c r="D25" s="19">
        <f>NOV!J25</f>
        <v/>
      </c>
      <c r="E25" s="19">
        <f>DEC!J25</f>
        <v/>
      </c>
      <c r="F25" s="20">
        <f>IF(COUNT(F31,F32)&lt;2,"",IF((F32+F31)=0,"",N(F22)/((F32+F31)/2)))</f>
        <v/>
      </c>
      <c r="G25" s="19">
        <f>JAN!J25</f>
        <v/>
      </c>
      <c r="H25" s="19">
        <f>FEB!J25</f>
        <v/>
      </c>
      <c r="I25" s="19">
        <f>MAR!J25</f>
        <v/>
      </c>
      <c r="J25" s="20">
        <f>IF(COUNT(J31,J32)&lt;2,"",IF((J32+J31)=0,"",N(J22)/((J32+J31)/2)))</f>
        <v/>
      </c>
      <c r="K25" s="19">
        <f>APR!J25</f>
        <v/>
      </c>
      <c r="L25" s="19">
        <f>MAY!J25</f>
        <v/>
      </c>
      <c r="M25" s="19">
        <f>JUN!J25</f>
        <v/>
      </c>
      <c r="N25" s="20">
        <f>IF(COUNT(N31,N32)&lt;2,"",IF((N32+N31)=0,"",N(N22)/((N32+N31)/2)))</f>
        <v/>
      </c>
      <c r="O25" s="19">
        <f>JUL!J25</f>
        <v/>
      </c>
      <c r="P25" s="19">
        <f>AUG!J25</f>
        <v/>
      </c>
      <c r="Q25" s="19">
        <f>SEP!J25</f>
        <v/>
      </c>
      <c r="R25" s="20">
        <f>IF(COUNT(R31,R32)&lt;2,"",IF((R32+R31)=0,"",N(R22)/((R32+R31)/2)))</f>
        <v/>
      </c>
      <c r="S25" s="20">
        <f>IF(COUNT(S31,S32)&lt;2,"",IF((S32+S31)=0,"",N(S22)/((S32+S31)/2)))</f>
        <v/>
      </c>
    </row>
    <row r="26" ht="18.75" customHeight="1">
      <c r="A26" s="3" t="n"/>
      <c r="B26" s="21" t="inlineStr">
        <is>
          <t>Temporary Turnover (%)</t>
        </is>
      </c>
      <c r="C26" s="19">
        <f>OCT!J26</f>
        <v/>
      </c>
      <c r="D26" s="19">
        <f>NOV!J26</f>
        <v/>
      </c>
      <c r="E26" s="19">
        <f>DEC!J26</f>
        <v/>
      </c>
      <c r="F26" s="20">
        <f>IF(COUNT(F31,F32)&lt;2,"",IF((F32+F31)=0,"",N(F23)/((F32+F31)/2)))</f>
        <v/>
      </c>
      <c r="G26" s="19">
        <f>JAN!J26</f>
        <v/>
      </c>
      <c r="H26" s="19">
        <f>FEB!J26</f>
        <v/>
      </c>
      <c r="I26" s="19">
        <f>MAR!J26</f>
        <v/>
      </c>
      <c r="J26" s="20">
        <f>IF(COUNT(J31,J32)&lt;2,"",IF((J32+J31)=0,"",N(J23)/((J32+J31)/2)))</f>
        <v/>
      </c>
      <c r="K26" s="19">
        <f>APR!J26</f>
        <v/>
      </c>
      <c r="L26" s="19">
        <f>MAY!J26</f>
        <v/>
      </c>
      <c r="M26" s="19">
        <f>JUN!J26</f>
        <v/>
      </c>
      <c r="N26" s="20">
        <f>IF(COUNT(N31,N32)&lt;2,"",IF((N32+N31)=0,"",N(N23)/((N32+N31)/2)))</f>
        <v/>
      </c>
      <c r="O26" s="19">
        <f>JUL!J26</f>
        <v/>
      </c>
      <c r="P26" s="19">
        <f>AUG!J26</f>
        <v/>
      </c>
      <c r="Q26" s="19">
        <f>SEP!J26</f>
        <v/>
      </c>
      <c r="R26" s="20">
        <f>IF(COUNT(R31,R32)&lt;2,"",IF((R32+R31)=0,"",N(R23)/((R32+R31)/2)))</f>
        <v/>
      </c>
      <c r="S26" s="20">
        <f>IF(COUNT(S31,S32)&lt;2,"",IF((S32+S31)=0,"",N(S23)/((S32+S31)/2)))</f>
        <v/>
      </c>
    </row>
    <row r="27" ht="18.75" customHeight="1">
      <c r="A27" s="3" t="n"/>
      <c r="B27" s="22" t="inlineStr">
        <is>
          <t>Voluntary Terminations</t>
        </is>
      </c>
      <c r="C27" s="11">
        <f>OCT!J27</f>
        <v/>
      </c>
      <c r="D27" s="11">
        <f>NOV!J27</f>
        <v/>
      </c>
      <c r="E27" s="11">
        <f>DEC!J27</f>
        <v/>
      </c>
      <c r="F27" s="12">
        <f>IF(COUNT(C27:E27)=0,"",SUM(C27:E27))</f>
        <v/>
      </c>
      <c r="G27" s="11">
        <f>JAN!J27</f>
        <v/>
      </c>
      <c r="H27" s="11">
        <f>FEB!J27</f>
        <v/>
      </c>
      <c r="I27" s="11">
        <f>MAR!J27</f>
        <v/>
      </c>
      <c r="J27" s="12">
        <f>IF(COUNT(G27:I27)=0,"",SUM(G27:I27))</f>
        <v/>
      </c>
      <c r="K27" s="11">
        <f>APR!J27</f>
        <v/>
      </c>
      <c r="L27" s="11">
        <f>MAY!J27</f>
        <v/>
      </c>
      <c r="M27" s="11">
        <f>JUN!J27</f>
        <v/>
      </c>
      <c r="N27" s="12">
        <f>IF(COUNT(K27:M27)=0,"",SUM(K27:M27))</f>
        <v/>
      </c>
      <c r="O27" s="11">
        <f>JUL!J27</f>
        <v/>
      </c>
      <c r="P27" s="11">
        <f>AUG!J27</f>
        <v/>
      </c>
      <c r="Q27" s="11">
        <f>SEP!J27</f>
        <v/>
      </c>
      <c r="R27" s="12">
        <f>IF(COUNT(O27:Q27)=0,"",SUM(O27:Q27))</f>
        <v/>
      </c>
      <c r="S27" s="12">
        <f>IF(COUNT(C27:E27,G27:I27,K27:M27,O27:Q27)=0,"",SUM(C27:E27,G27:I27,K27:M27,O27:Q27))</f>
        <v/>
      </c>
    </row>
    <row r="28" ht="18.75" customHeight="1">
      <c r="A28" s="3" t="n"/>
      <c r="B28" s="22" t="inlineStr">
        <is>
          <t>Involuntary Terminations</t>
        </is>
      </c>
      <c r="C28" s="11">
        <f>OCT!J28</f>
        <v/>
      </c>
      <c r="D28" s="11">
        <f>NOV!J28</f>
        <v/>
      </c>
      <c r="E28" s="11">
        <f>DEC!J28</f>
        <v/>
      </c>
      <c r="F28" s="12">
        <f>IF(COUNT(C28:E28)=0,"",SUM(C28:E28))</f>
        <v/>
      </c>
      <c r="G28" s="11">
        <f>JAN!J28</f>
        <v/>
      </c>
      <c r="H28" s="11">
        <f>FEB!J28</f>
        <v/>
      </c>
      <c r="I28" s="11">
        <f>MAR!J28</f>
        <v/>
      </c>
      <c r="J28" s="12">
        <f>IF(COUNT(G28:I28)=0,"",SUM(G28:I28))</f>
        <v/>
      </c>
      <c r="K28" s="11">
        <f>APR!J28</f>
        <v/>
      </c>
      <c r="L28" s="11">
        <f>MAY!J28</f>
        <v/>
      </c>
      <c r="M28" s="11">
        <f>JUN!J28</f>
        <v/>
      </c>
      <c r="N28" s="12">
        <f>IF(COUNT(K28:M28)=0,"",SUM(K28:M28))</f>
        <v/>
      </c>
      <c r="O28" s="11">
        <f>JUL!J28</f>
        <v/>
      </c>
      <c r="P28" s="11">
        <f>AUG!J28</f>
        <v/>
      </c>
      <c r="Q28" s="11">
        <f>SEP!J28</f>
        <v/>
      </c>
      <c r="R28" s="12">
        <f>IF(COUNT(O28:Q28)=0,"",SUM(O28:Q28))</f>
        <v/>
      </c>
      <c r="S28" s="12">
        <f>IF(COUNT(C28:E28,G28:I28,K28:M28,O28:Q28)=0,"",SUM(C28:E28,G28:I28,K28:M28,O28:Q28))</f>
        <v/>
      </c>
    </row>
    <row r="29" ht="18.75" customHeight="1">
      <c r="A29" s="3" t="n"/>
      <c r="B29" s="21" t="inlineStr">
        <is>
          <t>Voluntary Turnover (%)</t>
        </is>
      </c>
      <c r="C29" s="19">
        <f>OCT!J29</f>
        <v/>
      </c>
      <c r="D29" s="19">
        <f>NOV!J29</f>
        <v/>
      </c>
      <c r="E29" s="19">
        <f>DEC!J29</f>
        <v/>
      </c>
      <c r="F29" s="20">
        <f>IF(COUNT(F31,F32)&lt;2,"",IF((F32+F31)=0,"",N(F27)/((F32+F31)/2)))</f>
        <v/>
      </c>
      <c r="G29" s="19">
        <f>JAN!J29</f>
        <v/>
      </c>
      <c r="H29" s="19">
        <f>FEB!J29</f>
        <v/>
      </c>
      <c r="I29" s="19">
        <f>MAR!J29</f>
        <v/>
      </c>
      <c r="J29" s="20">
        <f>IF(COUNT(J31,J32)&lt;2,"",IF((J32+J31)=0,"",N(J27)/((J32+J31)/2)))</f>
        <v/>
      </c>
      <c r="K29" s="19">
        <f>APR!J29</f>
        <v/>
      </c>
      <c r="L29" s="19">
        <f>MAY!J29</f>
        <v/>
      </c>
      <c r="M29" s="19">
        <f>JUN!J29</f>
        <v/>
      </c>
      <c r="N29" s="20">
        <f>IF(COUNT(N31,N32)&lt;2,"",IF((N32+N31)=0,"",N(N27)/((N32+N31)/2)))</f>
        <v/>
      </c>
      <c r="O29" s="19">
        <f>JUL!J29</f>
        <v/>
      </c>
      <c r="P29" s="19">
        <f>AUG!J29</f>
        <v/>
      </c>
      <c r="Q29" s="19">
        <f>SEP!J29</f>
        <v/>
      </c>
      <c r="R29" s="20">
        <f>IF(COUNT(R31,R32)&lt;2,"",IF((R32+R31)=0,"",N(R27)/((R32+R31)/2)))</f>
        <v/>
      </c>
      <c r="S29" s="20">
        <f>IF(COUNT(S31,S32)&lt;2,"",IF((S32+S31)=0,"",N(S27)/((S32+S31)/2)))</f>
        <v/>
      </c>
    </row>
    <row r="30" ht="18.75" customHeight="1">
      <c r="A30" s="3" t="n"/>
      <c r="B30" s="21" t="inlineStr">
        <is>
          <t>Involuntary Turnover (%)</t>
        </is>
      </c>
      <c r="C30" s="19">
        <f>OCT!J30</f>
        <v/>
      </c>
      <c r="D30" s="19">
        <f>NOV!J30</f>
        <v/>
      </c>
      <c r="E30" s="19">
        <f>DEC!J30</f>
        <v/>
      </c>
      <c r="F30" s="20">
        <f>IF(COUNT(F31,F32)&lt;2,"",IF((F32+F31)=0,"",N(F28)/((F32+F31)/2)))</f>
        <v/>
      </c>
      <c r="G30" s="19">
        <f>JAN!J30</f>
        <v/>
      </c>
      <c r="H30" s="19">
        <f>FEB!J30</f>
        <v/>
      </c>
      <c r="I30" s="19">
        <f>MAR!J30</f>
        <v/>
      </c>
      <c r="J30" s="20">
        <f>IF(COUNT(J31,J32)&lt;2,"",IF((J32+J31)=0,"",N(J28)/((J32+J31)/2)))</f>
        <v/>
      </c>
      <c r="K30" s="19">
        <f>APR!J30</f>
        <v/>
      </c>
      <c r="L30" s="19">
        <f>MAY!J30</f>
        <v/>
      </c>
      <c r="M30" s="19">
        <f>JUN!J30</f>
        <v/>
      </c>
      <c r="N30" s="20">
        <f>IF(COUNT(N31,N32)&lt;2,"",IF((N32+N31)=0,"",N(N28)/((N32+N31)/2)))</f>
        <v/>
      </c>
      <c r="O30" s="19">
        <f>JUL!J30</f>
        <v/>
      </c>
      <c r="P30" s="19">
        <f>AUG!J30</f>
        <v/>
      </c>
      <c r="Q30" s="19">
        <f>SEP!J30</f>
        <v/>
      </c>
      <c r="R30" s="20">
        <f>IF(COUNT(R31,R32)&lt;2,"",IF((R32+R31)=0,"",N(R28)/((R32+R31)/2)))</f>
        <v/>
      </c>
      <c r="S30" s="20">
        <f>IF(COUNT(S31,S32)&lt;2,"",IF((S32+S31)=0,"",N(S28)/((S32+S31)/2)))</f>
        <v/>
      </c>
    </row>
    <row r="31" ht="18.75" customHeight="1">
      <c r="A31" s="3" t="n"/>
      <c r="B31" s="10" t="inlineStr">
        <is>
          <t>Headcount last Month</t>
        </is>
      </c>
      <c r="C31" s="11">
        <f>OCT!J31</f>
        <v/>
      </c>
      <c r="D31" s="11">
        <f>NOV!J31</f>
        <v/>
      </c>
      <c r="E31" s="11">
        <f>DEC!J31</f>
        <v/>
      </c>
      <c r="F31" s="12">
        <f>IFERROR(AVERAGE(C31:E31),"")</f>
        <v/>
      </c>
      <c r="G31" s="11">
        <f>JAN!J31</f>
        <v/>
      </c>
      <c r="H31" s="11">
        <f>FEB!J31</f>
        <v/>
      </c>
      <c r="I31" s="11">
        <f>MAR!J31</f>
        <v/>
      </c>
      <c r="J31" s="12">
        <f>IFERROR(AVERAGE(G31:I31),"")</f>
        <v/>
      </c>
      <c r="K31" s="11">
        <f>APR!J31</f>
        <v/>
      </c>
      <c r="L31" s="11">
        <f>MAY!J31</f>
        <v/>
      </c>
      <c r="M31" s="11">
        <f>JUN!J31</f>
        <v/>
      </c>
      <c r="N31" s="12">
        <f>IFERROR(AVERAGE(K31:M31),"")</f>
        <v/>
      </c>
      <c r="O31" s="11">
        <f>JUL!J31</f>
        <v/>
      </c>
      <c r="P31" s="11">
        <f>AUG!J31</f>
        <v/>
      </c>
      <c r="Q31" s="11">
        <f>SEP!J31</f>
        <v/>
      </c>
      <c r="R31" s="12">
        <f>IFERROR(AVERAGE(O31:Q31),"")</f>
        <v/>
      </c>
      <c r="S31" s="12">
        <f>IFERROR(AVERAGE(C31:E31,G31:I31,K31:M31,O31:Q31),"")</f>
        <v/>
      </c>
    </row>
    <row r="32" ht="18.75" customHeight="1">
      <c r="A32" s="3" t="n"/>
      <c r="B32" s="13" t="inlineStr">
        <is>
          <t>Headcount this Month</t>
        </is>
      </c>
      <c r="C32" s="11">
        <f>OCT!J32</f>
        <v/>
      </c>
      <c r="D32" s="11">
        <f>NOV!J32</f>
        <v/>
      </c>
      <c r="E32" s="11">
        <f>DEC!J32</f>
        <v/>
      </c>
      <c r="F32" s="12">
        <f>IFERROR(AVERAGE(C32:E32),"")</f>
        <v/>
      </c>
      <c r="G32" s="11">
        <f>JAN!J32</f>
        <v/>
      </c>
      <c r="H32" s="11">
        <f>FEB!J32</f>
        <v/>
      </c>
      <c r="I32" s="11">
        <f>MAR!J32</f>
        <v/>
      </c>
      <c r="J32" s="12">
        <f>IFERROR(AVERAGE(G32:I32),"")</f>
        <v/>
      </c>
      <c r="K32" s="11">
        <f>APR!J32</f>
        <v/>
      </c>
      <c r="L32" s="11">
        <f>MAY!J32</f>
        <v/>
      </c>
      <c r="M32" s="11">
        <f>JUN!J32</f>
        <v/>
      </c>
      <c r="N32" s="12">
        <f>IFERROR(AVERAGE(K32:M32),"")</f>
        <v/>
      </c>
      <c r="O32" s="11">
        <f>JUL!J32</f>
        <v/>
      </c>
      <c r="P32" s="11">
        <f>AUG!J32</f>
        <v/>
      </c>
      <c r="Q32" s="11">
        <f>SEP!J32</f>
        <v/>
      </c>
      <c r="R32" s="12">
        <f>IFERROR(AVERAGE(O32:Q32),"")</f>
        <v/>
      </c>
      <c r="S32" s="12">
        <f>IFERROR(AVERAGE(C32:E32,G32:I32,K32:M32,O32:Q32),"")</f>
        <v/>
      </c>
    </row>
    <row r="33" ht="18.75" customHeight="1">
      <c r="A33" s="3" t="n"/>
      <c r="B33" s="13" t="inlineStr">
        <is>
          <t>Full Turnover (%)</t>
        </is>
      </c>
      <c r="C33" s="19">
        <f>OCT!J33</f>
        <v/>
      </c>
      <c r="D33" s="19">
        <f>NOV!J33</f>
        <v/>
      </c>
      <c r="E33" s="19">
        <f>DEC!J33</f>
        <v/>
      </c>
      <c r="F33" s="20">
        <f>IF(COUNT(F31,F32)&lt;2,"",IF((F32+F31)=0,"",N(F24)/((F32+F31)/2)))</f>
        <v/>
      </c>
      <c r="G33" s="19">
        <f>JAN!J33</f>
        <v/>
      </c>
      <c r="H33" s="19">
        <f>FEB!J33</f>
        <v/>
      </c>
      <c r="I33" s="19">
        <f>MAR!J33</f>
        <v/>
      </c>
      <c r="J33" s="20">
        <f>IF(COUNT(J31,J32)&lt;2,"",IF((J32+J31)=0,"",N(J24)/((J32+J31)/2)))</f>
        <v/>
      </c>
      <c r="K33" s="19">
        <f>APR!J33</f>
        <v/>
      </c>
      <c r="L33" s="19">
        <f>MAY!J33</f>
        <v/>
      </c>
      <c r="M33" s="19">
        <f>JUN!J33</f>
        <v/>
      </c>
      <c r="N33" s="20">
        <f>IF(COUNT(N31,N32)&lt;2,"",IF((N32+N31)=0,"",N(N24)/((N32+N31)/2)))</f>
        <v/>
      </c>
      <c r="O33" s="19">
        <f>JUL!J33</f>
        <v/>
      </c>
      <c r="P33" s="19">
        <f>AUG!J33</f>
        <v/>
      </c>
      <c r="Q33" s="19">
        <f>SEP!J33</f>
        <v/>
      </c>
      <c r="R33" s="20">
        <f>IF(COUNT(R31,R32)&lt;2,"",IF((R32+R31)=0,"",N(R24)/((R32+R31)/2)))</f>
        <v/>
      </c>
      <c r="S33" s="20">
        <f>IF(COUNT(S31,S32)&lt;2,"",IF((S32+S31)=0,"",N(S24)/((S32+S31)/2)))</f>
        <v/>
      </c>
    </row>
    <row r="34" ht="18.75" customHeight="1">
      <c r="A34" s="3" t="n"/>
      <c r="B34" s="22" t="inlineStr">
        <is>
          <t>Permanent Vacancies</t>
        </is>
      </c>
      <c r="C34" s="11">
        <f>OCT!J34</f>
        <v/>
      </c>
      <c r="D34" s="11">
        <f>NOV!J34</f>
        <v/>
      </c>
      <c r="E34" s="11">
        <f>DEC!J34</f>
        <v/>
      </c>
      <c r="F34" s="12">
        <f>IFERROR(AVERAGE(C34:E34),"")</f>
        <v/>
      </c>
      <c r="G34" s="11">
        <f>JAN!J34</f>
        <v/>
      </c>
      <c r="H34" s="11">
        <f>FEB!J34</f>
        <v/>
      </c>
      <c r="I34" s="11">
        <f>MAR!J34</f>
        <v/>
      </c>
      <c r="J34" s="12">
        <f>IFERROR(AVERAGE(G34:I34),"")</f>
        <v/>
      </c>
      <c r="K34" s="11">
        <f>APR!J34</f>
        <v/>
      </c>
      <c r="L34" s="11">
        <f>MAY!J34</f>
        <v/>
      </c>
      <c r="M34" s="11">
        <f>JUN!J34</f>
        <v/>
      </c>
      <c r="N34" s="12">
        <f>IFERROR(AVERAGE(K34:M34),"")</f>
        <v/>
      </c>
      <c r="O34" s="11">
        <f>JUL!J34</f>
        <v/>
      </c>
      <c r="P34" s="11">
        <f>AUG!J34</f>
        <v/>
      </c>
      <c r="Q34" s="11">
        <f>SEP!J34</f>
        <v/>
      </c>
      <c r="R34" s="12">
        <f>IFERROR(AVERAGE(O34:Q34),"")</f>
        <v/>
      </c>
      <c r="S34" s="12">
        <f>IFERROR(AVERAGE(C34:E34,G34:I34,K34:M34,O34:Q34),"")</f>
        <v/>
      </c>
    </row>
    <row r="35" ht="18.75" customHeight="1">
      <c r="A35" s="3" t="n"/>
      <c r="B35" s="22" t="inlineStr">
        <is>
          <t>Temporary Vacancies</t>
        </is>
      </c>
      <c r="C35" s="11">
        <f>OCT!J35</f>
        <v/>
      </c>
      <c r="D35" s="11">
        <f>NOV!J35</f>
        <v/>
      </c>
      <c r="E35" s="11">
        <f>DEC!J35</f>
        <v/>
      </c>
      <c r="F35" s="12">
        <f>IFERROR(AVERAGE(C35:E35),"")</f>
        <v/>
      </c>
      <c r="G35" s="11">
        <f>JAN!J35</f>
        <v/>
      </c>
      <c r="H35" s="11">
        <f>FEB!J35</f>
        <v/>
      </c>
      <c r="I35" s="11">
        <f>MAR!J35</f>
        <v/>
      </c>
      <c r="J35" s="12">
        <f>IFERROR(AVERAGE(G35:I35),"")</f>
        <v/>
      </c>
      <c r="K35" s="11">
        <f>APR!J35</f>
        <v/>
      </c>
      <c r="L35" s="11">
        <f>MAY!J35</f>
        <v/>
      </c>
      <c r="M35" s="11">
        <f>JUN!J35</f>
        <v/>
      </c>
      <c r="N35" s="12">
        <f>IFERROR(AVERAGE(K35:M35),"")</f>
        <v/>
      </c>
      <c r="O35" s="11">
        <f>JUL!J35</f>
        <v/>
      </c>
      <c r="P35" s="11">
        <f>AUG!J35</f>
        <v/>
      </c>
      <c r="Q35" s="11">
        <f>SEP!J35</f>
        <v/>
      </c>
      <c r="R35" s="12">
        <f>IFERROR(AVERAGE(O35:Q35),"")</f>
        <v/>
      </c>
      <c r="S35" s="12">
        <f>IFERROR(AVERAGE(C35:E35,G35:I35,K35:M35,O35:Q35),"")</f>
        <v/>
      </c>
    </row>
    <row r="36" ht="18.75" customHeight="1">
      <c r="A36" s="3" t="n"/>
      <c r="B36" s="13" t="inlineStr">
        <is>
          <t>Total Vacancies</t>
        </is>
      </c>
      <c r="C36" s="11">
        <f>OCT!J36</f>
        <v/>
      </c>
      <c r="D36" s="11">
        <f>NOV!J36</f>
        <v/>
      </c>
      <c r="E36" s="11">
        <f>DEC!J36</f>
        <v/>
      </c>
      <c r="F36" s="12">
        <f>IF(COUNT(F34:F35)=0,"",SUM(F34:F35))</f>
        <v/>
      </c>
      <c r="G36" s="11">
        <f>JAN!J36</f>
        <v/>
      </c>
      <c r="H36" s="11">
        <f>FEB!J36</f>
        <v/>
      </c>
      <c r="I36" s="11">
        <f>MAR!J36</f>
        <v/>
      </c>
      <c r="J36" s="12">
        <f>IF(COUNT(J34:J35)=0,"",SUM(J34:J35))</f>
        <v/>
      </c>
      <c r="K36" s="11">
        <f>APR!J36</f>
        <v/>
      </c>
      <c r="L36" s="11">
        <f>MAY!J36</f>
        <v/>
      </c>
      <c r="M36" s="11">
        <f>JUN!J36</f>
        <v/>
      </c>
      <c r="N36" s="12">
        <f>IF(COUNT(N34:N35)=0,"",SUM(N34:N35))</f>
        <v/>
      </c>
      <c r="O36" s="11">
        <f>JUL!J36</f>
        <v/>
      </c>
      <c r="P36" s="11">
        <f>AUG!J36</f>
        <v/>
      </c>
      <c r="Q36" s="11">
        <f>SEP!J36</f>
        <v/>
      </c>
      <c r="R36" s="12">
        <f>IF(COUNT(R34:R35)=0,"",SUM(R34:R35))</f>
        <v/>
      </c>
      <c r="S36" s="12">
        <f>IF(COUNT(S34:S35)=0,"",SUM(S34:S35))</f>
        <v/>
      </c>
    </row>
    <row r="37" ht="18.75" customHeight="1">
      <c r="A37" s="3" t="n"/>
      <c r="B37" s="13" t="inlineStr">
        <is>
          <t>Authorized Positions</t>
        </is>
      </c>
      <c r="C37" s="11">
        <f>OCT!J37</f>
        <v/>
      </c>
      <c r="D37" s="11">
        <f>NOV!J37</f>
        <v/>
      </c>
      <c r="E37" s="11">
        <f>DEC!J37</f>
        <v/>
      </c>
      <c r="F37" s="12">
        <f>IF(COUNT(F5,F36)=0,"",N(F5)+N(F36))</f>
        <v/>
      </c>
      <c r="G37" s="11">
        <f>JAN!J37</f>
        <v/>
      </c>
      <c r="H37" s="11">
        <f>FEB!J37</f>
        <v/>
      </c>
      <c r="I37" s="11">
        <f>MAR!J37</f>
        <v/>
      </c>
      <c r="J37" s="12">
        <f>IF(COUNT(J5,J36)=0,"",N(J5)+N(J36))</f>
        <v/>
      </c>
      <c r="K37" s="11">
        <f>APR!J37</f>
        <v/>
      </c>
      <c r="L37" s="11">
        <f>MAY!J37</f>
        <v/>
      </c>
      <c r="M37" s="11">
        <f>JUN!J37</f>
        <v/>
      </c>
      <c r="N37" s="12">
        <f>IF(COUNT(N5,N36)=0,"",N(N5)+N(N36))</f>
        <v/>
      </c>
      <c r="O37" s="11">
        <f>JUL!J37</f>
        <v/>
      </c>
      <c r="P37" s="11">
        <f>AUG!J37</f>
        <v/>
      </c>
      <c r="Q37" s="11">
        <f>SEP!J37</f>
        <v/>
      </c>
      <c r="R37" s="12">
        <f>IF(COUNT(R5,R36)=0,"",N(R5)+N(R36))</f>
        <v/>
      </c>
      <c r="S37" s="12">
        <f>IF(COUNT(S5,S36)=0,"",N(S5)+N(S36))</f>
        <v/>
      </c>
    </row>
    <row r="38" ht="18.75" customHeight="1">
      <c r="A38" s="3" t="n"/>
      <c r="B38" s="13" t="inlineStr">
        <is>
          <t>Vacancy Rate (%)</t>
        </is>
      </c>
      <c r="C38" s="19">
        <f>OCT!J38</f>
        <v/>
      </c>
      <c r="D38" s="19">
        <f>NOV!J38</f>
        <v/>
      </c>
      <c r="E38" s="19">
        <f>DEC!J38</f>
        <v/>
      </c>
      <c r="F38" s="20">
        <f>IFERROR(F36/F37,"")</f>
        <v/>
      </c>
      <c r="G38" s="19">
        <f>JAN!J38</f>
        <v/>
      </c>
      <c r="H38" s="19">
        <f>FEB!J38</f>
        <v/>
      </c>
      <c r="I38" s="19">
        <f>MAR!J38</f>
        <v/>
      </c>
      <c r="J38" s="20">
        <f>IFERROR(J36/J37,"")</f>
        <v/>
      </c>
      <c r="K38" s="19">
        <f>APR!J38</f>
        <v/>
      </c>
      <c r="L38" s="19">
        <f>MAY!J38</f>
        <v/>
      </c>
      <c r="M38" s="19">
        <f>JUN!J38</f>
        <v/>
      </c>
      <c r="N38" s="20">
        <f>IFERROR(N36/N37,"")</f>
        <v/>
      </c>
      <c r="O38" s="19">
        <f>JUL!J38</f>
        <v/>
      </c>
      <c r="P38" s="19">
        <f>AUG!J38</f>
        <v/>
      </c>
      <c r="Q38" s="19">
        <f>SEP!J38</f>
        <v/>
      </c>
      <c r="R38" s="20">
        <f>IFERROR(R36/R37,"")</f>
        <v/>
      </c>
      <c r="S38" s="20">
        <f>IFERROR(S36/S37,"")</f>
        <v/>
      </c>
    </row>
    <row r="39" ht="18.75" customHeight="1">
      <c r="A39" s="3" t="n"/>
      <c r="B39" s="10" t="inlineStr">
        <is>
          <t>Permanent TimeToHire (Days) YTD</t>
        </is>
      </c>
      <c r="C39" s="14">
        <f>OCT!J39</f>
        <v/>
      </c>
      <c r="D39" s="14">
        <f>NOV!J39</f>
        <v/>
      </c>
      <c r="E39" s="14">
        <f>DEC!J39</f>
        <v/>
      </c>
      <c r="F39" s="15">
        <f>IFERROR(LOOKUP(2,1/ISNUMBER(C39:E39),C39:E39),"")</f>
        <v/>
      </c>
      <c r="G39" s="14">
        <f>JAN!J39</f>
        <v/>
      </c>
      <c r="H39" s="14">
        <f>FEB!J39</f>
        <v/>
      </c>
      <c r="I39" s="14">
        <f>MAR!J39</f>
        <v/>
      </c>
      <c r="J39" s="15">
        <f>IFERROR(LOOKUP(2,1/ISNUMBER(G39:I39),G39:I39),"")</f>
        <v/>
      </c>
      <c r="K39" s="14">
        <f>APR!J39</f>
        <v/>
      </c>
      <c r="L39" s="14">
        <f>MAY!J39</f>
        <v/>
      </c>
      <c r="M39" s="14">
        <f>JUN!J39</f>
        <v/>
      </c>
      <c r="N39" s="15">
        <f>IFERROR(LOOKUP(2,1/ISNUMBER(K39:M39),K39:M39),"")</f>
        <v/>
      </c>
      <c r="O39" s="14">
        <f>JUL!J39</f>
        <v/>
      </c>
      <c r="P39" s="14">
        <f>AUG!J39</f>
        <v/>
      </c>
      <c r="Q39" s="14">
        <f>SEP!J39</f>
        <v/>
      </c>
      <c r="R39" s="15">
        <f>IFERROR(LOOKUP(2,1/ISNUMBER(O39:Q39),O39:Q39),"")</f>
        <v/>
      </c>
      <c r="S39" s="15">
        <f>IFERROR(LOOKUP(2,1/ISNUMBER(C39:Q39),C39:Q39),"")</f>
        <v/>
      </c>
    </row>
    <row r="40" ht="18.75" customHeight="1">
      <c r="A40" s="3" t="n"/>
      <c r="B40" s="10" t="inlineStr">
        <is>
          <t>Temporary TimeToHire (Days) YTD</t>
        </is>
      </c>
      <c r="C40" s="14">
        <f>OCT!J40</f>
        <v/>
      </c>
      <c r="D40" s="14">
        <f>NOV!J40</f>
        <v/>
      </c>
      <c r="E40" s="14">
        <f>DEC!J40</f>
        <v/>
      </c>
      <c r="F40" s="15">
        <f>IFERROR(LOOKUP(2,1/ISNUMBER(C40:E40),C40:E40),"")</f>
        <v/>
      </c>
      <c r="G40" s="14">
        <f>JAN!J40</f>
        <v/>
      </c>
      <c r="H40" s="14">
        <f>FEB!J40</f>
        <v/>
      </c>
      <c r="I40" s="14">
        <f>MAR!J40</f>
        <v/>
      </c>
      <c r="J40" s="15">
        <f>IFERROR(LOOKUP(2,1/ISNUMBER(G40:I40),G40:I40),"")</f>
        <v/>
      </c>
      <c r="K40" s="14">
        <f>APR!J40</f>
        <v/>
      </c>
      <c r="L40" s="14">
        <f>MAY!J40</f>
        <v/>
      </c>
      <c r="M40" s="14">
        <f>JUN!J40</f>
        <v/>
      </c>
      <c r="N40" s="15">
        <f>IFERROR(LOOKUP(2,1/ISNUMBER(K40:M40),K40:M40),"")</f>
        <v/>
      </c>
      <c r="O40" s="14">
        <f>JUL!J40</f>
        <v/>
      </c>
      <c r="P40" s="14">
        <f>AUG!J40</f>
        <v/>
      </c>
      <c r="Q40" s="14">
        <f>SEP!J40</f>
        <v/>
      </c>
      <c r="R40" s="15">
        <f>IFERROR(LOOKUP(2,1/ISNUMBER(O40:Q40),O40:Q40),"")</f>
        <v/>
      </c>
      <c r="S40" s="15">
        <f>IFERROR(LOOKUP(2,1/ISNUMBER(C40:Q40),C40:Q40),"")</f>
        <v/>
      </c>
    </row>
    <row r="41" ht="18.75" customHeight="1">
      <c r="A41" s="3" t="n"/>
      <c r="B41" s="13" t="inlineStr">
        <is>
          <t>Check-ins Rate Completed (%)</t>
        </is>
      </c>
      <c r="C41" s="23">
        <f>OCT!J41</f>
        <v/>
      </c>
      <c r="D41" s="23">
        <f>NOV!J41</f>
        <v/>
      </c>
      <c r="E41" s="23">
        <f>DEC!J41</f>
        <v/>
      </c>
      <c r="F41" s="24">
        <f>IFERROR(AVERAGE(C41:E41),"")</f>
        <v/>
      </c>
      <c r="G41" s="23">
        <f>JAN!J41</f>
        <v/>
      </c>
      <c r="H41" s="23">
        <f>FEB!J41</f>
        <v/>
      </c>
      <c r="I41" s="23">
        <f>MAR!J41</f>
        <v/>
      </c>
      <c r="J41" s="24">
        <f>IFERROR(AVERAGE(G41:I41),"")</f>
        <v/>
      </c>
      <c r="K41" s="23">
        <f>APR!J41</f>
        <v/>
      </c>
      <c r="L41" s="23">
        <f>MAY!J41</f>
        <v/>
      </c>
      <c r="M41" s="23">
        <f>JUN!J41</f>
        <v/>
      </c>
      <c r="N41" s="24">
        <f>IFERROR(AVERAGE(K41:M41),"")</f>
        <v/>
      </c>
      <c r="O41" s="23">
        <f>JUL!J41</f>
        <v/>
      </c>
      <c r="P41" s="23">
        <f>AUG!J41</f>
        <v/>
      </c>
      <c r="Q41" s="23">
        <f>SEP!J41</f>
        <v/>
      </c>
      <c r="R41" s="24">
        <f>IFERROR(AVERAGE(O41:Q41),"")</f>
        <v/>
      </c>
      <c r="S41" s="24">
        <f>IFERROR(AVERAGE(C41:E41,G41:I41,K41:M41,O41:Q41),"")</f>
        <v/>
      </c>
    </row>
    <row r="42" ht="18.75" customHeight="1">
      <c r="A42" s="3" t="n"/>
      <c r="B42" s="10" t="inlineStr">
        <is>
          <t>EE Objectives Completed (#)</t>
        </is>
      </c>
      <c r="C42" s="11">
        <f>OCT!J42</f>
        <v/>
      </c>
      <c r="D42" s="11">
        <f>NOV!J42</f>
        <v/>
      </c>
      <c r="E42" s="11">
        <f>DEC!J42</f>
        <v/>
      </c>
      <c r="F42" s="12">
        <f>IF(COUNT(C42:E42)=0,"",SUM(C42:E42))</f>
        <v/>
      </c>
      <c r="G42" s="11">
        <f>JAN!J42</f>
        <v/>
      </c>
      <c r="H42" s="11">
        <f>FEB!J42</f>
        <v/>
      </c>
      <c r="I42" s="11">
        <f>MAR!J42</f>
        <v/>
      </c>
      <c r="J42" s="12">
        <f>IF(COUNT(G42:I42)=0,"",SUM(G42:I42))</f>
        <v/>
      </c>
      <c r="K42" s="11">
        <f>APR!J42</f>
        <v/>
      </c>
      <c r="L42" s="11">
        <f>MAY!J42</f>
        <v/>
      </c>
      <c r="M42" s="11">
        <f>JUN!J42</f>
        <v/>
      </c>
      <c r="N42" s="12">
        <f>IF(COUNT(K42:M42)=0,"",SUM(K42:M42))</f>
        <v/>
      </c>
      <c r="O42" s="11">
        <f>JUL!J42</f>
        <v/>
      </c>
      <c r="P42" s="11">
        <f>AUG!J42</f>
        <v/>
      </c>
      <c r="Q42" s="11">
        <f>SEP!J42</f>
        <v/>
      </c>
      <c r="R42" s="12">
        <f>IF(COUNT(O42:Q42)=0,"",SUM(O42:Q42))</f>
        <v/>
      </c>
      <c r="S42" s="12">
        <f>IF(COUNT(C42:E42,G42:I42,K42:M42,O42:Q42)=0,"",SUM(C42:E42,G42:I42,K42:M42,O42:Q42))</f>
        <v/>
      </c>
    </row>
    <row r="43" ht="18.75" customHeight="1">
      <c r="A43" s="3" t="n"/>
      <c r="B43" s="10" t="inlineStr">
        <is>
          <t>Non-certified Absent (Days Lost)</t>
        </is>
      </c>
      <c r="C43" s="14">
        <f>OCT!J43</f>
        <v/>
      </c>
      <c r="D43" s="14">
        <f>NOV!J43</f>
        <v/>
      </c>
      <c r="E43" s="14">
        <f>DEC!J43</f>
        <v/>
      </c>
      <c r="F43" s="15">
        <f>IF(COUNT(C43:E43)=0,"",SUM(C43:E43))</f>
        <v/>
      </c>
      <c r="G43" s="14">
        <f>JAN!J43</f>
        <v/>
      </c>
      <c r="H43" s="14">
        <f>FEB!J43</f>
        <v/>
      </c>
      <c r="I43" s="14">
        <f>MAR!J43</f>
        <v/>
      </c>
      <c r="J43" s="15">
        <f>IF(COUNT(G43:I43)=0,"",SUM(G43:I43))</f>
        <v/>
      </c>
      <c r="K43" s="14">
        <f>APR!J43</f>
        <v/>
      </c>
      <c r="L43" s="14">
        <f>MAY!J43</f>
        <v/>
      </c>
      <c r="M43" s="14">
        <f>JUN!J43</f>
        <v/>
      </c>
      <c r="N43" s="15">
        <f>IF(COUNT(K43:M43)=0,"",SUM(K43:M43))</f>
        <v/>
      </c>
      <c r="O43" s="14">
        <f>JUL!J43</f>
        <v/>
      </c>
      <c r="P43" s="14">
        <f>AUG!J43</f>
        <v/>
      </c>
      <c r="Q43" s="14">
        <f>SEP!J43</f>
        <v/>
      </c>
      <c r="R43" s="15">
        <f>IF(COUNT(O43:Q43)=0,"",SUM(O43:Q43))</f>
        <v/>
      </c>
      <c r="S43" s="15">
        <f>IF(COUNT(C43:E43,G43:I43,K43:M43,O43:Q43)=0,"",SUM(C43:E43,G43:I43,K43:M43,O43:Q43))</f>
        <v/>
      </c>
    </row>
    <row r="44" ht="18.75" customHeight="1">
      <c r="A44" s="3" t="n"/>
      <c r="B44" s="10" t="inlineStr">
        <is>
          <t>Certified sick leave (Days Lost)</t>
        </is>
      </c>
      <c r="C44" s="14">
        <f>OCT!J44</f>
        <v/>
      </c>
      <c r="D44" s="14">
        <f>NOV!J44</f>
        <v/>
      </c>
      <c r="E44" s="14">
        <f>DEC!J44</f>
        <v/>
      </c>
      <c r="F44" s="15">
        <f>IF(COUNT(C44:E44)=0,"",SUM(C44:E44))</f>
        <v/>
      </c>
      <c r="G44" s="14">
        <f>JAN!J44</f>
        <v/>
      </c>
      <c r="H44" s="14">
        <f>FEB!J44</f>
        <v/>
      </c>
      <c r="I44" s="14">
        <f>MAR!J44</f>
        <v/>
      </c>
      <c r="J44" s="15">
        <f>IF(COUNT(G44:I44)=0,"",SUM(G44:I44))</f>
        <v/>
      </c>
      <c r="K44" s="14">
        <f>APR!J44</f>
        <v/>
      </c>
      <c r="L44" s="14">
        <f>MAY!J44</f>
        <v/>
      </c>
      <c r="M44" s="14">
        <f>JUN!J44</f>
        <v/>
      </c>
      <c r="N44" s="15">
        <f>IF(COUNT(K44:M44)=0,"",SUM(K44:M44))</f>
        <v/>
      </c>
      <c r="O44" s="14">
        <f>JUL!J44</f>
        <v/>
      </c>
      <c r="P44" s="14">
        <f>AUG!J44</f>
        <v/>
      </c>
      <c r="Q44" s="14">
        <f>SEP!J44</f>
        <v/>
      </c>
      <c r="R44" s="15">
        <f>IF(COUNT(O44:Q44)=0,"",SUM(O44:Q44))</f>
        <v/>
      </c>
      <c r="S44" s="15">
        <f>IF(COUNT(C44:E44,G44:I44,K44:M44,O44:Q44)=0,"",SUM(C44:E44,G44:I44,K44:M44,O44:Q44))</f>
        <v/>
      </c>
    </row>
    <row r="45" ht="18.75" customHeight="1">
      <c r="A45" s="3" t="n"/>
      <c r="B45" s="18" t="inlineStr">
        <is>
          <t>Total Absences</t>
        </is>
      </c>
      <c r="C45" s="14">
        <f>OCT!J45</f>
        <v/>
      </c>
      <c r="D45" s="14">
        <f>NOV!J45</f>
        <v/>
      </c>
      <c r="E45" s="14">
        <f>DEC!J45</f>
        <v/>
      </c>
      <c r="F45" s="15">
        <f>IF(COUNT(F43:F44)=0,"",SUM(F43:F44))</f>
        <v/>
      </c>
      <c r="G45" s="14">
        <f>JAN!J45</f>
        <v/>
      </c>
      <c r="H45" s="14">
        <f>FEB!J45</f>
        <v/>
      </c>
      <c r="I45" s="14">
        <f>MAR!J45</f>
        <v/>
      </c>
      <c r="J45" s="15">
        <f>IF(COUNT(J43:J44)=0,"",SUM(J43:J44))</f>
        <v/>
      </c>
      <c r="K45" s="14">
        <f>APR!J45</f>
        <v/>
      </c>
      <c r="L45" s="14">
        <f>MAY!J45</f>
        <v/>
      </c>
      <c r="M45" s="14">
        <f>JUN!J45</f>
        <v/>
      </c>
      <c r="N45" s="15">
        <f>IF(COUNT(N43:N44)=0,"",SUM(N43:N44))</f>
        <v/>
      </c>
      <c r="O45" s="14">
        <f>JUL!J45</f>
        <v/>
      </c>
      <c r="P45" s="14">
        <f>AUG!J45</f>
        <v/>
      </c>
      <c r="Q45" s="14">
        <f>SEP!J45</f>
        <v/>
      </c>
      <c r="R45" s="15">
        <f>IF(COUNT(R43:R44)=0,"",SUM(R43:R44))</f>
        <v/>
      </c>
      <c r="S45" s="15">
        <f>IF(COUNT(S43:S44)=0,"",SUM(S43:S44))</f>
        <v/>
      </c>
    </row>
    <row r="46" ht="18.75" customHeight="1">
      <c r="A46" s="3" t="n"/>
      <c r="B46" s="13" t="inlineStr">
        <is>
          <t>Absent Rate Non-Certified (%)</t>
        </is>
      </c>
      <c r="C46" s="19">
        <f>OCT!J46</f>
        <v/>
      </c>
      <c r="D46" s="19">
        <f>NOV!J46</f>
        <v/>
      </c>
      <c r="E46" s="19">
        <f>DEC!J46</f>
        <v/>
      </c>
      <c r="F46" s="20">
        <f t="array" ref="F46">IF(COUNT(C46:E46)=0,"",IFERROR(SUMPRODUCT(IFERROR(C46:E46*((C3:E3)+(C4:E4)),0))/SUMPRODUCT(IFERROR(ISNUMBER(C46:E46)*((C3:E3)+(C4:E4)),0)),""))</f>
        <v/>
      </c>
      <c r="G46" s="19">
        <f>JAN!J46</f>
        <v/>
      </c>
      <c r="H46" s="19">
        <f>FEB!J46</f>
        <v/>
      </c>
      <c r="I46" s="19">
        <f>MAR!J46</f>
        <v/>
      </c>
      <c r="J46" s="20">
        <f t="array" ref="J46">IF(COUNT(G46:I46)=0,"",IFERROR(SUMPRODUCT(IFERROR(G46:I46*((G3:I3)+(G4:I4)),0))/SUMPRODUCT(IFERROR(ISNUMBER(G46:I46)*((G3:I3)+(G4:I4)),0)),""))</f>
        <v/>
      </c>
      <c r="K46" s="19">
        <f>APR!J46</f>
        <v/>
      </c>
      <c r="L46" s="19">
        <f>MAY!J46</f>
        <v/>
      </c>
      <c r="M46" s="19">
        <f>JUN!J46</f>
        <v/>
      </c>
      <c r="N46" s="20">
        <f t="array" ref="N46">IF(COUNT(K46:M46)=0,"",IFERROR(SUMPRODUCT(IFERROR(K46:M46*((K3:M3)+(K4:M4)),0))/SUMPRODUCT(IFERROR(ISNUMBER(K46:M46)*((K3:M3)+(K4:M4)),0)),""))</f>
        <v/>
      </c>
      <c r="O46" s="19">
        <f>JUL!J46</f>
        <v/>
      </c>
      <c r="P46" s="19">
        <f>AUG!J46</f>
        <v/>
      </c>
      <c r="Q46" s="19">
        <f>SEP!J46</f>
        <v/>
      </c>
      <c r="R46" s="20">
        <f t="array" ref="R46">IF(COUNT(O46:Q46)=0,"",IFERROR(SUMPRODUCT(IFERROR(O46:Q46*((O3:Q3)+(O4:Q4)),0))/SUMPRODUCT(IFERROR(ISNUMBER(O46:Q46)*((O3:Q3)+(O4:Q4)),0)),""))</f>
        <v/>
      </c>
      <c r="S46" s="20">
        <f>IF(COUNT(F46,J46,N46,R46)=0,"",IFERROR((IFERROR(F46*(F3+F4),0)+IFERROR(J46*(J3+J4),0)+IFERROR(N46*(N3+N4),0)+IFERROR(R46*(R3+R4),0))/(IFERROR(ISNUMBER(F46)*(F3+F4),0)+IFERROR(ISNUMBER(J46)*(J3+J4),0)+IFERROR(ISNUMBER(N46)*(N3+N4),0)+IFERROR(ISNUMBER(R46)*(R3+R4),0)),""))</f>
        <v/>
      </c>
    </row>
    <row r="47" ht="18.75" customHeight="1">
      <c r="A47" s="3" t="n"/>
      <c r="B47" s="13" t="inlineStr">
        <is>
          <t>Absent Rate Certified (%)</t>
        </is>
      </c>
      <c r="C47" s="19">
        <f>OCT!J47</f>
        <v/>
      </c>
      <c r="D47" s="19">
        <f>NOV!J47</f>
        <v/>
      </c>
      <c r="E47" s="19">
        <f>DEC!J47</f>
        <v/>
      </c>
      <c r="F47" s="20">
        <f t="array" ref="F47">IF(COUNT(C47:E47)=0,"",IFERROR(SUMPRODUCT(IFERROR(C47:E47*((C3:E3)+(C4:E4)),0))/SUMPRODUCT(IFERROR(ISNUMBER(C47:E47)*((C3:E3)+(C4:E4)),0)),""))</f>
        <v/>
      </c>
      <c r="G47" s="19">
        <f>JAN!J47</f>
        <v/>
      </c>
      <c r="H47" s="19">
        <f>FEB!J47</f>
        <v/>
      </c>
      <c r="I47" s="19">
        <f>MAR!J47</f>
        <v/>
      </c>
      <c r="J47" s="20">
        <f t="array" ref="J47">IF(COUNT(G47:I47)=0,"",IFERROR(SUMPRODUCT(IFERROR(G47:I47*((G3:I3)+(G4:I4)),0))/SUMPRODUCT(IFERROR(ISNUMBER(G47:I47)*((G3:I3)+(G4:I4)),0)),""))</f>
        <v/>
      </c>
      <c r="K47" s="19">
        <f>APR!J47</f>
        <v/>
      </c>
      <c r="L47" s="19">
        <f>MAY!J47</f>
        <v/>
      </c>
      <c r="M47" s="19">
        <f>JUN!J47</f>
        <v/>
      </c>
      <c r="N47" s="20">
        <f t="array" ref="N47">IF(COUNT(K47:M47)=0,"",IFERROR(SUMPRODUCT(IFERROR(K47:M47*((K3:M3)+(K4:M4)),0))/SUMPRODUCT(IFERROR(ISNUMBER(K47:M47)*((K3:M3)+(K4:M4)),0)),""))</f>
        <v/>
      </c>
      <c r="O47" s="19">
        <f>JUL!J47</f>
        <v/>
      </c>
      <c r="P47" s="19">
        <f>AUG!J47</f>
        <v/>
      </c>
      <c r="Q47" s="19">
        <f>SEP!J47</f>
        <v/>
      </c>
      <c r="R47" s="20">
        <f t="array" ref="R47">IF(COUNT(O47:Q47)=0,"",IFERROR(SUMPRODUCT(IFERROR(O47:Q47*((O3:Q3)+(O4:Q4)),0))/SUMPRODUCT(IFERROR(ISNUMBER(O47:Q47)*((O3:Q3)+(O4:Q4)),0)),""))</f>
        <v/>
      </c>
      <c r="S47" s="20">
        <f>IF(COUNT(F47,J47,N47,R47)=0,"",IFERROR((IFERROR(F47*(F3+F4),0)+IFERROR(J47*(J3+J4),0)+IFERROR(N47*(N3+N4),0)+IFERROR(R47*(R3+R4),0))/(IFERROR(ISNUMBER(F47)*(F3+F4),0)+IFERROR(ISNUMBER(J47)*(J3+J4),0)+IFERROR(ISNUMBER(N47)*(N3+N4),0)+IFERROR(ISNUMBER(R47)*(R3+R4),0)),""))</f>
        <v/>
      </c>
    </row>
    <row r="48" ht="18.75" customHeight="1">
      <c r="A48" s="3" t="n"/>
      <c r="B48" s="13" t="inlineStr">
        <is>
          <t>Absent Rate Total (%)</t>
        </is>
      </c>
      <c r="C48" s="19">
        <f>OCT!J48</f>
        <v/>
      </c>
      <c r="D48" s="19">
        <f>NOV!J48</f>
        <v/>
      </c>
      <c r="E48" s="19">
        <f>DEC!J48</f>
        <v/>
      </c>
      <c r="F48" s="20">
        <f>IF(COUNT(F46:F47)=0,"",SUM(F46:F47))</f>
        <v/>
      </c>
      <c r="G48" s="19">
        <f>JAN!J48</f>
        <v/>
      </c>
      <c r="H48" s="19">
        <f>FEB!J48</f>
        <v/>
      </c>
      <c r="I48" s="19">
        <f>MAR!J48</f>
        <v/>
      </c>
      <c r="J48" s="20">
        <f>IF(COUNT(J46:J47)=0,"",SUM(J46:J47))</f>
        <v/>
      </c>
      <c r="K48" s="19">
        <f>APR!J48</f>
        <v/>
      </c>
      <c r="L48" s="19">
        <f>MAY!J48</f>
        <v/>
      </c>
      <c r="M48" s="19">
        <f>JUN!J48</f>
        <v/>
      </c>
      <c r="N48" s="20">
        <f>IF(COUNT(N46:N47)=0,"",SUM(N46:N47))</f>
        <v/>
      </c>
      <c r="O48" s="19">
        <f>JUL!J48</f>
        <v/>
      </c>
      <c r="P48" s="19">
        <f>AUG!J48</f>
        <v/>
      </c>
      <c r="Q48" s="19">
        <f>SEP!J48</f>
        <v/>
      </c>
      <c r="R48" s="20">
        <f>IF(COUNT(R46:R47)=0,"",SUM(R46:R47))</f>
        <v/>
      </c>
      <c r="S48" s="20">
        <f>IF(COUNT(S46:S47)=0,"",SUM(S46:S47))</f>
        <v/>
      </c>
    </row>
    <row r="49" ht="18.75" customHeight="1">
      <c r="A49" s="3" t="n"/>
      <c r="B49" s="18" t="inlineStr">
        <is>
          <t>Weight factor</t>
        </is>
      </c>
      <c r="C49" s="19">
        <f>OCT!J49</f>
        <v/>
      </c>
      <c r="D49" s="19">
        <f>NOV!J49</f>
        <v/>
      </c>
      <c r="E49" s="19">
        <f>DEC!J49</f>
        <v/>
      </c>
      <c r="F49" s="20">
        <f>IFERROR(AVERAGE(C49:E49),"")</f>
        <v/>
      </c>
      <c r="G49" s="19">
        <f>JAN!J49</f>
        <v/>
      </c>
      <c r="H49" s="19">
        <f>FEB!J49</f>
        <v/>
      </c>
      <c r="I49" s="19">
        <f>MAR!J49</f>
        <v/>
      </c>
      <c r="J49" s="20">
        <f>IFERROR(AVERAGE(G49:I49),"")</f>
        <v/>
      </c>
      <c r="K49" s="19">
        <f>APR!J49</f>
        <v/>
      </c>
      <c r="L49" s="19">
        <f>MAY!J49</f>
        <v/>
      </c>
      <c r="M49" s="19">
        <f>JUN!J49</f>
        <v/>
      </c>
      <c r="N49" s="20">
        <f>IFERROR(AVERAGE(K49:M49),"")</f>
        <v/>
      </c>
      <c r="O49" s="19">
        <f>JUL!J49</f>
        <v/>
      </c>
      <c r="P49" s="19">
        <f>AUG!J49</f>
        <v/>
      </c>
      <c r="Q49" s="19">
        <f>SEP!J49</f>
        <v/>
      </c>
      <c r="R49" s="20">
        <f>IFERROR(AVERAGE(O49:Q49),"")</f>
        <v/>
      </c>
      <c r="S49" s="20">
        <f>IFERROR(AVERAGE(C49:E49,G49:I49,K49:M49,O49:Q49),"")</f>
        <v/>
      </c>
    </row>
    <row r="50" ht="18.75" customHeight="1">
      <c r="A50" s="3" t="n"/>
      <c r="B50" s="10" t="inlineStr">
        <is>
          <t>Leadership (Hours)</t>
        </is>
      </c>
      <c r="C50" s="14">
        <f>OCT!J50</f>
        <v/>
      </c>
      <c r="D50" s="14">
        <f>NOV!J50</f>
        <v/>
      </c>
      <c r="E50" s="14">
        <f>DEC!J50</f>
        <v/>
      </c>
      <c r="F50" s="15">
        <f>IF(COUNT(C50:E50)=0,"",SUM(C50:E50))</f>
        <v/>
      </c>
      <c r="G50" s="14">
        <f>JAN!J50</f>
        <v/>
      </c>
      <c r="H50" s="14">
        <f>FEB!J50</f>
        <v/>
      </c>
      <c r="I50" s="14">
        <f>MAR!J50</f>
        <v/>
      </c>
      <c r="J50" s="15">
        <f>IF(COUNT(G50:I50)=0,"",SUM(G50:I50))</f>
        <v/>
      </c>
      <c r="K50" s="14">
        <f>APR!J50</f>
        <v/>
      </c>
      <c r="L50" s="14">
        <f>MAY!J50</f>
        <v/>
      </c>
      <c r="M50" s="14">
        <f>JUN!J50</f>
        <v/>
      </c>
      <c r="N50" s="15">
        <f>IF(COUNT(K50:M50)=0,"",SUM(K50:M50))</f>
        <v/>
      </c>
      <c r="O50" s="14">
        <f>JUL!J50</f>
        <v/>
      </c>
      <c r="P50" s="14">
        <f>AUG!J50</f>
        <v/>
      </c>
      <c r="Q50" s="14">
        <f>SEP!J50</f>
        <v/>
      </c>
      <c r="R50" s="15">
        <f>IF(COUNT(O50:Q50)=0,"",SUM(O50:Q50))</f>
        <v/>
      </c>
      <c r="S50" s="15">
        <f>IF(COUNT(C50:E50,G50:I50,K50:M50,O50:Q50)=0,"",SUM(C50:E50,G50:I50,K50:M50,O50:Q50))</f>
        <v/>
      </c>
    </row>
    <row r="51" ht="18.75" customHeight="1">
      <c r="A51" s="3" t="n"/>
      <c r="B51" s="10" t="inlineStr">
        <is>
          <t>Technical (Hours)</t>
        </is>
      </c>
      <c r="C51" s="14">
        <f>OCT!J51</f>
        <v/>
      </c>
      <c r="D51" s="14">
        <f>NOV!J51</f>
        <v/>
      </c>
      <c r="E51" s="14">
        <f>DEC!J51</f>
        <v/>
      </c>
      <c r="F51" s="15">
        <f>IF(COUNT(C51:E51)=0,"",SUM(C51:E51))</f>
        <v/>
      </c>
      <c r="G51" s="14">
        <f>JAN!J51</f>
        <v/>
      </c>
      <c r="H51" s="14">
        <f>FEB!J51</f>
        <v/>
      </c>
      <c r="I51" s="14">
        <f>MAR!J51</f>
        <v/>
      </c>
      <c r="J51" s="15">
        <f>IF(COUNT(G51:I51)=0,"",SUM(G51:I51))</f>
        <v/>
      </c>
      <c r="K51" s="14">
        <f>APR!J51</f>
        <v/>
      </c>
      <c r="L51" s="14">
        <f>MAY!J51</f>
        <v/>
      </c>
      <c r="M51" s="14">
        <f>JUN!J51</f>
        <v/>
      </c>
      <c r="N51" s="15">
        <f>IF(COUNT(K51:M51)=0,"",SUM(K51:M51))</f>
        <v/>
      </c>
      <c r="O51" s="14">
        <f>JUL!J51</f>
        <v/>
      </c>
      <c r="P51" s="14">
        <f>AUG!J51</f>
        <v/>
      </c>
      <c r="Q51" s="14">
        <f>SEP!J51</f>
        <v/>
      </c>
      <c r="R51" s="15">
        <f>IF(COUNT(O51:Q51)=0,"",SUM(O51:Q51))</f>
        <v/>
      </c>
      <c r="S51" s="15">
        <f>IF(COUNT(C51:E51,G51:I51,K51:M51,O51:Q51)=0,"",SUM(C51:E51,G51:I51,K51:M51,O51:Q51))</f>
        <v/>
      </c>
    </row>
    <row r="52" ht="18.75" customHeight="1">
      <c r="A52" s="3" t="n"/>
      <c r="B52" s="10" t="inlineStr">
        <is>
          <t>Professional Develop. (Hours)</t>
        </is>
      </c>
      <c r="C52" s="14">
        <f>OCT!J52</f>
        <v/>
      </c>
      <c r="D52" s="14">
        <f>NOV!J52</f>
        <v/>
      </c>
      <c r="E52" s="14">
        <f>DEC!J52</f>
        <v/>
      </c>
      <c r="F52" s="15">
        <f>IF(COUNT(C52:E52)=0,"",SUM(C52:E52))</f>
        <v/>
      </c>
      <c r="G52" s="14">
        <f>JAN!J52</f>
        <v/>
      </c>
      <c r="H52" s="14">
        <f>FEB!J52</f>
        <v/>
      </c>
      <c r="I52" s="14">
        <f>MAR!J52</f>
        <v/>
      </c>
      <c r="J52" s="15">
        <f>IF(COUNT(G52:I52)=0,"",SUM(G52:I52))</f>
        <v/>
      </c>
      <c r="K52" s="14">
        <f>APR!J52</f>
        <v/>
      </c>
      <c r="L52" s="14">
        <f>MAY!J52</f>
        <v/>
      </c>
      <c r="M52" s="14">
        <f>JUN!J52</f>
        <v/>
      </c>
      <c r="N52" s="15">
        <f>IF(COUNT(K52:M52)=0,"",SUM(K52:M52))</f>
        <v/>
      </c>
      <c r="O52" s="14">
        <f>JUL!J52</f>
        <v/>
      </c>
      <c r="P52" s="14">
        <f>AUG!J52</f>
        <v/>
      </c>
      <c r="Q52" s="14">
        <f>SEP!J52</f>
        <v/>
      </c>
      <c r="R52" s="15">
        <f>IF(COUNT(O52:Q52)=0,"",SUM(O52:Q52))</f>
        <v/>
      </c>
      <c r="S52" s="15">
        <f>IF(COUNT(C52:E52,G52:I52,K52:M52,O52:Q52)=0,"",SUM(C52:E52,G52:I52,K52:M52,O52:Q52))</f>
        <v/>
      </c>
    </row>
    <row r="53" ht="18.75" customHeight="1">
      <c r="A53" s="3" t="n"/>
      <c r="B53" s="10" t="inlineStr">
        <is>
          <t>HSSE (Hours)</t>
        </is>
      </c>
      <c r="C53" s="14">
        <f>OCT!J53</f>
        <v/>
      </c>
      <c r="D53" s="14">
        <f>NOV!J53</f>
        <v/>
      </c>
      <c r="E53" s="14">
        <f>DEC!J53</f>
        <v/>
      </c>
      <c r="F53" s="15">
        <f>IF(COUNT(C53:E53)=0,"",SUM(C53:E53))</f>
        <v/>
      </c>
      <c r="G53" s="14">
        <f>JAN!J53</f>
        <v/>
      </c>
      <c r="H53" s="14">
        <f>FEB!J53</f>
        <v/>
      </c>
      <c r="I53" s="14">
        <f>MAR!J53</f>
        <v/>
      </c>
      <c r="J53" s="15">
        <f>IF(COUNT(G53:I53)=0,"",SUM(G53:I53))</f>
        <v/>
      </c>
      <c r="K53" s="14">
        <f>APR!J53</f>
        <v/>
      </c>
      <c r="L53" s="14">
        <f>MAY!J53</f>
        <v/>
      </c>
      <c r="M53" s="14">
        <f>JUN!J53</f>
        <v/>
      </c>
      <c r="N53" s="15">
        <f>IF(COUNT(K53:M53)=0,"",SUM(K53:M53))</f>
        <v/>
      </c>
      <c r="O53" s="14">
        <f>JUL!J53</f>
        <v/>
      </c>
      <c r="P53" s="14">
        <f>AUG!J53</f>
        <v/>
      </c>
      <c r="Q53" s="14">
        <f>SEP!J53</f>
        <v/>
      </c>
      <c r="R53" s="15">
        <f>IF(COUNT(O53:Q53)=0,"",SUM(O53:Q53))</f>
        <v/>
      </c>
      <c r="S53" s="15">
        <f>IF(COUNT(C53:E53,G53:I53,K53:M53,O53:Q53)=0,"",SUM(C53:E53,G53:I53,K53:M53,O53:Q53))</f>
        <v/>
      </c>
    </row>
    <row r="54" ht="18.75" customHeight="1">
      <c r="A54" s="3" t="n"/>
      <c r="B54" s="10" t="inlineStr">
        <is>
          <t>Workday (Hours)</t>
        </is>
      </c>
      <c r="C54" s="14">
        <f>OCT!J54</f>
        <v/>
      </c>
      <c r="D54" s="14">
        <f>NOV!J54</f>
        <v/>
      </c>
      <c r="E54" s="14">
        <f>DEC!J54</f>
        <v/>
      </c>
      <c r="F54" s="15">
        <f>IF(COUNT(C54:E54)=0,"",SUM(C54:E54))</f>
        <v/>
      </c>
      <c r="G54" s="14">
        <f>JAN!J54</f>
        <v/>
      </c>
      <c r="H54" s="14">
        <f>FEB!J54</f>
        <v/>
      </c>
      <c r="I54" s="14">
        <f>MAR!J54</f>
        <v/>
      </c>
      <c r="J54" s="15">
        <f>IF(COUNT(G54:I54)=0,"",SUM(G54:I54))</f>
        <v/>
      </c>
      <c r="K54" s="14">
        <f>APR!J54</f>
        <v/>
      </c>
      <c r="L54" s="14">
        <f>MAY!J54</f>
        <v/>
      </c>
      <c r="M54" s="14">
        <f>JUN!J54</f>
        <v/>
      </c>
      <c r="N54" s="15">
        <f>IF(COUNT(K54:M54)=0,"",SUM(K54:M54))</f>
        <v/>
      </c>
      <c r="O54" s="14">
        <f>JUL!J54</f>
        <v/>
      </c>
      <c r="P54" s="14">
        <f>AUG!J54</f>
        <v/>
      </c>
      <c r="Q54" s="14">
        <f>SEP!J54</f>
        <v/>
      </c>
      <c r="R54" s="15">
        <f>IF(COUNT(O54:Q54)=0,"",SUM(O54:Q54))</f>
        <v/>
      </c>
      <c r="S54" s="15">
        <f>IF(COUNT(C54:E54,G54:I54,K54:M54,O54:Q54)=0,"",SUM(C54:E54,G54:I54,K54:M54,O54:Q54))</f>
        <v/>
      </c>
    </row>
    <row r="55" ht="18.75" customHeight="1">
      <c r="A55" s="3" t="n"/>
      <c r="B55" s="13" t="inlineStr">
        <is>
          <t>Total Training Hours</t>
        </is>
      </c>
      <c r="C55" s="14">
        <f>OCT!J55</f>
        <v/>
      </c>
      <c r="D55" s="14">
        <f>NOV!J55</f>
        <v/>
      </c>
      <c r="E55" s="14">
        <f>DEC!J55</f>
        <v/>
      </c>
      <c r="F55" s="15">
        <f>IF(COUNT(F50:F54)=0,"",SUM(F50:F54))</f>
        <v/>
      </c>
      <c r="G55" s="14">
        <f>JAN!J55</f>
        <v/>
      </c>
      <c r="H55" s="14">
        <f>FEB!J55</f>
        <v/>
      </c>
      <c r="I55" s="14">
        <f>MAR!J55</f>
        <v/>
      </c>
      <c r="J55" s="15">
        <f>IF(COUNT(J50:J54)=0,"",SUM(J50:J54))</f>
        <v/>
      </c>
      <c r="K55" s="14">
        <f>APR!J55</f>
        <v/>
      </c>
      <c r="L55" s="14">
        <f>MAY!J55</f>
        <v/>
      </c>
      <c r="M55" s="14">
        <f>JUN!J55</f>
        <v/>
      </c>
      <c r="N55" s="15">
        <f>IF(COUNT(N50:N54)=0,"",SUM(N50:N54))</f>
        <v/>
      </c>
      <c r="O55" s="14">
        <f>JUL!J55</f>
        <v/>
      </c>
      <c r="P55" s="14">
        <f>AUG!J55</f>
        <v/>
      </c>
      <c r="Q55" s="14">
        <f>SEP!J55</f>
        <v/>
      </c>
      <c r="R55" s="15">
        <f>IF(COUNT(R50:R54)=0,"",SUM(R50:R54))</f>
        <v/>
      </c>
      <c r="S55" s="15">
        <f>IF(COUNT(S50:S54)=0,"",SUM(S50:S54))</f>
        <v/>
      </c>
    </row>
    <row r="56" ht="18.75" customHeight="1">
      <c r="A56" s="3" t="n"/>
      <c r="B56" s="10" t="inlineStr">
        <is>
          <t>Total Trained (Staff)</t>
        </is>
      </c>
      <c r="C56" s="14">
        <f>OCT!J56</f>
        <v/>
      </c>
      <c r="D56" s="14">
        <f>NOV!J56</f>
        <v/>
      </c>
      <c r="E56" s="14">
        <f>DEC!J56</f>
        <v/>
      </c>
      <c r="F56" s="15">
        <f>IF(COUNT(C56:E56)=0,"",SUM(C56:E56))</f>
        <v/>
      </c>
      <c r="G56" s="14">
        <f>JAN!J56</f>
        <v/>
      </c>
      <c r="H56" s="14">
        <f>FEB!J56</f>
        <v/>
      </c>
      <c r="I56" s="14">
        <f>MAR!J56</f>
        <v/>
      </c>
      <c r="J56" s="15">
        <f>IF(COUNT(G56:I56)=0,"",SUM(G56:I56))</f>
        <v/>
      </c>
      <c r="K56" s="14">
        <f>APR!J56</f>
        <v/>
      </c>
      <c r="L56" s="14">
        <f>MAY!J56</f>
        <v/>
      </c>
      <c r="M56" s="14">
        <f>JUN!J56</f>
        <v/>
      </c>
      <c r="N56" s="15">
        <f>IF(COUNT(K56:M56)=0,"",SUM(K56:M56))</f>
        <v/>
      </c>
      <c r="O56" s="14">
        <f>JUL!J56</f>
        <v/>
      </c>
      <c r="P56" s="14">
        <f>AUG!J56</f>
        <v/>
      </c>
      <c r="Q56" s="14">
        <f>SEP!J56</f>
        <v/>
      </c>
      <c r="R56" s="15">
        <f>IF(COUNT(O56:Q56)=0,"",SUM(O56:Q56))</f>
        <v/>
      </c>
      <c r="S56" s="15">
        <f>IF(COUNT(C56:E56,G56:I56,K56:M56,O56:Q56)=0,"",SUM(C56:E56,G56:I56,K56:M56,O56:Q56))</f>
        <v/>
      </c>
    </row>
    <row r="57" ht="18.75" customHeight="1">
      <c r="A57" s="3" t="n"/>
      <c r="B57" s="10" t="inlineStr">
        <is>
          <t>Training Programs (#)</t>
        </is>
      </c>
      <c r="C57" s="14">
        <f>OCT!J57</f>
        <v/>
      </c>
      <c r="D57" s="14">
        <f>NOV!J57</f>
        <v/>
      </c>
      <c r="E57" s="14">
        <f>DEC!J57</f>
        <v/>
      </c>
      <c r="F57" s="15">
        <f>IF(COUNT(C57:E57)=0,"",SUM(C57:E57))</f>
        <v/>
      </c>
      <c r="G57" s="14">
        <f>JAN!J57</f>
        <v/>
      </c>
      <c r="H57" s="14">
        <f>FEB!J57</f>
        <v/>
      </c>
      <c r="I57" s="14">
        <f>MAR!J57</f>
        <v/>
      </c>
      <c r="J57" s="15">
        <f>IF(COUNT(G57:I57)=0,"",SUM(G57:I57))</f>
        <v/>
      </c>
      <c r="K57" s="14">
        <f>APR!J57</f>
        <v/>
      </c>
      <c r="L57" s="14">
        <f>MAY!J57</f>
        <v/>
      </c>
      <c r="M57" s="14">
        <f>JUN!J57</f>
        <v/>
      </c>
      <c r="N57" s="15">
        <f>IF(COUNT(K57:M57)=0,"",SUM(K57:M57))</f>
        <v/>
      </c>
      <c r="O57" s="14">
        <f>JUL!J57</f>
        <v/>
      </c>
      <c r="P57" s="14">
        <f>AUG!J57</f>
        <v/>
      </c>
      <c r="Q57" s="14">
        <f>SEP!J57</f>
        <v/>
      </c>
      <c r="R57" s="15">
        <f>IF(COUNT(O57:Q57)=0,"",SUM(O57:Q57))</f>
        <v/>
      </c>
      <c r="S57" s="15">
        <f>IF(COUNT(C57:E57,G57:I57,K57:M57,O57:Q57)=0,"",SUM(C57:E57,G57:I57,K57:M57,O57:Q57))</f>
        <v/>
      </c>
    </row>
    <row r="58" ht="18.75" customHeight="1">
      <c r="A58" s="3" t="n"/>
      <c r="B58" s="10" t="inlineStr">
        <is>
          <t>Training  Cost (USD)</t>
        </is>
      </c>
      <c r="C58" s="14">
        <f>OCT!J58</f>
        <v/>
      </c>
      <c r="D58" s="14">
        <f>NOV!J58</f>
        <v/>
      </c>
      <c r="E58" s="14">
        <f>DEC!J58</f>
        <v/>
      </c>
      <c r="F58" s="15">
        <f>IF(COUNT(C58:E58)=0,"",SUM(C58:E58))</f>
        <v/>
      </c>
      <c r="G58" s="14">
        <f>JAN!J58</f>
        <v/>
      </c>
      <c r="H58" s="14">
        <f>FEB!J58</f>
        <v/>
      </c>
      <c r="I58" s="14">
        <f>MAR!J58</f>
        <v/>
      </c>
      <c r="J58" s="15">
        <f>IF(COUNT(G58:I58)=0,"",SUM(G58:I58))</f>
        <v/>
      </c>
      <c r="K58" s="14">
        <f>APR!J58</f>
        <v/>
      </c>
      <c r="L58" s="14">
        <f>MAY!J58</f>
        <v/>
      </c>
      <c r="M58" s="14">
        <f>JUN!J58</f>
        <v/>
      </c>
      <c r="N58" s="15">
        <f>IF(COUNT(K58:M58)=0,"",SUM(K58:M58))</f>
        <v/>
      </c>
      <c r="O58" s="14">
        <f>JUL!J58</f>
        <v/>
      </c>
      <c r="P58" s="14">
        <f>AUG!J58</f>
        <v/>
      </c>
      <c r="Q58" s="14">
        <f>SEP!J58</f>
        <v/>
      </c>
      <c r="R58" s="15">
        <f>IF(COUNT(O58:Q58)=0,"",SUM(O58:Q58))</f>
        <v/>
      </c>
      <c r="S58" s="15">
        <f>IF(COUNT(C58:E58,G58:I58,K58:M58,O58:Q58)=0,"",SUM(C58:E58,G58:I58,K58:M58,O58:Q58))</f>
        <v/>
      </c>
    </row>
    <row r="59" ht="18.75" customHeight="1">
      <c r="A59" s="3" t="n"/>
      <c r="B59" s="10" t="inlineStr">
        <is>
          <t>Training Travel Cost (USD)</t>
        </is>
      </c>
      <c r="C59" s="14">
        <f>OCT!J59</f>
        <v/>
      </c>
      <c r="D59" s="14">
        <f>NOV!J59</f>
        <v/>
      </c>
      <c r="E59" s="14">
        <f>DEC!J59</f>
        <v/>
      </c>
      <c r="F59" s="15">
        <f>IF(COUNT(C59:E59)=0,"",SUM(C59:E59))</f>
        <v/>
      </c>
      <c r="G59" s="14">
        <f>JAN!J59</f>
        <v/>
      </c>
      <c r="H59" s="14">
        <f>FEB!J59</f>
        <v/>
      </c>
      <c r="I59" s="14">
        <f>MAR!J59</f>
        <v/>
      </c>
      <c r="J59" s="15">
        <f>IF(COUNT(G59:I59)=0,"",SUM(G59:I59))</f>
        <v/>
      </c>
      <c r="K59" s="14">
        <f>APR!J59</f>
        <v/>
      </c>
      <c r="L59" s="14">
        <f>MAY!J59</f>
        <v/>
      </c>
      <c r="M59" s="14">
        <f>JUN!J59</f>
        <v/>
      </c>
      <c r="N59" s="15">
        <f>IF(COUNT(K59:M59)=0,"",SUM(K59:M59))</f>
        <v/>
      </c>
      <c r="O59" s="14">
        <f>JUL!J59</f>
        <v/>
      </c>
      <c r="P59" s="14">
        <f>AUG!J59</f>
        <v/>
      </c>
      <c r="Q59" s="14">
        <f>SEP!J59</f>
        <v/>
      </c>
      <c r="R59" s="15">
        <f>IF(COUNT(O59:Q59)=0,"",SUM(O59:Q59))</f>
        <v/>
      </c>
      <c r="S59" s="15">
        <f>IF(COUNT(C59:E59,G59:I59,K59:M59,O59:Q59)=0,"",SUM(C59:E59,G59:I59,K59:M59,O59:Q59))</f>
        <v/>
      </c>
    </row>
    <row r="60" ht="18.75" customHeight="1">
      <c r="A60" s="3" t="n"/>
      <c r="B60" s="13" t="inlineStr">
        <is>
          <t>Leadership Hours Trained (%)</t>
        </is>
      </c>
      <c r="C60" s="19">
        <f>OCT!J60</f>
        <v/>
      </c>
      <c r="D60" s="19">
        <f>NOV!J60</f>
        <v/>
      </c>
      <c r="E60" s="19">
        <f>DEC!J60</f>
        <v/>
      </c>
      <c r="F60" s="20">
        <f>IFERROR(F50/F$55,"")</f>
        <v/>
      </c>
      <c r="G60" s="19">
        <f>JAN!J60</f>
        <v/>
      </c>
      <c r="H60" s="19">
        <f>FEB!J60</f>
        <v/>
      </c>
      <c r="I60" s="19">
        <f>MAR!J60</f>
        <v/>
      </c>
      <c r="J60" s="20">
        <f>IFERROR(J50/J$55,"")</f>
        <v/>
      </c>
      <c r="K60" s="19">
        <f>APR!J60</f>
        <v/>
      </c>
      <c r="L60" s="19">
        <f>MAY!J60</f>
        <v/>
      </c>
      <c r="M60" s="19">
        <f>JUN!J60</f>
        <v/>
      </c>
      <c r="N60" s="20">
        <f>IFERROR(N50/N$55,"")</f>
        <v/>
      </c>
      <c r="O60" s="19">
        <f>JUL!J60</f>
        <v/>
      </c>
      <c r="P60" s="19">
        <f>AUG!J60</f>
        <v/>
      </c>
      <c r="Q60" s="19">
        <f>SEP!J60</f>
        <v/>
      </c>
      <c r="R60" s="20">
        <f>IFERROR(R50/R$55,"")</f>
        <v/>
      </c>
      <c r="S60" s="20">
        <f>IFERROR(S50/S$55,"")</f>
        <v/>
      </c>
    </row>
    <row r="61" ht="18.75" customHeight="1">
      <c r="A61" s="3" t="n"/>
      <c r="B61" s="13" t="inlineStr">
        <is>
          <t>Technical Hours Trained (%)</t>
        </is>
      </c>
      <c r="C61" s="19">
        <f>OCT!J61</f>
        <v/>
      </c>
      <c r="D61" s="19">
        <f>NOV!J61</f>
        <v/>
      </c>
      <c r="E61" s="19">
        <f>DEC!J61</f>
        <v/>
      </c>
      <c r="F61" s="20">
        <f>IFERROR(F51/F$55,"")</f>
        <v/>
      </c>
      <c r="G61" s="19">
        <f>JAN!J61</f>
        <v/>
      </c>
      <c r="H61" s="19">
        <f>FEB!J61</f>
        <v/>
      </c>
      <c r="I61" s="19">
        <f>MAR!J61</f>
        <v/>
      </c>
      <c r="J61" s="20">
        <f>IFERROR(J51/J$55,"")</f>
        <v/>
      </c>
      <c r="K61" s="19">
        <f>APR!J61</f>
        <v/>
      </c>
      <c r="L61" s="19">
        <f>MAY!J61</f>
        <v/>
      </c>
      <c r="M61" s="19">
        <f>JUN!J61</f>
        <v/>
      </c>
      <c r="N61" s="20">
        <f>IFERROR(N51/N$55,"")</f>
        <v/>
      </c>
      <c r="O61" s="19">
        <f>JUL!J61</f>
        <v/>
      </c>
      <c r="P61" s="19">
        <f>AUG!J61</f>
        <v/>
      </c>
      <c r="Q61" s="19">
        <f>SEP!J61</f>
        <v/>
      </c>
      <c r="R61" s="20">
        <f>IFERROR(R51/R$55,"")</f>
        <v/>
      </c>
      <c r="S61" s="20">
        <f>IFERROR(S51/S$55,"")</f>
        <v/>
      </c>
    </row>
    <row r="62" ht="18.75" customHeight="1">
      <c r="A62" s="3" t="n"/>
      <c r="B62" s="13" t="inlineStr">
        <is>
          <t>Profess. Dev. Hours Trained (%)</t>
        </is>
      </c>
      <c r="C62" s="19">
        <f>OCT!J62</f>
        <v/>
      </c>
      <c r="D62" s="19">
        <f>NOV!J62</f>
        <v/>
      </c>
      <c r="E62" s="19">
        <f>DEC!J62</f>
        <v/>
      </c>
      <c r="F62" s="20">
        <f>IFERROR(F52/F$55,"")</f>
        <v/>
      </c>
      <c r="G62" s="19">
        <f>JAN!J62</f>
        <v/>
      </c>
      <c r="H62" s="19">
        <f>FEB!J62</f>
        <v/>
      </c>
      <c r="I62" s="19">
        <f>MAR!J62</f>
        <v/>
      </c>
      <c r="J62" s="20">
        <f>IFERROR(J52/J$55,"")</f>
        <v/>
      </c>
      <c r="K62" s="19">
        <f>APR!J62</f>
        <v/>
      </c>
      <c r="L62" s="19">
        <f>MAY!J62</f>
        <v/>
      </c>
      <c r="M62" s="19">
        <f>JUN!J62</f>
        <v/>
      </c>
      <c r="N62" s="20">
        <f>IFERROR(N52/N$55,"")</f>
        <v/>
      </c>
      <c r="O62" s="19">
        <f>JUL!J62</f>
        <v/>
      </c>
      <c r="P62" s="19">
        <f>AUG!J62</f>
        <v/>
      </c>
      <c r="Q62" s="19">
        <f>SEP!J62</f>
        <v/>
      </c>
      <c r="R62" s="20">
        <f>IFERROR(R52/R$55,"")</f>
        <v/>
      </c>
      <c r="S62" s="20">
        <f>IFERROR(S52/S$55,"")</f>
        <v/>
      </c>
    </row>
    <row r="63" ht="18.75" customHeight="1">
      <c r="A63" s="3" t="n"/>
      <c r="B63" s="13" t="inlineStr">
        <is>
          <t>HSSE Hours Trained (%)</t>
        </is>
      </c>
      <c r="C63" s="19">
        <f>OCT!J63</f>
        <v/>
      </c>
      <c r="D63" s="19">
        <f>NOV!J63</f>
        <v/>
      </c>
      <c r="E63" s="19">
        <f>DEC!J63</f>
        <v/>
      </c>
      <c r="F63" s="20">
        <f>IFERROR(F53/F$55,"")</f>
        <v/>
      </c>
      <c r="G63" s="19">
        <f>JAN!J63</f>
        <v/>
      </c>
      <c r="H63" s="19">
        <f>FEB!J63</f>
        <v/>
      </c>
      <c r="I63" s="19">
        <f>MAR!J63</f>
        <v/>
      </c>
      <c r="J63" s="20">
        <f>IFERROR(J53/J$55,"")</f>
        <v/>
      </c>
      <c r="K63" s="19">
        <f>APR!J63</f>
        <v/>
      </c>
      <c r="L63" s="19">
        <f>MAY!J63</f>
        <v/>
      </c>
      <c r="M63" s="19">
        <f>JUN!J63</f>
        <v/>
      </c>
      <c r="N63" s="20">
        <f>IFERROR(N53/N$55,"")</f>
        <v/>
      </c>
      <c r="O63" s="19">
        <f>JUL!J63</f>
        <v/>
      </c>
      <c r="P63" s="19">
        <f>AUG!J63</f>
        <v/>
      </c>
      <c r="Q63" s="19">
        <f>SEP!J63</f>
        <v/>
      </c>
      <c r="R63" s="20">
        <f>IFERROR(R53/R$55,"")</f>
        <v/>
      </c>
      <c r="S63" s="20">
        <f>IFERROR(S53/S$55,"")</f>
        <v/>
      </c>
    </row>
    <row r="64" ht="18.75" customHeight="1">
      <c r="A64" s="3" t="n"/>
      <c r="B64" s="13" t="inlineStr">
        <is>
          <t>Workday Hours Trained (%)</t>
        </is>
      </c>
      <c r="C64" s="19">
        <f>OCT!J64</f>
        <v/>
      </c>
      <c r="D64" s="19">
        <f>NOV!J64</f>
        <v/>
      </c>
      <c r="E64" s="19">
        <f>DEC!J64</f>
        <v/>
      </c>
      <c r="F64" s="20">
        <f>IFERROR(F54/F$55,"")</f>
        <v/>
      </c>
      <c r="G64" s="19">
        <f>JAN!J64</f>
        <v/>
      </c>
      <c r="H64" s="19">
        <f>FEB!J64</f>
        <v/>
      </c>
      <c r="I64" s="19">
        <f>MAR!J64</f>
        <v/>
      </c>
      <c r="J64" s="20">
        <f>IFERROR(J54/J$55,"")</f>
        <v/>
      </c>
      <c r="K64" s="19">
        <f>APR!J64</f>
        <v/>
      </c>
      <c r="L64" s="19">
        <f>MAY!J64</f>
        <v/>
      </c>
      <c r="M64" s="19">
        <f>JUN!J64</f>
        <v/>
      </c>
      <c r="N64" s="20">
        <f>IFERROR(N54/N$55,"")</f>
        <v/>
      </c>
      <c r="O64" s="19">
        <f>JUL!J64</f>
        <v/>
      </c>
      <c r="P64" s="19">
        <f>AUG!J64</f>
        <v/>
      </c>
      <c r="Q64" s="19">
        <f>SEP!J64</f>
        <v/>
      </c>
      <c r="R64" s="20">
        <f>IFERROR(R54/R$55,"")</f>
        <v/>
      </c>
      <c r="S64" s="20">
        <f>IFERROR(S54/S$55,"")</f>
        <v/>
      </c>
    </row>
    <row r="65" ht="18.75" customHeight="1">
      <c r="A65" s="3" t="n"/>
      <c r="B65" s="13" t="inlineStr">
        <is>
          <t>Staff Trained (%)</t>
        </is>
      </c>
      <c r="C65" s="19">
        <f>OCT!J65</f>
        <v/>
      </c>
      <c r="D65" s="19">
        <f>NOV!J65</f>
        <v/>
      </c>
      <c r="E65" s="19">
        <f>DEC!J65</f>
        <v/>
      </c>
      <c r="F65" s="20">
        <f>IFERROR(F56/SUM(C5:E5),"")</f>
        <v/>
      </c>
      <c r="G65" s="19">
        <f>JAN!J65</f>
        <v/>
      </c>
      <c r="H65" s="19">
        <f>FEB!J65</f>
        <v/>
      </c>
      <c r="I65" s="19">
        <f>MAR!J65</f>
        <v/>
      </c>
      <c r="J65" s="20">
        <f>IFERROR(J56/SUM(G5:I5),"")</f>
        <v/>
      </c>
      <c r="K65" s="19">
        <f>APR!J65</f>
        <v/>
      </c>
      <c r="L65" s="19">
        <f>MAY!J65</f>
        <v/>
      </c>
      <c r="M65" s="19">
        <f>JUN!J65</f>
        <v/>
      </c>
      <c r="N65" s="20">
        <f>IFERROR(N56/SUM(K5:M5),"")</f>
        <v/>
      </c>
      <c r="O65" s="19">
        <f>JUL!J65</f>
        <v/>
      </c>
      <c r="P65" s="19">
        <f>AUG!J65</f>
        <v/>
      </c>
      <c r="Q65" s="19">
        <f>SEP!J65</f>
        <v/>
      </c>
      <c r="R65" s="20">
        <f>IFERROR(R56/SUM(O5:Q5),"")</f>
        <v/>
      </c>
      <c r="S65" s="20">
        <f>IFERROR(S56/SUM(C5:E5,G5:I5,K5:M5,O5:Q5),"")</f>
        <v/>
      </c>
    </row>
    <row r="66" ht="18.75" customHeight="1">
      <c r="A66" s="3" t="n"/>
      <c r="B66" s="18" t="inlineStr">
        <is>
          <t>Training Hours / EE</t>
        </is>
      </c>
      <c r="C66" s="16">
        <f>OCT!J66</f>
        <v/>
      </c>
      <c r="D66" s="16">
        <f>NOV!J66</f>
        <v/>
      </c>
      <c r="E66" s="16">
        <f>DEC!J66</f>
        <v/>
      </c>
      <c r="F66" s="17">
        <f>IFERROR(F55/F5,"")</f>
        <v/>
      </c>
      <c r="G66" s="16">
        <f>JAN!J66</f>
        <v/>
      </c>
      <c r="H66" s="16">
        <f>FEB!J66</f>
        <v/>
      </c>
      <c r="I66" s="16">
        <f>MAR!J66</f>
        <v/>
      </c>
      <c r="J66" s="17">
        <f>IFERROR(J55/J5,"")</f>
        <v/>
      </c>
      <c r="K66" s="16">
        <f>APR!J66</f>
        <v/>
      </c>
      <c r="L66" s="16">
        <f>MAY!J66</f>
        <v/>
      </c>
      <c r="M66" s="16">
        <f>JUN!J66</f>
        <v/>
      </c>
      <c r="N66" s="17">
        <f>IFERROR(N55/N5,"")</f>
        <v/>
      </c>
      <c r="O66" s="16">
        <f>JUL!J66</f>
        <v/>
      </c>
      <c r="P66" s="16">
        <f>AUG!J66</f>
        <v/>
      </c>
      <c r="Q66" s="16">
        <f>SEP!J66</f>
        <v/>
      </c>
      <c r="R66" s="17">
        <f>IFERROR(R55/R5,"")</f>
        <v/>
      </c>
      <c r="S66" s="17">
        <f>IFERROR(S55/S5,"")</f>
        <v/>
      </c>
    </row>
    <row r="67" ht="18.75" customHeight="1">
      <c r="A67" s="3" t="n"/>
      <c r="B67" s="18" t="inlineStr">
        <is>
          <t>Training Hours / EE Trained</t>
        </is>
      </c>
      <c r="C67" s="16">
        <f>OCT!J67</f>
        <v/>
      </c>
      <c r="D67" s="16">
        <f>NOV!J67</f>
        <v/>
      </c>
      <c r="E67" s="16">
        <f>DEC!J67</f>
        <v/>
      </c>
      <c r="F67" s="17">
        <f>IFERROR(F55/F56,"")</f>
        <v/>
      </c>
      <c r="G67" s="16">
        <f>JAN!J67</f>
        <v/>
      </c>
      <c r="H67" s="16">
        <f>FEB!J67</f>
        <v/>
      </c>
      <c r="I67" s="16">
        <f>MAR!J67</f>
        <v/>
      </c>
      <c r="J67" s="17">
        <f>IFERROR(J55/J56,"")</f>
        <v/>
      </c>
      <c r="K67" s="16">
        <f>APR!J67</f>
        <v/>
      </c>
      <c r="L67" s="16">
        <f>MAY!J67</f>
        <v/>
      </c>
      <c r="M67" s="16">
        <f>JUN!J67</f>
        <v/>
      </c>
      <c r="N67" s="17">
        <f>IFERROR(N55/N56,"")</f>
        <v/>
      </c>
      <c r="O67" s="16">
        <f>JUL!J67</f>
        <v/>
      </c>
      <c r="P67" s="16">
        <f>AUG!J67</f>
        <v/>
      </c>
      <c r="Q67" s="16">
        <f>SEP!J67</f>
        <v/>
      </c>
      <c r="R67" s="17">
        <f>IFERROR(R55/R56,"")</f>
        <v/>
      </c>
      <c r="S67" s="17">
        <f>IFERROR(S55/S56,"")</f>
        <v/>
      </c>
    </row>
    <row r="68" ht="18.75" customHeight="1">
      <c r="A68" s="3" t="n"/>
      <c r="B68" s="18" t="inlineStr">
        <is>
          <t>Training Invest. / EE (USD)</t>
        </is>
      </c>
      <c r="C68" s="16">
        <f>OCT!J68</f>
        <v/>
      </c>
      <c r="D68" s="16">
        <f>NOV!J68</f>
        <v/>
      </c>
      <c r="E68" s="16">
        <f>DEC!J68</f>
        <v/>
      </c>
      <c r="F68" s="17">
        <f>IF(COUNT(F58:F59)=0,"",IFERROR((N(F58)+N(F59))/F5,""))</f>
        <v/>
      </c>
      <c r="G68" s="16">
        <f>JAN!J68</f>
        <v/>
      </c>
      <c r="H68" s="16">
        <f>FEB!J68</f>
        <v/>
      </c>
      <c r="I68" s="16">
        <f>MAR!J68</f>
        <v/>
      </c>
      <c r="J68" s="17">
        <f>IF(COUNT(J58:J59)=0,"",IFERROR((N(J58)+N(J59))/J5,""))</f>
        <v/>
      </c>
      <c r="K68" s="16">
        <f>APR!J68</f>
        <v/>
      </c>
      <c r="L68" s="16">
        <f>MAY!J68</f>
        <v/>
      </c>
      <c r="M68" s="16">
        <f>JUN!J68</f>
        <v/>
      </c>
      <c r="N68" s="17">
        <f>IF(COUNT(N58:N59)=0,"",IFERROR((N(N58)+N(N59))/N5,""))</f>
        <v/>
      </c>
      <c r="O68" s="16">
        <f>JUL!J68</f>
        <v/>
      </c>
      <c r="P68" s="16">
        <f>AUG!J68</f>
        <v/>
      </c>
      <c r="Q68" s="16">
        <f>SEP!J68</f>
        <v/>
      </c>
      <c r="R68" s="17">
        <f>IF(COUNT(R58:R59)=0,"",IFERROR((N(R58)+N(R59))/R5,""))</f>
        <v/>
      </c>
      <c r="S68" s="17">
        <f>IF(COUNT(S58:S59)=0,"",IFERROR((N(S58)+N(S59))/S5,""))</f>
        <v/>
      </c>
    </row>
    <row r="69" ht="18.75" customHeight="1">
      <c r="A69" s="3" t="n"/>
      <c r="B69" s="18" t="inlineStr">
        <is>
          <t>Training Invest. / EE Trained (USD)</t>
        </is>
      </c>
      <c r="C69" s="16">
        <f>OCT!J69</f>
        <v/>
      </c>
      <c r="D69" s="16">
        <f>NOV!J69</f>
        <v/>
      </c>
      <c r="E69" s="16">
        <f>DEC!J69</f>
        <v/>
      </c>
      <c r="F69" s="17">
        <f>IF(COUNT(F58:F59)=0,"",IFERROR((N(F58)+N(F59))/F56,""))</f>
        <v/>
      </c>
      <c r="G69" s="16">
        <f>JAN!J69</f>
        <v/>
      </c>
      <c r="H69" s="16">
        <f>FEB!J69</f>
        <v/>
      </c>
      <c r="I69" s="16">
        <f>MAR!J69</f>
        <v/>
      </c>
      <c r="J69" s="17">
        <f>IF(COUNT(J58:J59)=0,"",IFERROR((N(J58)+N(J59))/J56,""))</f>
        <v/>
      </c>
      <c r="K69" s="16">
        <f>APR!J69</f>
        <v/>
      </c>
      <c r="L69" s="16">
        <f>MAY!J69</f>
        <v/>
      </c>
      <c r="M69" s="16">
        <f>JUN!J69</f>
        <v/>
      </c>
      <c r="N69" s="17">
        <f>IF(COUNT(N58:N59)=0,"",IFERROR((N(N58)+N(N59))/N56,""))</f>
        <v/>
      </c>
      <c r="O69" s="16">
        <f>JUL!J69</f>
        <v/>
      </c>
      <c r="P69" s="16">
        <f>AUG!J69</f>
        <v/>
      </c>
      <c r="Q69" s="16">
        <f>SEP!J69</f>
        <v/>
      </c>
      <c r="R69" s="17">
        <f>IF(COUNT(R58:R59)=0,"",IFERROR((N(R58)+N(R59))/R56,""))</f>
        <v/>
      </c>
      <c r="S69" s="17">
        <f>IF(COUNT(S58:S59)=0,"",IFERROR((N(S58)+N(S59))/S56,""))</f>
        <v/>
      </c>
    </row>
    <row r="70" ht="18.75" customHeight="1">
      <c r="A70" s="3" t="n"/>
      <c r="B70" s="25" t="inlineStr">
        <is>
          <t>Input Cells Not Submitted</t>
        </is>
      </c>
      <c r="C70" s="14">
        <f>OCT!J70</f>
        <v/>
      </c>
      <c r="D70" s="14">
        <f>NOV!J70</f>
        <v/>
      </c>
      <c r="E70" s="14">
        <f>DEC!J70</f>
        <v/>
      </c>
      <c r="F70" s="14">
        <f>SUM(C70:E70)</f>
        <v/>
      </c>
      <c r="G70" s="14">
        <f>JAN!J70</f>
        <v/>
      </c>
      <c r="H70" s="14">
        <f>FEB!J70</f>
        <v/>
      </c>
      <c r="I70" s="14">
        <f>MAR!J70</f>
        <v/>
      </c>
      <c r="J70" s="14">
        <f>SUM(G70:I70)</f>
        <v/>
      </c>
      <c r="K70" s="14">
        <f>APR!J70</f>
        <v/>
      </c>
      <c r="L70" s="14">
        <f>MAY!J70</f>
        <v/>
      </c>
      <c r="M70" s="14">
        <f>JUN!J70</f>
        <v/>
      </c>
      <c r="N70" s="14">
        <f>SUM(K70:M70)</f>
        <v/>
      </c>
      <c r="O70" s="14">
        <f>JUL!J70</f>
        <v/>
      </c>
      <c r="P70" s="14">
        <f>AUG!J70</f>
        <v/>
      </c>
      <c r="Q70" s="14">
        <f>SEP!J70</f>
        <v/>
      </c>
      <c r="R70" s="14">
        <f>SUM(O70:Q70)</f>
        <v/>
      </c>
      <c r="S70" s="14">
        <f>SUM(C70:E70,G70:I70,K70:M70,O70:Q70)</f>
        <v/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SOUTH AMERICA</t>
        </is>
      </c>
      <c r="C1" s="26" t="inlineStr">
        <is>
          <t>1069</t>
        </is>
      </c>
      <c r="D1" s="26" t="inlineStr">
        <is>
          <t>1178</t>
        </is>
      </c>
      <c r="E1" s="26" t="inlineStr">
        <is>
          <t>1077</t>
        </is>
      </c>
      <c r="F1" s="26" t="inlineStr">
        <is>
          <t>1081</t>
        </is>
      </c>
      <c r="G1" s="26" t="inlineStr">
        <is>
          <t>1082</t>
        </is>
      </c>
      <c r="H1" s="26" t="inlineStr">
        <is>
          <t>1085</t>
        </is>
      </c>
      <c r="I1" s="26" t="inlineStr">
        <is>
          <t>1071U</t>
        </is>
      </c>
      <c r="J1" s="3" t="n"/>
      <c r="K1" s="3" t="n"/>
      <c r="L1" s="3" t="n"/>
    </row>
    <row r="2" ht="72" customHeight="1">
      <c r="A2" s="4" t="n">
        <v>202610</v>
      </c>
      <c r="B2" s="5" t="inlineStr">
        <is>
          <t>OCT</t>
        </is>
      </c>
      <c r="C2" s="27" t="inlineStr">
        <is>
          <t>GCG Bogota Colombia</t>
        </is>
      </c>
      <c r="D2" s="27" t="inlineStr">
        <is>
          <t>GCG Colombia</t>
        </is>
      </c>
      <c r="E2" s="27" t="inlineStr">
        <is>
          <t>GCG Guayaquil</t>
        </is>
      </c>
      <c r="F2" s="27" t="inlineStr">
        <is>
          <t>GCG Paraguay</t>
        </is>
      </c>
      <c r="G2" s="27" t="inlineStr">
        <is>
          <t>GCG Quito</t>
        </is>
      </c>
      <c r="H2" s="27" t="inlineStr">
        <is>
          <t>GCG Uruguay</t>
        </is>
      </c>
      <c r="I2" s="27" t="inlineStr">
        <is>
          <t>GCG Caracas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30" t="n"/>
      <c r="D31" s="30" t="n"/>
      <c r="E31" s="30" t="n"/>
      <c r="F31" s="30" t="n"/>
      <c r="G31" s="30" t="n"/>
      <c r="H31" s="30" t="n"/>
      <c r="I31" s="30" t="n"/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IF('(Bogota)'!$AB$4="","",'(Bogota)'!$AB$4)</f>
        <v/>
      </c>
      <c r="D39" s="14">
        <f>IF('(Colombia)'!$AB$4="","",'(Colombia)'!$AB$4)</f>
        <v/>
      </c>
      <c r="E39" s="14">
        <f>IF('(Guayaquil)'!$AB$4="","",'(Guayaquil)'!$AB$4)</f>
        <v/>
      </c>
      <c r="F39" s="14">
        <f>IF('(Paraguay)'!$AB$4="","",'(Paraguay)'!$AB$4)</f>
        <v/>
      </c>
      <c r="G39" s="14">
        <f>IF('(Quito)'!$AB$4="","",'(Quito)'!$AB$4)</f>
        <v/>
      </c>
      <c r="H39" s="14">
        <f>IF('(Uruguay)'!$AB$4="","",'(Uruguay)'!$AB$4)</f>
        <v/>
      </c>
      <c r="I39" s="14">
        <f>IF('(Caracas)'!$AB$4="","",'(Caracas)'!$AB$4)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IF('(Bogota)'!$AD$4="","",'(Bogota)'!$AD$4)</f>
        <v/>
      </c>
      <c r="D40" s="14">
        <f>IF('(Colombia)'!$AD$4="","",'(Colombia)'!$AD$4)</f>
        <v/>
      </c>
      <c r="E40" s="14">
        <f>IF('(Guayaquil)'!$AD$4="","",'(Guayaquil)'!$AD$4)</f>
        <v/>
      </c>
      <c r="F40" s="14">
        <f>IF('(Paraguay)'!$AD$4="","",'(Paraguay)'!$AD$4)</f>
        <v/>
      </c>
      <c r="G40" s="14">
        <f>IF('(Quito)'!$AD$4="","",'(Quito)'!$AD$4)</f>
        <v/>
      </c>
      <c r="H40" s="14">
        <f>IF('(Uruguay)'!$AD$4="","",'(Uruguay)'!$AD$4)</f>
        <v/>
      </c>
      <c r="I40" s="14">
        <f>IF('(Caracas)'!$AD$4="","",'(Caracas)'!$AD$4)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IF('(Bogota)'!$G$4="","",'(Bogota)'!$G$4)</f>
        <v/>
      </c>
      <c r="D46" s="19">
        <f>IF('(Colombia)'!$G$4="","",'(Colombia)'!$G$4)</f>
        <v/>
      </c>
      <c r="E46" s="19">
        <f>IF('(Guayaquil)'!$G$4="","",'(Guayaquil)'!$G$4)</f>
        <v/>
      </c>
      <c r="F46" s="19">
        <f>IF('(Paraguay)'!$G$4="","",'(Paraguay)'!$G$4)</f>
        <v/>
      </c>
      <c r="G46" s="19">
        <f>IF('(Quito)'!$G$4="","",'(Quito)'!$G$4)</f>
        <v/>
      </c>
      <c r="H46" s="19">
        <f>IF('(Uruguay)'!$G$4="","",'(Uruguay)'!$G$4)</f>
        <v/>
      </c>
      <c r="I46" s="19">
        <f>IF('(Caracas)'!$G$4="","",'(Caracas)'!$G$4)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IF('(Bogota)'!$O$4="","",'(Bogota)'!$O$4)</f>
        <v/>
      </c>
      <c r="D47" s="19">
        <f>IF('(Colombia)'!$O$4="","",'(Colombia)'!$O$4)</f>
        <v/>
      </c>
      <c r="E47" s="19">
        <f>IF('(Guayaquil)'!$O$4="","",'(Guayaquil)'!$O$4)</f>
        <v/>
      </c>
      <c r="F47" s="19">
        <f>IF('(Paraguay)'!$O$4="","",'(Paraguay)'!$O$4)</f>
        <v/>
      </c>
      <c r="G47" s="19">
        <f>IF('(Quito)'!$O$4="","",'(Quito)'!$O$4)</f>
        <v/>
      </c>
      <c r="H47" s="19">
        <f>IF('(Uruguay)'!$O$4="","",'(Uruguay)'!$O$4)</f>
        <v/>
      </c>
      <c r="I47" s="19">
        <f>IF('(Caracas)'!$O$4="","",'(Caracas)'!$O$4)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SOUTH AMERICA</t>
        </is>
      </c>
      <c r="C1" s="26" t="inlineStr">
        <is>
          <t>1069</t>
        </is>
      </c>
      <c r="D1" s="26" t="inlineStr">
        <is>
          <t>1178</t>
        </is>
      </c>
      <c r="E1" s="26" t="inlineStr">
        <is>
          <t>1077</t>
        </is>
      </c>
      <c r="F1" s="26" t="inlineStr">
        <is>
          <t>1081</t>
        </is>
      </c>
      <c r="G1" s="26" t="inlineStr">
        <is>
          <t>1082</t>
        </is>
      </c>
      <c r="H1" s="26" t="inlineStr">
        <is>
          <t>1085</t>
        </is>
      </c>
      <c r="I1" s="26" t="inlineStr">
        <is>
          <t>1071U</t>
        </is>
      </c>
      <c r="J1" s="3" t="n"/>
      <c r="K1" s="3" t="n"/>
      <c r="L1" s="3" t="n"/>
    </row>
    <row r="2" ht="72" customHeight="1">
      <c r="A2" s="4">
        <f>VALUE(TEXT(EDATE(DATE(LEFT(OCT!A2,4),RIGHT(OCT!A2,2),1),1),"yyyymm"))</f>
        <v/>
      </c>
      <c r="B2" s="5" t="inlineStr">
        <is>
          <t>NOV</t>
        </is>
      </c>
      <c r="C2" s="27" t="inlineStr">
        <is>
          <t>GCG Bogota Colombia</t>
        </is>
      </c>
      <c r="D2" s="27" t="inlineStr">
        <is>
          <t>GCG Colombia</t>
        </is>
      </c>
      <c r="E2" s="27" t="inlineStr">
        <is>
          <t>GCG Guayaquil</t>
        </is>
      </c>
      <c r="F2" s="27" t="inlineStr">
        <is>
          <t>GCG Paraguay</t>
        </is>
      </c>
      <c r="G2" s="27" t="inlineStr">
        <is>
          <t>GCG Quito</t>
        </is>
      </c>
      <c r="H2" s="27" t="inlineStr">
        <is>
          <t>GCG Uruguay</t>
        </is>
      </c>
      <c r="I2" s="27" t="inlineStr">
        <is>
          <t>GCG Caracas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IF(OCT!C5="","",OCT!C5)</f>
        <v/>
      </c>
      <c r="D31" s="11">
        <f>IF(OCT!D5="","",OCT!D5)</f>
        <v/>
      </c>
      <c r="E31" s="11">
        <f>IF(OCT!E5="","",OCT!E5)</f>
        <v/>
      </c>
      <c r="F31" s="11">
        <f>IF(OCT!F5="","",OCT!F5)</f>
        <v/>
      </c>
      <c r="G31" s="11">
        <f>IF(OCT!G5="","",OCT!G5)</f>
        <v/>
      </c>
      <c r="H31" s="11">
        <f>IF(OCT!H5="","",OCT!H5)</f>
        <v/>
      </c>
      <c r="I31" s="11">
        <f>IF(OCT!I5="","",OCT!I5)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IF('(Bogota)'!$AB$5="","",'(Bogota)'!$AB$5)</f>
        <v/>
      </c>
      <c r="D39" s="14">
        <f>IF('(Colombia)'!$AB$5="","",'(Colombia)'!$AB$5)</f>
        <v/>
      </c>
      <c r="E39" s="14">
        <f>IF('(Guayaquil)'!$AB$5="","",'(Guayaquil)'!$AB$5)</f>
        <v/>
      </c>
      <c r="F39" s="14">
        <f>IF('(Paraguay)'!$AB$5="","",'(Paraguay)'!$AB$5)</f>
        <v/>
      </c>
      <c r="G39" s="14">
        <f>IF('(Quito)'!$AB$5="","",'(Quito)'!$AB$5)</f>
        <v/>
      </c>
      <c r="H39" s="14">
        <f>IF('(Uruguay)'!$AB$5="","",'(Uruguay)'!$AB$5)</f>
        <v/>
      </c>
      <c r="I39" s="14">
        <f>IF('(Caracas)'!$AB$5="","",'(Caracas)'!$AB$5)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IF('(Bogota)'!$AD$5="","",'(Bogota)'!$AD$5)</f>
        <v/>
      </c>
      <c r="D40" s="14">
        <f>IF('(Colombia)'!$AD$5="","",'(Colombia)'!$AD$5)</f>
        <v/>
      </c>
      <c r="E40" s="14">
        <f>IF('(Guayaquil)'!$AD$5="","",'(Guayaquil)'!$AD$5)</f>
        <v/>
      </c>
      <c r="F40" s="14">
        <f>IF('(Paraguay)'!$AD$5="","",'(Paraguay)'!$AD$5)</f>
        <v/>
      </c>
      <c r="G40" s="14">
        <f>IF('(Quito)'!$AD$5="","",'(Quito)'!$AD$5)</f>
        <v/>
      </c>
      <c r="H40" s="14">
        <f>IF('(Uruguay)'!$AD$5="","",'(Uruguay)'!$AD$5)</f>
        <v/>
      </c>
      <c r="I40" s="14">
        <f>IF('(Caracas)'!$AD$5="","",'(Caracas)'!$AD$5)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IF('(Bogota)'!$G$5="","",'(Bogota)'!$G$5)</f>
        <v/>
      </c>
      <c r="D46" s="19">
        <f>IF('(Colombia)'!$G$5="","",'(Colombia)'!$G$5)</f>
        <v/>
      </c>
      <c r="E46" s="19">
        <f>IF('(Guayaquil)'!$G$5="","",'(Guayaquil)'!$G$5)</f>
        <v/>
      </c>
      <c r="F46" s="19">
        <f>IF('(Paraguay)'!$G$5="","",'(Paraguay)'!$G$5)</f>
        <v/>
      </c>
      <c r="G46" s="19">
        <f>IF('(Quito)'!$G$5="","",'(Quito)'!$G$5)</f>
        <v/>
      </c>
      <c r="H46" s="19">
        <f>IF('(Uruguay)'!$G$5="","",'(Uruguay)'!$G$5)</f>
        <v/>
      </c>
      <c r="I46" s="19">
        <f>IF('(Caracas)'!$G$5="","",'(Caracas)'!$G$5)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IF('(Bogota)'!$O$5="","",'(Bogota)'!$O$5)</f>
        <v/>
      </c>
      <c r="D47" s="19">
        <f>IF('(Colombia)'!$O$5="","",'(Colombia)'!$O$5)</f>
        <v/>
      </c>
      <c r="E47" s="19">
        <f>IF('(Guayaquil)'!$O$5="","",'(Guayaquil)'!$O$5)</f>
        <v/>
      </c>
      <c r="F47" s="19">
        <f>IF('(Paraguay)'!$O$5="","",'(Paraguay)'!$O$5)</f>
        <v/>
      </c>
      <c r="G47" s="19">
        <f>IF('(Quito)'!$O$5="","",'(Quito)'!$O$5)</f>
        <v/>
      </c>
      <c r="H47" s="19">
        <f>IF('(Uruguay)'!$O$5="","",'(Uruguay)'!$O$5)</f>
        <v/>
      </c>
      <c r="I47" s="19">
        <f>IF('(Caracas)'!$O$5="","",'(Caracas)'!$O$5)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SOUTH AMERICA</t>
        </is>
      </c>
      <c r="C1" s="26" t="inlineStr">
        <is>
          <t>1069</t>
        </is>
      </c>
      <c r="D1" s="26" t="inlineStr">
        <is>
          <t>1178</t>
        </is>
      </c>
      <c r="E1" s="26" t="inlineStr">
        <is>
          <t>1077</t>
        </is>
      </c>
      <c r="F1" s="26" t="inlineStr">
        <is>
          <t>1081</t>
        </is>
      </c>
      <c r="G1" s="26" t="inlineStr">
        <is>
          <t>1082</t>
        </is>
      </c>
      <c r="H1" s="26" t="inlineStr">
        <is>
          <t>1085</t>
        </is>
      </c>
      <c r="I1" s="26" t="inlineStr">
        <is>
          <t>1071U</t>
        </is>
      </c>
      <c r="J1" s="3" t="n"/>
      <c r="K1" s="3" t="n"/>
      <c r="L1" s="3" t="n"/>
    </row>
    <row r="2" ht="72" customHeight="1">
      <c r="A2" s="4">
        <f>VALUE(TEXT(EDATE(DATE(LEFT(NOV!A2,4),RIGHT(NOV!A2,2),1),1),"yyyymm"))</f>
        <v/>
      </c>
      <c r="B2" s="5" t="inlineStr">
        <is>
          <t>DEC</t>
        </is>
      </c>
      <c r="C2" s="27" t="inlineStr">
        <is>
          <t>GCG Bogota Colombia</t>
        </is>
      </c>
      <c r="D2" s="27" t="inlineStr">
        <is>
          <t>GCG Colombia</t>
        </is>
      </c>
      <c r="E2" s="27" t="inlineStr">
        <is>
          <t>GCG Guayaquil</t>
        </is>
      </c>
      <c r="F2" s="27" t="inlineStr">
        <is>
          <t>GCG Paraguay</t>
        </is>
      </c>
      <c r="G2" s="27" t="inlineStr">
        <is>
          <t>GCG Quito</t>
        </is>
      </c>
      <c r="H2" s="27" t="inlineStr">
        <is>
          <t>GCG Uruguay</t>
        </is>
      </c>
      <c r="I2" s="27" t="inlineStr">
        <is>
          <t>GCG Caracas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IF(NOV!C5="","",NOV!C5)</f>
        <v/>
      </c>
      <c r="D31" s="11">
        <f>IF(NOV!D5="","",NOV!D5)</f>
        <v/>
      </c>
      <c r="E31" s="11">
        <f>IF(NOV!E5="","",NOV!E5)</f>
        <v/>
      </c>
      <c r="F31" s="11">
        <f>IF(NOV!F5="","",NOV!F5)</f>
        <v/>
      </c>
      <c r="G31" s="11">
        <f>IF(NOV!G5="","",NOV!G5)</f>
        <v/>
      </c>
      <c r="H31" s="11">
        <f>IF(NOV!H5="","",NOV!H5)</f>
        <v/>
      </c>
      <c r="I31" s="11">
        <f>IF(NOV!I5="","",NOV!I5)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IF('(Bogota)'!$AB$6="","",'(Bogota)'!$AB$6)</f>
        <v/>
      </c>
      <c r="D39" s="14">
        <f>IF('(Colombia)'!$AB$6="","",'(Colombia)'!$AB$6)</f>
        <v/>
      </c>
      <c r="E39" s="14">
        <f>IF('(Guayaquil)'!$AB$6="","",'(Guayaquil)'!$AB$6)</f>
        <v/>
      </c>
      <c r="F39" s="14">
        <f>IF('(Paraguay)'!$AB$6="","",'(Paraguay)'!$AB$6)</f>
        <v/>
      </c>
      <c r="G39" s="14">
        <f>IF('(Quito)'!$AB$6="","",'(Quito)'!$AB$6)</f>
        <v/>
      </c>
      <c r="H39" s="14">
        <f>IF('(Uruguay)'!$AB$6="","",'(Uruguay)'!$AB$6)</f>
        <v/>
      </c>
      <c r="I39" s="14">
        <f>IF('(Caracas)'!$AB$6="","",'(Caracas)'!$AB$6)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IF('(Bogota)'!$AD$6="","",'(Bogota)'!$AD$6)</f>
        <v/>
      </c>
      <c r="D40" s="14">
        <f>IF('(Colombia)'!$AD$6="","",'(Colombia)'!$AD$6)</f>
        <v/>
      </c>
      <c r="E40" s="14">
        <f>IF('(Guayaquil)'!$AD$6="","",'(Guayaquil)'!$AD$6)</f>
        <v/>
      </c>
      <c r="F40" s="14">
        <f>IF('(Paraguay)'!$AD$6="","",'(Paraguay)'!$AD$6)</f>
        <v/>
      </c>
      <c r="G40" s="14">
        <f>IF('(Quito)'!$AD$6="","",'(Quito)'!$AD$6)</f>
        <v/>
      </c>
      <c r="H40" s="14">
        <f>IF('(Uruguay)'!$AD$6="","",'(Uruguay)'!$AD$6)</f>
        <v/>
      </c>
      <c r="I40" s="14">
        <f>IF('(Caracas)'!$AD$6="","",'(Caracas)'!$AD$6)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IF('(Bogota)'!$G$6="","",'(Bogota)'!$G$6)</f>
        <v/>
      </c>
      <c r="D46" s="19">
        <f>IF('(Colombia)'!$G$6="","",'(Colombia)'!$G$6)</f>
        <v/>
      </c>
      <c r="E46" s="19">
        <f>IF('(Guayaquil)'!$G$6="","",'(Guayaquil)'!$G$6)</f>
        <v/>
      </c>
      <c r="F46" s="19">
        <f>IF('(Paraguay)'!$G$6="","",'(Paraguay)'!$G$6)</f>
        <v/>
      </c>
      <c r="G46" s="19">
        <f>IF('(Quito)'!$G$6="","",'(Quito)'!$G$6)</f>
        <v/>
      </c>
      <c r="H46" s="19">
        <f>IF('(Uruguay)'!$G$6="","",'(Uruguay)'!$G$6)</f>
        <v/>
      </c>
      <c r="I46" s="19">
        <f>IF('(Caracas)'!$G$6="","",'(Caracas)'!$G$6)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IF('(Bogota)'!$O$6="","",'(Bogota)'!$O$6)</f>
        <v/>
      </c>
      <c r="D47" s="19">
        <f>IF('(Colombia)'!$O$6="","",'(Colombia)'!$O$6)</f>
        <v/>
      </c>
      <c r="E47" s="19">
        <f>IF('(Guayaquil)'!$O$6="","",'(Guayaquil)'!$O$6)</f>
        <v/>
      </c>
      <c r="F47" s="19">
        <f>IF('(Paraguay)'!$O$6="","",'(Paraguay)'!$O$6)</f>
        <v/>
      </c>
      <c r="G47" s="19">
        <f>IF('(Quito)'!$O$6="","",'(Quito)'!$O$6)</f>
        <v/>
      </c>
      <c r="H47" s="19">
        <f>IF('(Uruguay)'!$O$6="","",'(Uruguay)'!$O$6)</f>
        <v/>
      </c>
      <c r="I47" s="19">
        <f>IF('(Caracas)'!$O$6="","",'(Caracas)'!$O$6)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SOUTH AMERICA</t>
        </is>
      </c>
      <c r="C1" s="26" t="inlineStr">
        <is>
          <t>1069</t>
        </is>
      </c>
      <c r="D1" s="26" t="inlineStr">
        <is>
          <t>1178</t>
        </is>
      </c>
      <c r="E1" s="26" t="inlineStr">
        <is>
          <t>1077</t>
        </is>
      </c>
      <c r="F1" s="26" t="inlineStr">
        <is>
          <t>1081</t>
        </is>
      </c>
      <c r="G1" s="26" t="inlineStr">
        <is>
          <t>1082</t>
        </is>
      </c>
      <c r="H1" s="26" t="inlineStr">
        <is>
          <t>1085</t>
        </is>
      </c>
      <c r="I1" s="26" t="inlineStr">
        <is>
          <t>1071U</t>
        </is>
      </c>
      <c r="J1" s="3" t="n"/>
      <c r="K1" s="3" t="n"/>
      <c r="L1" s="3" t="n"/>
    </row>
    <row r="2" ht="72" customHeight="1">
      <c r="A2" s="4">
        <f>VALUE(TEXT(EDATE(DATE(LEFT(DEC!A2,4),RIGHT(DEC!A2,2),1),1),"yyyymm"))</f>
        <v/>
      </c>
      <c r="B2" s="5" t="inlineStr">
        <is>
          <t>JAN</t>
        </is>
      </c>
      <c r="C2" s="27" t="inlineStr">
        <is>
          <t>GCG Bogota Colombia</t>
        </is>
      </c>
      <c r="D2" s="27" t="inlineStr">
        <is>
          <t>GCG Colombia</t>
        </is>
      </c>
      <c r="E2" s="27" t="inlineStr">
        <is>
          <t>GCG Guayaquil</t>
        </is>
      </c>
      <c r="F2" s="27" t="inlineStr">
        <is>
          <t>GCG Paraguay</t>
        </is>
      </c>
      <c r="G2" s="27" t="inlineStr">
        <is>
          <t>GCG Quito</t>
        </is>
      </c>
      <c r="H2" s="27" t="inlineStr">
        <is>
          <t>GCG Uruguay</t>
        </is>
      </c>
      <c r="I2" s="27" t="inlineStr">
        <is>
          <t>GCG Caracas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IF(DEC!C5="","",DEC!C5)</f>
        <v/>
      </c>
      <c r="D31" s="11">
        <f>IF(DEC!D5="","",DEC!D5)</f>
        <v/>
      </c>
      <c r="E31" s="11">
        <f>IF(DEC!E5="","",DEC!E5)</f>
        <v/>
      </c>
      <c r="F31" s="11">
        <f>IF(DEC!F5="","",DEC!F5)</f>
        <v/>
      </c>
      <c r="G31" s="11">
        <f>IF(DEC!G5="","",DEC!G5)</f>
        <v/>
      </c>
      <c r="H31" s="11">
        <f>IF(DEC!H5="","",DEC!H5)</f>
        <v/>
      </c>
      <c r="I31" s="11">
        <f>IF(DEC!I5="","",DEC!I5)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IF('(Bogota)'!$AB$7="","",'(Bogota)'!$AB$7)</f>
        <v/>
      </c>
      <c r="D39" s="14">
        <f>IF('(Colombia)'!$AB$7="","",'(Colombia)'!$AB$7)</f>
        <v/>
      </c>
      <c r="E39" s="14">
        <f>IF('(Guayaquil)'!$AB$7="","",'(Guayaquil)'!$AB$7)</f>
        <v/>
      </c>
      <c r="F39" s="14">
        <f>IF('(Paraguay)'!$AB$7="","",'(Paraguay)'!$AB$7)</f>
        <v/>
      </c>
      <c r="G39" s="14">
        <f>IF('(Quito)'!$AB$7="","",'(Quito)'!$AB$7)</f>
        <v/>
      </c>
      <c r="H39" s="14">
        <f>IF('(Uruguay)'!$AB$7="","",'(Uruguay)'!$AB$7)</f>
        <v/>
      </c>
      <c r="I39" s="14">
        <f>IF('(Caracas)'!$AB$7="","",'(Caracas)'!$AB$7)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IF('(Bogota)'!$AD$7="","",'(Bogota)'!$AD$7)</f>
        <v/>
      </c>
      <c r="D40" s="14">
        <f>IF('(Colombia)'!$AD$7="","",'(Colombia)'!$AD$7)</f>
        <v/>
      </c>
      <c r="E40" s="14">
        <f>IF('(Guayaquil)'!$AD$7="","",'(Guayaquil)'!$AD$7)</f>
        <v/>
      </c>
      <c r="F40" s="14">
        <f>IF('(Paraguay)'!$AD$7="","",'(Paraguay)'!$AD$7)</f>
        <v/>
      </c>
      <c r="G40" s="14">
        <f>IF('(Quito)'!$AD$7="","",'(Quito)'!$AD$7)</f>
        <v/>
      </c>
      <c r="H40" s="14">
        <f>IF('(Uruguay)'!$AD$7="","",'(Uruguay)'!$AD$7)</f>
        <v/>
      </c>
      <c r="I40" s="14">
        <f>IF('(Caracas)'!$AD$7="","",'(Caracas)'!$AD$7)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IF('(Bogota)'!$G$7="","",'(Bogota)'!$G$7)</f>
        <v/>
      </c>
      <c r="D46" s="19">
        <f>IF('(Colombia)'!$G$7="","",'(Colombia)'!$G$7)</f>
        <v/>
      </c>
      <c r="E46" s="19">
        <f>IF('(Guayaquil)'!$G$7="","",'(Guayaquil)'!$G$7)</f>
        <v/>
      </c>
      <c r="F46" s="19">
        <f>IF('(Paraguay)'!$G$7="","",'(Paraguay)'!$G$7)</f>
        <v/>
      </c>
      <c r="G46" s="19">
        <f>IF('(Quito)'!$G$7="","",'(Quito)'!$G$7)</f>
        <v/>
      </c>
      <c r="H46" s="19">
        <f>IF('(Uruguay)'!$G$7="","",'(Uruguay)'!$G$7)</f>
        <v/>
      </c>
      <c r="I46" s="19">
        <f>IF('(Caracas)'!$G$7="","",'(Caracas)'!$G$7)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IF('(Bogota)'!$O$7="","",'(Bogota)'!$O$7)</f>
        <v/>
      </c>
      <c r="D47" s="19">
        <f>IF('(Colombia)'!$O$7="","",'(Colombia)'!$O$7)</f>
        <v/>
      </c>
      <c r="E47" s="19">
        <f>IF('(Guayaquil)'!$O$7="","",'(Guayaquil)'!$O$7)</f>
        <v/>
      </c>
      <c r="F47" s="19">
        <f>IF('(Paraguay)'!$O$7="","",'(Paraguay)'!$O$7)</f>
        <v/>
      </c>
      <c r="G47" s="19">
        <f>IF('(Quito)'!$O$7="","",'(Quito)'!$O$7)</f>
        <v/>
      </c>
      <c r="H47" s="19">
        <f>IF('(Uruguay)'!$O$7="","",'(Uruguay)'!$O$7)</f>
        <v/>
      </c>
      <c r="I47" s="19">
        <f>IF('(Caracas)'!$O$7="","",'(Caracas)'!$O$7)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SOUTH AMERICA</t>
        </is>
      </c>
      <c r="C1" s="26" t="inlineStr">
        <is>
          <t>1069</t>
        </is>
      </c>
      <c r="D1" s="26" t="inlineStr">
        <is>
          <t>1178</t>
        </is>
      </c>
      <c r="E1" s="26" t="inlineStr">
        <is>
          <t>1077</t>
        </is>
      </c>
      <c r="F1" s="26" t="inlineStr">
        <is>
          <t>1081</t>
        </is>
      </c>
      <c r="G1" s="26" t="inlineStr">
        <is>
          <t>1082</t>
        </is>
      </c>
      <c r="H1" s="26" t="inlineStr">
        <is>
          <t>1085</t>
        </is>
      </c>
      <c r="I1" s="26" t="inlineStr">
        <is>
          <t>1071U</t>
        </is>
      </c>
      <c r="J1" s="3" t="n"/>
      <c r="K1" s="3" t="n"/>
      <c r="L1" s="3" t="n"/>
    </row>
    <row r="2" ht="72" customHeight="1">
      <c r="A2" s="4">
        <f>VALUE(TEXT(EDATE(DATE(LEFT(JAN!A2,4),RIGHT(JAN!A2,2),1),1),"yyyymm"))</f>
        <v/>
      </c>
      <c r="B2" s="5" t="inlineStr">
        <is>
          <t>FEB</t>
        </is>
      </c>
      <c r="C2" s="27" t="inlineStr">
        <is>
          <t>GCG Bogota Colombia</t>
        </is>
      </c>
      <c r="D2" s="27" t="inlineStr">
        <is>
          <t>GCG Colombia</t>
        </is>
      </c>
      <c r="E2" s="27" t="inlineStr">
        <is>
          <t>GCG Guayaquil</t>
        </is>
      </c>
      <c r="F2" s="27" t="inlineStr">
        <is>
          <t>GCG Paraguay</t>
        </is>
      </c>
      <c r="G2" s="27" t="inlineStr">
        <is>
          <t>GCG Quito</t>
        </is>
      </c>
      <c r="H2" s="27" t="inlineStr">
        <is>
          <t>GCG Uruguay</t>
        </is>
      </c>
      <c r="I2" s="27" t="inlineStr">
        <is>
          <t>GCG Caracas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IF(JAN!C5="","",JAN!C5)</f>
        <v/>
      </c>
      <c r="D31" s="11">
        <f>IF(JAN!D5="","",JAN!D5)</f>
        <v/>
      </c>
      <c r="E31" s="11">
        <f>IF(JAN!E5="","",JAN!E5)</f>
        <v/>
      </c>
      <c r="F31" s="11">
        <f>IF(JAN!F5="","",JAN!F5)</f>
        <v/>
      </c>
      <c r="G31" s="11">
        <f>IF(JAN!G5="","",JAN!G5)</f>
        <v/>
      </c>
      <c r="H31" s="11">
        <f>IF(JAN!H5="","",JAN!H5)</f>
        <v/>
      </c>
      <c r="I31" s="11">
        <f>IF(JAN!I5="","",JAN!I5)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IF('(Bogota)'!$AB$8="","",'(Bogota)'!$AB$8)</f>
        <v/>
      </c>
      <c r="D39" s="14">
        <f>IF('(Colombia)'!$AB$8="","",'(Colombia)'!$AB$8)</f>
        <v/>
      </c>
      <c r="E39" s="14">
        <f>IF('(Guayaquil)'!$AB$8="","",'(Guayaquil)'!$AB$8)</f>
        <v/>
      </c>
      <c r="F39" s="14">
        <f>IF('(Paraguay)'!$AB$8="","",'(Paraguay)'!$AB$8)</f>
        <v/>
      </c>
      <c r="G39" s="14">
        <f>IF('(Quito)'!$AB$8="","",'(Quito)'!$AB$8)</f>
        <v/>
      </c>
      <c r="H39" s="14">
        <f>IF('(Uruguay)'!$AB$8="","",'(Uruguay)'!$AB$8)</f>
        <v/>
      </c>
      <c r="I39" s="14">
        <f>IF('(Caracas)'!$AB$8="","",'(Caracas)'!$AB$8)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IF('(Bogota)'!$AD$8="","",'(Bogota)'!$AD$8)</f>
        <v/>
      </c>
      <c r="D40" s="14">
        <f>IF('(Colombia)'!$AD$8="","",'(Colombia)'!$AD$8)</f>
        <v/>
      </c>
      <c r="E40" s="14">
        <f>IF('(Guayaquil)'!$AD$8="","",'(Guayaquil)'!$AD$8)</f>
        <v/>
      </c>
      <c r="F40" s="14">
        <f>IF('(Paraguay)'!$AD$8="","",'(Paraguay)'!$AD$8)</f>
        <v/>
      </c>
      <c r="G40" s="14">
        <f>IF('(Quito)'!$AD$8="","",'(Quito)'!$AD$8)</f>
        <v/>
      </c>
      <c r="H40" s="14">
        <f>IF('(Uruguay)'!$AD$8="","",'(Uruguay)'!$AD$8)</f>
        <v/>
      </c>
      <c r="I40" s="14">
        <f>IF('(Caracas)'!$AD$8="","",'(Caracas)'!$AD$8)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IF('(Bogota)'!$G$8="","",'(Bogota)'!$G$8)</f>
        <v/>
      </c>
      <c r="D46" s="19">
        <f>IF('(Colombia)'!$G$8="","",'(Colombia)'!$G$8)</f>
        <v/>
      </c>
      <c r="E46" s="19">
        <f>IF('(Guayaquil)'!$G$8="","",'(Guayaquil)'!$G$8)</f>
        <v/>
      </c>
      <c r="F46" s="19">
        <f>IF('(Paraguay)'!$G$8="","",'(Paraguay)'!$G$8)</f>
        <v/>
      </c>
      <c r="G46" s="19">
        <f>IF('(Quito)'!$G$8="","",'(Quito)'!$G$8)</f>
        <v/>
      </c>
      <c r="H46" s="19">
        <f>IF('(Uruguay)'!$G$8="","",'(Uruguay)'!$G$8)</f>
        <v/>
      </c>
      <c r="I46" s="19">
        <f>IF('(Caracas)'!$G$8="","",'(Caracas)'!$G$8)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IF('(Bogota)'!$O$8="","",'(Bogota)'!$O$8)</f>
        <v/>
      </c>
      <c r="D47" s="19">
        <f>IF('(Colombia)'!$O$8="","",'(Colombia)'!$O$8)</f>
        <v/>
      </c>
      <c r="E47" s="19">
        <f>IF('(Guayaquil)'!$O$8="","",'(Guayaquil)'!$O$8)</f>
        <v/>
      </c>
      <c r="F47" s="19">
        <f>IF('(Paraguay)'!$O$8="","",'(Paraguay)'!$O$8)</f>
        <v/>
      </c>
      <c r="G47" s="19">
        <f>IF('(Quito)'!$O$8="","",'(Quito)'!$O$8)</f>
        <v/>
      </c>
      <c r="H47" s="19">
        <f>IF('(Uruguay)'!$O$8="","",'(Uruguay)'!$O$8)</f>
        <v/>
      </c>
      <c r="I47" s="19">
        <f>IF('(Caracas)'!$O$8="","",'(Caracas)'!$O$8)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SOUTH AMERICA</t>
        </is>
      </c>
      <c r="C1" s="26" t="inlineStr">
        <is>
          <t>1069</t>
        </is>
      </c>
      <c r="D1" s="26" t="inlineStr">
        <is>
          <t>1178</t>
        </is>
      </c>
      <c r="E1" s="26" t="inlineStr">
        <is>
          <t>1077</t>
        </is>
      </c>
      <c r="F1" s="26" t="inlineStr">
        <is>
          <t>1081</t>
        </is>
      </c>
      <c r="G1" s="26" t="inlineStr">
        <is>
          <t>1082</t>
        </is>
      </c>
      <c r="H1" s="26" t="inlineStr">
        <is>
          <t>1085</t>
        </is>
      </c>
      <c r="I1" s="26" t="inlineStr">
        <is>
          <t>1071U</t>
        </is>
      </c>
      <c r="J1" s="3" t="n"/>
      <c r="K1" s="3" t="n"/>
      <c r="L1" s="3" t="n"/>
    </row>
    <row r="2" ht="72" customHeight="1">
      <c r="A2" s="4">
        <f>VALUE(TEXT(EDATE(DATE(LEFT(FEB!A2,4),RIGHT(FEB!A2,2),1),1),"yyyymm"))</f>
        <v/>
      </c>
      <c r="B2" s="5" t="inlineStr">
        <is>
          <t>MAR</t>
        </is>
      </c>
      <c r="C2" s="27" t="inlineStr">
        <is>
          <t>GCG Bogota Colombia</t>
        </is>
      </c>
      <c r="D2" s="27" t="inlineStr">
        <is>
          <t>GCG Colombia</t>
        </is>
      </c>
      <c r="E2" s="27" t="inlineStr">
        <is>
          <t>GCG Guayaquil</t>
        </is>
      </c>
      <c r="F2" s="27" t="inlineStr">
        <is>
          <t>GCG Paraguay</t>
        </is>
      </c>
      <c r="G2" s="27" t="inlineStr">
        <is>
          <t>GCG Quito</t>
        </is>
      </c>
      <c r="H2" s="27" t="inlineStr">
        <is>
          <t>GCG Uruguay</t>
        </is>
      </c>
      <c r="I2" s="27" t="inlineStr">
        <is>
          <t>GCG Caracas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IF(FEB!C5="","",FEB!C5)</f>
        <v/>
      </c>
      <c r="D31" s="11">
        <f>IF(FEB!D5="","",FEB!D5)</f>
        <v/>
      </c>
      <c r="E31" s="11">
        <f>IF(FEB!E5="","",FEB!E5)</f>
        <v/>
      </c>
      <c r="F31" s="11">
        <f>IF(FEB!F5="","",FEB!F5)</f>
        <v/>
      </c>
      <c r="G31" s="11">
        <f>IF(FEB!G5="","",FEB!G5)</f>
        <v/>
      </c>
      <c r="H31" s="11">
        <f>IF(FEB!H5="","",FEB!H5)</f>
        <v/>
      </c>
      <c r="I31" s="11">
        <f>IF(FEB!I5="","",FEB!I5)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IF('(Bogota)'!$AB$9="","",'(Bogota)'!$AB$9)</f>
        <v/>
      </c>
      <c r="D39" s="14">
        <f>IF('(Colombia)'!$AB$9="","",'(Colombia)'!$AB$9)</f>
        <v/>
      </c>
      <c r="E39" s="14">
        <f>IF('(Guayaquil)'!$AB$9="","",'(Guayaquil)'!$AB$9)</f>
        <v/>
      </c>
      <c r="F39" s="14">
        <f>IF('(Paraguay)'!$AB$9="","",'(Paraguay)'!$AB$9)</f>
        <v/>
      </c>
      <c r="G39" s="14">
        <f>IF('(Quito)'!$AB$9="","",'(Quito)'!$AB$9)</f>
        <v/>
      </c>
      <c r="H39" s="14">
        <f>IF('(Uruguay)'!$AB$9="","",'(Uruguay)'!$AB$9)</f>
        <v/>
      </c>
      <c r="I39" s="14">
        <f>IF('(Caracas)'!$AB$9="","",'(Caracas)'!$AB$9)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IF('(Bogota)'!$AD$9="","",'(Bogota)'!$AD$9)</f>
        <v/>
      </c>
      <c r="D40" s="14">
        <f>IF('(Colombia)'!$AD$9="","",'(Colombia)'!$AD$9)</f>
        <v/>
      </c>
      <c r="E40" s="14">
        <f>IF('(Guayaquil)'!$AD$9="","",'(Guayaquil)'!$AD$9)</f>
        <v/>
      </c>
      <c r="F40" s="14">
        <f>IF('(Paraguay)'!$AD$9="","",'(Paraguay)'!$AD$9)</f>
        <v/>
      </c>
      <c r="G40" s="14">
        <f>IF('(Quito)'!$AD$9="","",'(Quito)'!$AD$9)</f>
        <v/>
      </c>
      <c r="H40" s="14">
        <f>IF('(Uruguay)'!$AD$9="","",'(Uruguay)'!$AD$9)</f>
        <v/>
      </c>
      <c r="I40" s="14">
        <f>IF('(Caracas)'!$AD$9="","",'(Caracas)'!$AD$9)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IF('(Bogota)'!$G$9="","",'(Bogota)'!$G$9)</f>
        <v/>
      </c>
      <c r="D46" s="19">
        <f>IF('(Colombia)'!$G$9="","",'(Colombia)'!$G$9)</f>
        <v/>
      </c>
      <c r="E46" s="19">
        <f>IF('(Guayaquil)'!$G$9="","",'(Guayaquil)'!$G$9)</f>
        <v/>
      </c>
      <c r="F46" s="19">
        <f>IF('(Paraguay)'!$G$9="","",'(Paraguay)'!$G$9)</f>
        <v/>
      </c>
      <c r="G46" s="19">
        <f>IF('(Quito)'!$G$9="","",'(Quito)'!$G$9)</f>
        <v/>
      </c>
      <c r="H46" s="19">
        <f>IF('(Uruguay)'!$G$9="","",'(Uruguay)'!$G$9)</f>
        <v/>
      </c>
      <c r="I46" s="19">
        <f>IF('(Caracas)'!$G$9="","",'(Caracas)'!$G$9)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IF('(Bogota)'!$O$9="","",'(Bogota)'!$O$9)</f>
        <v/>
      </c>
      <c r="D47" s="19">
        <f>IF('(Colombia)'!$O$9="","",'(Colombia)'!$O$9)</f>
        <v/>
      </c>
      <c r="E47" s="19">
        <f>IF('(Guayaquil)'!$O$9="","",'(Guayaquil)'!$O$9)</f>
        <v/>
      </c>
      <c r="F47" s="19">
        <f>IF('(Paraguay)'!$O$9="","",'(Paraguay)'!$O$9)</f>
        <v/>
      </c>
      <c r="G47" s="19">
        <f>IF('(Quito)'!$O$9="","",'(Quito)'!$O$9)</f>
        <v/>
      </c>
      <c r="H47" s="19">
        <f>IF('(Uruguay)'!$O$9="","",'(Uruguay)'!$O$9)</f>
        <v/>
      </c>
      <c r="I47" s="19">
        <f>IF('(Caracas)'!$O$9="","",'(Caracas)'!$O$9)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SOUTH AMERICA</t>
        </is>
      </c>
      <c r="C1" s="26" t="inlineStr">
        <is>
          <t>1069</t>
        </is>
      </c>
      <c r="D1" s="26" t="inlineStr">
        <is>
          <t>1178</t>
        </is>
      </c>
      <c r="E1" s="26" t="inlineStr">
        <is>
          <t>1077</t>
        </is>
      </c>
      <c r="F1" s="26" t="inlineStr">
        <is>
          <t>1081</t>
        </is>
      </c>
      <c r="G1" s="26" t="inlineStr">
        <is>
          <t>1082</t>
        </is>
      </c>
      <c r="H1" s="26" t="inlineStr">
        <is>
          <t>1085</t>
        </is>
      </c>
      <c r="I1" s="26" t="inlineStr">
        <is>
          <t>1071U</t>
        </is>
      </c>
      <c r="J1" s="3" t="n"/>
      <c r="K1" s="3" t="n"/>
      <c r="L1" s="3" t="n"/>
    </row>
    <row r="2" ht="72" customHeight="1">
      <c r="A2" s="4">
        <f>VALUE(TEXT(EDATE(DATE(LEFT(MAR!A2,4),RIGHT(MAR!A2,2),1),1),"yyyymm"))</f>
        <v/>
      </c>
      <c r="B2" s="5" t="inlineStr">
        <is>
          <t>APR</t>
        </is>
      </c>
      <c r="C2" s="27" t="inlineStr">
        <is>
          <t>GCG Bogota Colombia</t>
        </is>
      </c>
      <c r="D2" s="27" t="inlineStr">
        <is>
          <t>GCG Colombia</t>
        </is>
      </c>
      <c r="E2" s="27" t="inlineStr">
        <is>
          <t>GCG Guayaquil</t>
        </is>
      </c>
      <c r="F2" s="27" t="inlineStr">
        <is>
          <t>GCG Paraguay</t>
        </is>
      </c>
      <c r="G2" s="27" t="inlineStr">
        <is>
          <t>GCG Quito</t>
        </is>
      </c>
      <c r="H2" s="27" t="inlineStr">
        <is>
          <t>GCG Uruguay</t>
        </is>
      </c>
      <c r="I2" s="27" t="inlineStr">
        <is>
          <t>GCG Caracas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IF(MAR!C5="","",MAR!C5)</f>
        <v/>
      </c>
      <c r="D31" s="11">
        <f>IF(MAR!D5="","",MAR!D5)</f>
        <v/>
      </c>
      <c r="E31" s="11">
        <f>IF(MAR!E5="","",MAR!E5)</f>
        <v/>
      </c>
      <c r="F31" s="11">
        <f>IF(MAR!F5="","",MAR!F5)</f>
        <v/>
      </c>
      <c r="G31" s="11">
        <f>IF(MAR!G5="","",MAR!G5)</f>
        <v/>
      </c>
      <c r="H31" s="11">
        <f>IF(MAR!H5="","",MAR!H5)</f>
        <v/>
      </c>
      <c r="I31" s="11">
        <f>IF(MAR!I5="","",MAR!I5)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IF('(Bogota)'!$AB$10="","",'(Bogota)'!$AB$10)</f>
        <v/>
      </c>
      <c r="D39" s="14">
        <f>IF('(Colombia)'!$AB$10="","",'(Colombia)'!$AB$10)</f>
        <v/>
      </c>
      <c r="E39" s="14">
        <f>IF('(Guayaquil)'!$AB$10="","",'(Guayaquil)'!$AB$10)</f>
        <v/>
      </c>
      <c r="F39" s="14">
        <f>IF('(Paraguay)'!$AB$10="","",'(Paraguay)'!$AB$10)</f>
        <v/>
      </c>
      <c r="G39" s="14">
        <f>IF('(Quito)'!$AB$10="","",'(Quito)'!$AB$10)</f>
        <v/>
      </c>
      <c r="H39" s="14">
        <f>IF('(Uruguay)'!$AB$10="","",'(Uruguay)'!$AB$10)</f>
        <v/>
      </c>
      <c r="I39" s="14">
        <f>IF('(Caracas)'!$AB$10="","",'(Caracas)'!$AB$10)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IF('(Bogota)'!$AD$10="","",'(Bogota)'!$AD$10)</f>
        <v/>
      </c>
      <c r="D40" s="14">
        <f>IF('(Colombia)'!$AD$10="","",'(Colombia)'!$AD$10)</f>
        <v/>
      </c>
      <c r="E40" s="14">
        <f>IF('(Guayaquil)'!$AD$10="","",'(Guayaquil)'!$AD$10)</f>
        <v/>
      </c>
      <c r="F40" s="14">
        <f>IF('(Paraguay)'!$AD$10="","",'(Paraguay)'!$AD$10)</f>
        <v/>
      </c>
      <c r="G40" s="14">
        <f>IF('(Quito)'!$AD$10="","",'(Quito)'!$AD$10)</f>
        <v/>
      </c>
      <c r="H40" s="14">
        <f>IF('(Uruguay)'!$AD$10="","",'(Uruguay)'!$AD$10)</f>
        <v/>
      </c>
      <c r="I40" s="14">
        <f>IF('(Caracas)'!$AD$10="","",'(Caracas)'!$AD$10)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IF('(Bogota)'!$G$10="","",'(Bogota)'!$G$10)</f>
        <v/>
      </c>
      <c r="D46" s="19">
        <f>IF('(Colombia)'!$G$10="","",'(Colombia)'!$G$10)</f>
        <v/>
      </c>
      <c r="E46" s="19">
        <f>IF('(Guayaquil)'!$G$10="","",'(Guayaquil)'!$G$10)</f>
        <v/>
      </c>
      <c r="F46" s="19">
        <f>IF('(Paraguay)'!$G$10="","",'(Paraguay)'!$G$10)</f>
        <v/>
      </c>
      <c r="G46" s="19">
        <f>IF('(Quito)'!$G$10="","",'(Quito)'!$G$10)</f>
        <v/>
      </c>
      <c r="H46" s="19">
        <f>IF('(Uruguay)'!$G$10="","",'(Uruguay)'!$G$10)</f>
        <v/>
      </c>
      <c r="I46" s="19">
        <f>IF('(Caracas)'!$G$10="","",'(Caracas)'!$G$10)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IF('(Bogota)'!$O$10="","",'(Bogota)'!$O$10)</f>
        <v/>
      </c>
      <c r="D47" s="19">
        <f>IF('(Colombia)'!$O$10="","",'(Colombia)'!$O$10)</f>
        <v/>
      </c>
      <c r="E47" s="19">
        <f>IF('(Guayaquil)'!$O$10="","",'(Guayaquil)'!$O$10)</f>
        <v/>
      </c>
      <c r="F47" s="19">
        <f>IF('(Paraguay)'!$O$10="","",'(Paraguay)'!$O$10)</f>
        <v/>
      </c>
      <c r="G47" s="19">
        <f>IF('(Quito)'!$O$10="","",'(Quito)'!$O$10)</f>
        <v/>
      </c>
      <c r="H47" s="19">
        <f>IF('(Uruguay)'!$O$10="","",'(Uruguay)'!$O$10)</f>
        <v/>
      </c>
      <c r="I47" s="19">
        <f>IF('(Caracas)'!$O$10="","",'(Caracas)'!$O$10)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SOUTH AMERICA</t>
        </is>
      </c>
      <c r="C1" s="26" t="inlineStr">
        <is>
          <t>1069</t>
        </is>
      </c>
      <c r="D1" s="26" t="inlineStr">
        <is>
          <t>1178</t>
        </is>
      </c>
      <c r="E1" s="26" t="inlineStr">
        <is>
          <t>1077</t>
        </is>
      </c>
      <c r="F1" s="26" t="inlineStr">
        <is>
          <t>1081</t>
        </is>
      </c>
      <c r="G1" s="26" t="inlineStr">
        <is>
          <t>1082</t>
        </is>
      </c>
      <c r="H1" s="26" t="inlineStr">
        <is>
          <t>1085</t>
        </is>
      </c>
      <c r="I1" s="26" t="inlineStr">
        <is>
          <t>1071U</t>
        </is>
      </c>
      <c r="J1" s="3" t="n"/>
      <c r="K1" s="3" t="n"/>
      <c r="L1" s="3" t="n"/>
    </row>
    <row r="2" ht="72" customHeight="1">
      <c r="A2" s="4">
        <f>VALUE(TEXT(EDATE(DATE(LEFT(APR!A2,4),RIGHT(APR!A2,2),1),1),"yyyymm"))</f>
        <v/>
      </c>
      <c r="B2" s="5" t="inlineStr">
        <is>
          <t>MAY</t>
        </is>
      </c>
      <c r="C2" s="27" t="inlineStr">
        <is>
          <t>GCG Bogota Colombia</t>
        </is>
      </c>
      <c r="D2" s="27" t="inlineStr">
        <is>
          <t>GCG Colombia</t>
        </is>
      </c>
      <c r="E2" s="27" t="inlineStr">
        <is>
          <t>GCG Guayaquil</t>
        </is>
      </c>
      <c r="F2" s="27" t="inlineStr">
        <is>
          <t>GCG Paraguay</t>
        </is>
      </c>
      <c r="G2" s="27" t="inlineStr">
        <is>
          <t>GCG Quito</t>
        </is>
      </c>
      <c r="H2" s="27" t="inlineStr">
        <is>
          <t>GCG Uruguay</t>
        </is>
      </c>
      <c r="I2" s="27" t="inlineStr">
        <is>
          <t>GCG Caracas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IF(APR!C5="","",APR!C5)</f>
        <v/>
      </c>
      <c r="D31" s="11">
        <f>IF(APR!D5="","",APR!D5)</f>
        <v/>
      </c>
      <c r="E31" s="11">
        <f>IF(APR!E5="","",APR!E5)</f>
        <v/>
      </c>
      <c r="F31" s="11">
        <f>IF(APR!F5="","",APR!F5)</f>
        <v/>
      </c>
      <c r="G31" s="11">
        <f>IF(APR!G5="","",APR!G5)</f>
        <v/>
      </c>
      <c r="H31" s="11">
        <f>IF(APR!H5="","",APR!H5)</f>
        <v/>
      </c>
      <c r="I31" s="11">
        <f>IF(APR!I5="","",APR!I5)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IF('(Bogota)'!$AB$11="","",'(Bogota)'!$AB$11)</f>
        <v/>
      </c>
      <c r="D39" s="14">
        <f>IF('(Colombia)'!$AB$11="","",'(Colombia)'!$AB$11)</f>
        <v/>
      </c>
      <c r="E39" s="14">
        <f>IF('(Guayaquil)'!$AB$11="","",'(Guayaquil)'!$AB$11)</f>
        <v/>
      </c>
      <c r="F39" s="14">
        <f>IF('(Paraguay)'!$AB$11="","",'(Paraguay)'!$AB$11)</f>
        <v/>
      </c>
      <c r="G39" s="14">
        <f>IF('(Quito)'!$AB$11="","",'(Quito)'!$AB$11)</f>
        <v/>
      </c>
      <c r="H39" s="14">
        <f>IF('(Uruguay)'!$AB$11="","",'(Uruguay)'!$AB$11)</f>
        <v/>
      </c>
      <c r="I39" s="14">
        <f>IF('(Caracas)'!$AB$11="","",'(Caracas)'!$AB$11)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IF('(Bogota)'!$AD$11="","",'(Bogota)'!$AD$11)</f>
        <v/>
      </c>
      <c r="D40" s="14">
        <f>IF('(Colombia)'!$AD$11="","",'(Colombia)'!$AD$11)</f>
        <v/>
      </c>
      <c r="E40" s="14">
        <f>IF('(Guayaquil)'!$AD$11="","",'(Guayaquil)'!$AD$11)</f>
        <v/>
      </c>
      <c r="F40" s="14">
        <f>IF('(Paraguay)'!$AD$11="","",'(Paraguay)'!$AD$11)</f>
        <v/>
      </c>
      <c r="G40" s="14">
        <f>IF('(Quito)'!$AD$11="","",'(Quito)'!$AD$11)</f>
        <v/>
      </c>
      <c r="H40" s="14">
        <f>IF('(Uruguay)'!$AD$11="","",'(Uruguay)'!$AD$11)</f>
        <v/>
      </c>
      <c r="I40" s="14">
        <f>IF('(Caracas)'!$AD$11="","",'(Caracas)'!$AD$11)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IF('(Bogota)'!$G$11="","",'(Bogota)'!$G$11)</f>
        <v/>
      </c>
      <c r="D46" s="19">
        <f>IF('(Colombia)'!$G$11="","",'(Colombia)'!$G$11)</f>
        <v/>
      </c>
      <c r="E46" s="19">
        <f>IF('(Guayaquil)'!$G$11="","",'(Guayaquil)'!$G$11)</f>
        <v/>
      </c>
      <c r="F46" s="19">
        <f>IF('(Paraguay)'!$G$11="","",'(Paraguay)'!$G$11)</f>
        <v/>
      </c>
      <c r="G46" s="19">
        <f>IF('(Quito)'!$G$11="","",'(Quito)'!$G$11)</f>
        <v/>
      </c>
      <c r="H46" s="19">
        <f>IF('(Uruguay)'!$G$11="","",'(Uruguay)'!$G$11)</f>
        <v/>
      </c>
      <c r="I46" s="19">
        <f>IF('(Caracas)'!$G$11="","",'(Caracas)'!$G$11)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IF('(Bogota)'!$O$11="","",'(Bogota)'!$O$11)</f>
        <v/>
      </c>
      <c r="D47" s="19">
        <f>IF('(Colombia)'!$O$11="","",'(Colombia)'!$O$11)</f>
        <v/>
      </c>
      <c r="E47" s="19">
        <f>IF('(Guayaquil)'!$O$11="","",'(Guayaquil)'!$O$11)</f>
        <v/>
      </c>
      <c r="F47" s="19">
        <f>IF('(Paraguay)'!$O$11="","",'(Paraguay)'!$O$11)</f>
        <v/>
      </c>
      <c r="G47" s="19">
        <f>IF('(Quito)'!$O$11="","",'(Quito)'!$O$11)</f>
        <v/>
      </c>
      <c r="H47" s="19">
        <f>IF('(Uruguay)'!$O$11="","",'(Uruguay)'!$O$11)</f>
        <v/>
      </c>
      <c r="I47" s="19">
        <f>IF('(Caracas)'!$O$11="","",'(Caracas)'!$O$11)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SOUTH AMERICA</t>
        </is>
      </c>
      <c r="C1" s="26" t="inlineStr">
        <is>
          <t>1069</t>
        </is>
      </c>
      <c r="D1" s="26" t="inlineStr">
        <is>
          <t>1178</t>
        </is>
      </c>
      <c r="E1" s="26" t="inlineStr">
        <is>
          <t>1077</t>
        </is>
      </c>
      <c r="F1" s="26" t="inlineStr">
        <is>
          <t>1081</t>
        </is>
      </c>
      <c r="G1" s="26" t="inlineStr">
        <is>
          <t>1082</t>
        </is>
      </c>
      <c r="H1" s="26" t="inlineStr">
        <is>
          <t>1085</t>
        </is>
      </c>
      <c r="I1" s="26" t="inlineStr">
        <is>
          <t>1071U</t>
        </is>
      </c>
      <c r="J1" s="3" t="n"/>
      <c r="K1" s="3" t="n"/>
      <c r="L1" s="3" t="n"/>
    </row>
    <row r="2" ht="72" customHeight="1">
      <c r="A2" s="4">
        <f>VALUE(TEXT(EDATE(DATE(LEFT(MAY!A2,4),RIGHT(MAY!A2,2),1),1),"yyyymm"))</f>
        <v/>
      </c>
      <c r="B2" s="5" t="inlineStr">
        <is>
          <t>JUN</t>
        </is>
      </c>
      <c r="C2" s="27" t="inlineStr">
        <is>
          <t>GCG Bogota Colombia</t>
        </is>
      </c>
      <c r="D2" s="27" t="inlineStr">
        <is>
          <t>GCG Colombia</t>
        </is>
      </c>
      <c r="E2" s="27" t="inlineStr">
        <is>
          <t>GCG Guayaquil</t>
        </is>
      </c>
      <c r="F2" s="27" t="inlineStr">
        <is>
          <t>GCG Paraguay</t>
        </is>
      </c>
      <c r="G2" s="27" t="inlineStr">
        <is>
          <t>GCG Quito</t>
        </is>
      </c>
      <c r="H2" s="27" t="inlineStr">
        <is>
          <t>GCG Uruguay</t>
        </is>
      </c>
      <c r="I2" s="27" t="inlineStr">
        <is>
          <t>GCG Caracas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IF(MAY!C5="","",MAY!C5)</f>
        <v/>
      </c>
      <c r="D31" s="11">
        <f>IF(MAY!D5="","",MAY!D5)</f>
        <v/>
      </c>
      <c r="E31" s="11">
        <f>IF(MAY!E5="","",MAY!E5)</f>
        <v/>
      </c>
      <c r="F31" s="11">
        <f>IF(MAY!F5="","",MAY!F5)</f>
        <v/>
      </c>
      <c r="G31" s="11">
        <f>IF(MAY!G5="","",MAY!G5)</f>
        <v/>
      </c>
      <c r="H31" s="11">
        <f>IF(MAY!H5="","",MAY!H5)</f>
        <v/>
      </c>
      <c r="I31" s="11">
        <f>IF(MAY!I5="","",MAY!I5)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IF('(Bogota)'!$AB$12="","",'(Bogota)'!$AB$12)</f>
        <v/>
      </c>
      <c r="D39" s="14">
        <f>IF('(Colombia)'!$AB$12="","",'(Colombia)'!$AB$12)</f>
        <v/>
      </c>
      <c r="E39" s="14">
        <f>IF('(Guayaquil)'!$AB$12="","",'(Guayaquil)'!$AB$12)</f>
        <v/>
      </c>
      <c r="F39" s="14">
        <f>IF('(Paraguay)'!$AB$12="","",'(Paraguay)'!$AB$12)</f>
        <v/>
      </c>
      <c r="G39" s="14">
        <f>IF('(Quito)'!$AB$12="","",'(Quito)'!$AB$12)</f>
        <v/>
      </c>
      <c r="H39" s="14">
        <f>IF('(Uruguay)'!$AB$12="","",'(Uruguay)'!$AB$12)</f>
        <v/>
      </c>
      <c r="I39" s="14">
        <f>IF('(Caracas)'!$AB$12="","",'(Caracas)'!$AB$12)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IF('(Bogota)'!$AD$12="","",'(Bogota)'!$AD$12)</f>
        <v/>
      </c>
      <c r="D40" s="14">
        <f>IF('(Colombia)'!$AD$12="","",'(Colombia)'!$AD$12)</f>
        <v/>
      </c>
      <c r="E40" s="14">
        <f>IF('(Guayaquil)'!$AD$12="","",'(Guayaquil)'!$AD$12)</f>
        <v/>
      </c>
      <c r="F40" s="14">
        <f>IF('(Paraguay)'!$AD$12="","",'(Paraguay)'!$AD$12)</f>
        <v/>
      </c>
      <c r="G40" s="14">
        <f>IF('(Quito)'!$AD$12="","",'(Quito)'!$AD$12)</f>
        <v/>
      </c>
      <c r="H40" s="14">
        <f>IF('(Uruguay)'!$AD$12="","",'(Uruguay)'!$AD$12)</f>
        <v/>
      </c>
      <c r="I40" s="14">
        <f>IF('(Caracas)'!$AD$12="","",'(Caracas)'!$AD$12)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IF('(Bogota)'!$G$12="","",'(Bogota)'!$G$12)</f>
        <v/>
      </c>
      <c r="D46" s="19">
        <f>IF('(Colombia)'!$G$12="","",'(Colombia)'!$G$12)</f>
        <v/>
      </c>
      <c r="E46" s="19">
        <f>IF('(Guayaquil)'!$G$12="","",'(Guayaquil)'!$G$12)</f>
        <v/>
      </c>
      <c r="F46" s="19">
        <f>IF('(Paraguay)'!$G$12="","",'(Paraguay)'!$G$12)</f>
        <v/>
      </c>
      <c r="G46" s="19">
        <f>IF('(Quito)'!$G$12="","",'(Quito)'!$G$12)</f>
        <v/>
      </c>
      <c r="H46" s="19">
        <f>IF('(Uruguay)'!$G$12="","",'(Uruguay)'!$G$12)</f>
        <v/>
      </c>
      <c r="I46" s="19">
        <f>IF('(Caracas)'!$G$12="","",'(Caracas)'!$G$12)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IF('(Bogota)'!$O$12="","",'(Bogota)'!$O$12)</f>
        <v/>
      </c>
      <c r="D47" s="19">
        <f>IF('(Colombia)'!$O$12="","",'(Colombia)'!$O$12)</f>
        <v/>
      </c>
      <c r="E47" s="19">
        <f>IF('(Guayaquil)'!$O$12="","",'(Guayaquil)'!$O$12)</f>
        <v/>
      </c>
      <c r="F47" s="19">
        <f>IF('(Paraguay)'!$O$12="","",'(Paraguay)'!$O$12)</f>
        <v/>
      </c>
      <c r="G47" s="19">
        <f>IF('(Quito)'!$O$12="","",'(Quito)'!$O$12)</f>
        <v/>
      </c>
      <c r="H47" s="19">
        <f>IF('(Uruguay)'!$O$12="","",'(Uruguay)'!$O$12)</f>
        <v/>
      </c>
      <c r="I47" s="19">
        <f>IF('(Caracas)'!$O$12="","",'(Caracas)'!$O$12)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SOUTH AMERICA</t>
        </is>
      </c>
      <c r="C1" s="26" t="inlineStr">
        <is>
          <t>1069</t>
        </is>
      </c>
      <c r="D1" s="26" t="inlineStr">
        <is>
          <t>1178</t>
        </is>
      </c>
      <c r="E1" s="26" t="inlineStr">
        <is>
          <t>1077</t>
        </is>
      </c>
      <c r="F1" s="26" t="inlineStr">
        <is>
          <t>1081</t>
        </is>
      </c>
      <c r="G1" s="26" t="inlineStr">
        <is>
          <t>1082</t>
        </is>
      </c>
      <c r="H1" s="26" t="inlineStr">
        <is>
          <t>1085</t>
        </is>
      </c>
      <c r="I1" s="26" t="inlineStr">
        <is>
          <t>1071U</t>
        </is>
      </c>
      <c r="J1" s="3" t="n"/>
      <c r="K1" s="3" t="n"/>
      <c r="L1" s="3" t="n"/>
    </row>
    <row r="2" ht="72" customHeight="1">
      <c r="A2" s="4">
        <f>VALUE(TEXT(EDATE(DATE(LEFT(JUN!A2,4),RIGHT(JUN!A2,2),1),1),"yyyymm"))</f>
        <v/>
      </c>
      <c r="B2" s="5" t="inlineStr">
        <is>
          <t>JUL</t>
        </is>
      </c>
      <c r="C2" s="27" t="inlineStr">
        <is>
          <t>GCG Bogota Colombia</t>
        </is>
      </c>
      <c r="D2" s="27" t="inlineStr">
        <is>
          <t>GCG Colombia</t>
        </is>
      </c>
      <c r="E2" s="27" t="inlineStr">
        <is>
          <t>GCG Guayaquil</t>
        </is>
      </c>
      <c r="F2" s="27" t="inlineStr">
        <is>
          <t>GCG Paraguay</t>
        </is>
      </c>
      <c r="G2" s="27" t="inlineStr">
        <is>
          <t>GCG Quito</t>
        </is>
      </c>
      <c r="H2" s="27" t="inlineStr">
        <is>
          <t>GCG Uruguay</t>
        </is>
      </c>
      <c r="I2" s="27" t="inlineStr">
        <is>
          <t>GCG Caracas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IF(JUN!C5="","",JUN!C5)</f>
        <v/>
      </c>
      <c r="D31" s="11">
        <f>IF(JUN!D5="","",JUN!D5)</f>
        <v/>
      </c>
      <c r="E31" s="11">
        <f>IF(JUN!E5="","",JUN!E5)</f>
        <v/>
      </c>
      <c r="F31" s="11">
        <f>IF(JUN!F5="","",JUN!F5)</f>
        <v/>
      </c>
      <c r="G31" s="11">
        <f>IF(JUN!G5="","",JUN!G5)</f>
        <v/>
      </c>
      <c r="H31" s="11">
        <f>IF(JUN!H5="","",JUN!H5)</f>
        <v/>
      </c>
      <c r="I31" s="11">
        <f>IF(JUN!I5="","",JUN!I5)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IF('(Bogota)'!$AB$13="","",'(Bogota)'!$AB$13)</f>
        <v/>
      </c>
      <c r="D39" s="14">
        <f>IF('(Colombia)'!$AB$13="","",'(Colombia)'!$AB$13)</f>
        <v/>
      </c>
      <c r="E39" s="14">
        <f>IF('(Guayaquil)'!$AB$13="","",'(Guayaquil)'!$AB$13)</f>
        <v/>
      </c>
      <c r="F39" s="14">
        <f>IF('(Paraguay)'!$AB$13="","",'(Paraguay)'!$AB$13)</f>
        <v/>
      </c>
      <c r="G39" s="14">
        <f>IF('(Quito)'!$AB$13="","",'(Quito)'!$AB$13)</f>
        <v/>
      </c>
      <c r="H39" s="14">
        <f>IF('(Uruguay)'!$AB$13="","",'(Uruguay)'!$AB$13)</f>
        <v/>
      </c>
      <c r="I39" s="14">
        <f>IF('(Caracas)'!$AB$13="","",'(Caracas)'!$AB$13)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IF('(Bogota)'!$AD$13="","",'(Bogota)'!$AD$13)</f>
        <v/>
      </c>
      <c r="D40" s="14">
        <f>IF('(Colombia)'!$AD$13="","",'(Colombia)'!$AD$13)</f>
        <v/>
      </c>
      <c r="E40" s="14">
        <f>IF('(Guayaquil)'!$AD$13="","",'(Guayaquil)'!$AD$13)</f>
        <v/>
      </c>
      <c r="F40" s="14">
        <f>IF('(Paraguay)'!$AD$13="","",'(Paraguay)'!$AD$13)</f>
        <v/>
      </c>
      <c r="G40" s="14">
        <f>IF('(Quito)'!$AD$13="","",'(Quito)'!$AD$13)</f>
        <v/>
      </c>
      <c r="H40" s="14">
        <f>IF('(Uruguay)'!$AD$13="","",'(Uruguay)'!$AD$13)</f>
        <v/>
      </c>
      <c r="I40" s="14">
        <f>IF('(Caracas)'!$AD$13="","",'(Caracas)'!$AD$13)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IF('(Bogota)'!$G$13="","",'(Bogota)'!$G$13)</f>
        <v/>
      </c>
      <c r="D46" s="19">
        <f>IF('(Colombia)'!$G$13="","",'(Colombia)'!$G$13)</f>
        <v/>
      </c>
      <c r="E46" s="19">
        <f>IF('(Guayaquil)'!$G$13="","",'(Guayaquil)'!$G$13)</f>
        <v/>
      </c>
      <c r="F46" s="19">
        <f>IF('(Paraguay)'!$G$13="","",'(Paraguay)'!$G$13)</f>
        <v/>
      </c>
      <c r="G46" s="19">
        <f>IF('(Quito)'!$G$13="","",'(Quito)'!$G$13)</f>
        <v/>
      </c>
      <c r="H46" s="19">
        <f>IF('(Uruguay)'!$G$13="","",'(Uruguay)'!$G$13)</f>
        <v/>
      </c>
      <c r="I46" s="19">
        <f>IF('(Caracas)'!$G$13="","",'(Caracas)'!$G$13)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IF('(Bogota)'!$O$13="","",'(Bogota)'!$O$13)</f>
        <v/>
      </c>
      <c r="D47" s="19">
        <f>IF('(Colombia)'!$O$13="","",'(Colombia)'!$O$13)</f>
        <v/>
      </c>
      <c r="E47" s="19">
        <f>IF('(Guayaquil)'!$O$13="","",'(Guayaquil)'!$O$13)</f>
        <v/>
      </c>
      <c r="F47" s="19">
        <f>IF('(Paraguay)'!$O$13="","",'(Paraguay)'!$O$13)</f>
        <v/>
      </c>
      <c r="G47" s="19">
        <f>IF('(Quito)'!$O$13="","",'(Quito)'!$O$13)</f>
        <v/>
      </c>
      <c r="H47" s="19">
        <f>IF('(Uruguay)'!$O$13="","",'(Uruguay)'!$O$13)</f>
        <v/>
      </c>
      <c r="I47" s="19">
        <f>IF('(Caracas)'!$O$13="","",'(Caracas)'!$O$13)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SOUTH AMERICA</t>
        </is>
      </c>
      <c r="C1" s="26" t="inlineStr">
        <is>
          <t>1069</t>
        </is>
      </c>
      <c r="D1" s="26" t="inlineStr">
        <is>
          <t>1178</t>
        </is>
      </c>
      <c r="E1" s="26" t="inlineStr">
        <is>
          <t>1077</t>
        </is>
      </c>
      <c r="F1" s="26" t="inlineStr">
        <is>
          <t>1081</t>
        </is>
      </c>
      <c r="G1" s="26" t="inlineStr">
        <is>
          <t>1082</t>
        </is>
      </c>
      <c r="H1" s="26" t="inlineStr">
        <is>
          <t>1085</t>
        </is>
      </c>
      <c r="I1" s="26" t="inlineStr">
        <is>
          <t>1071U</t>
        </is>
      </c>
      <c r="J1" s="3" t="n"/>
      <c r="K1" s="3" t="n"/>
      <c r="L1" s="3" t="n"/>
    </row>
    <row r="2" ht="72" customHeight="1">
      <c r="A2" s="4">
        <f>VALUE(TEXT(EDATE(DATE(LEFT(JUL!A2,4),RIGHT(JUL!A2,2),1),1),"yyyymm"))</f>
        <v/>
      </c>
      <c r="B2" s="5" t="inlineStr">
        <is>
          <t>AUG</t>
        </is>
      </c>
      <c r="C2" s="27" t="inlineStr">
        <is>
          <t>GCG Bogota Colombia</t>
        </is>
      </c>
      <c r="D2" s="27" t="inlineStr">
        <is>
          <t>GCG Colombia</t>
        </is>
      </c>
      <c r="E2" s="27" t="inlineStr">
        <is>
          <t>GCG Guayaquil</t>
        </is>
      </c>
      <c r="F2" s="27" t="inlineStr">
        <is>
          <t>GCG Paraguay</t>
        </is>
      </c>
      <c r="G2" s="27" t="inlineStr">
        <is>
          <t>GCG Quito</t>
        </is>
      </c>
      <c r="H2" s="27" t="inlineStr">
        <is>
          <t>GCG Uruguay</t>
        </is>
      </c>
      <c r="I2" s="27" t="inlineStr">
        <is>
          <t>GCG Caracas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IF(JUL!C5="","",JUL!C5)</f>
        <v/>
      </c>
      <c r="D31" s="11">
        <f>IF(JUL!D5="","",JUL!D5)</f>
        <v/>
      </c>
      <c r="E31" s="11">
        <f>IF(JUL!E5="","",JUL!E5)</f>
        <v/>
      </c>
      <c r="F31" s="11">
        <f>IF(JUL!F5="","",JUL!F5)</f>
        <v/>
      </c>
      <c r="G31" s="11">
        <f>IF(JUL!G5="","",JUL!G5)</f>
        <v/>
      </c>
      <c r="H31" s="11">
        <f>IF(JUL!H5="","",JUL!H5)</f>
        <v/>
      </c>
      <c r="I31" s="11">
        <f>IF(JUL!I5="","",JUL!I5)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IF('(Bogota)'!$AB$14="","",'(Bogota)'!$AB$14)</f>
        <v/>
      </c>
      <c r="D39" s="14">
        <f>IF('(Colombia)'!$AB$14="","",'(Colombia)'!$AB$14)</f>
        <v/>
      </c>
      <c r="E39" s="14">
        <f>IF('(Guayaquil)'!$AB$14="","",'(Guayaquil)'!$AB$14)</f>
        <v/>
      </c>
      <c r="F39" s="14">
        <f>IF('(Paraguay)'!$AB$14="","",'(Paraguay)'!$AB$14)</f>
        <v/>
      </c>
      <c r="G39" s="14">
        <f>IF('(Quito)'!$AB$14="","",'(Quito)'!$AB$14)</f>
        <v/>
      </c>
      <c r="H39" s="14">
        <f>IF('(Uruguay)'!$AB$14="","",'(Uruguay)'!$AB$14)</f>
        <v/>
      </c>
      <c r="I39" s="14">
        <f>IF('(Caracas)'!$AB$14="","",'(Caracas)'!$AB$14)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IF('(Bogota)'!$AD$14="","",'(Bogota)'!$AD$14)</f>
        <v/>
      </c>
      <c r="D40" s="14">
        <f>IF('(Colombia)'!$AD$14="","",'(Colombia)'!$AD$14)</f>
        <v/>
      </c>
      <c r="E40" s="14">
        <f>IF('(Guayaquil)'!$AD$14="","",'(Guayaquil)'!$AD$14)</f>
        <v/>
      </c>
      <c r="F40" s="14">
        <f>IF('(Paraguay)'!$AD$14="","",'(Paraguay)'!$AD$14)</f>
        <v/>
      </c>
      <c r="G40" s="14">
        <f>IF('(Quito)'!$AD$14="","",'(Quito)'!$AD$14)</f>
        <v/>
      </c>
      <c r="H40" s="14">
        <f>IF('(Uruguay)'!$AD$14="","",'(Uruguay)'!$AD$14)</f>
        <v/>
      </c>
      <c r="I40" s="14">
        <f>IF('(Caracas)'!$AD$14="","",'(Caracas)'!$AD$14)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IF('(Bogota)'!$G$14="","",'(Bogota)'!$G$14)</f>
        <v/>
      </c>
      <c r="D46" s="19">
        <f>IF('(Colombia)'!$G$14="","",'(Colombia)'!$G$14)</f>
        <v/>
      </c>
      <c r="E46" s="19">
        <f>IF('(Guayaquil)'!$G$14="","",'(Guayaquil)'!$G$14)</f>
        <v/>
      </c>
      <c r="F46" s="19">
        <f>IF('(Paraguay)'!$G$14="","",'(Paraguay)'!$G$14)</f>
        <v/>
      </c>
      <c r="G46" s="19">
        <f>IF('(Quito)'!$G$14="","",'(Quito)'!$G$14)</f>
        <v/>
      </c>
      <c r="H46" s="19">
        <f>IF('(Uruguay)'!$G$14="","",'(Uruguay)'!$G$14)</f>
        <v/>
      </c>
      <c r="I46" s="19">
        <f>IF('(Caracas)'!$G$14="","",'(Caracas)'!$G$14)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IF('(Bogota)'!$O$14="","",'(Bogota)'!$O$14)</f>
        <v/>
      </c>
      <c r="D47" s="19">
        <f>IF('(Colombia)'!$O$14="","",'(Colombia)'!$O$14)</f>
        <v/>
      </c>
      <c r="E47" s="19">
        <f>IF('(Guayaquil)'!$O$14="","",'(Guayaquil)'!$O$14)</f>
        <v/>
      </c>
      <c r="F47" s="19">
        <f>IF('(Paraguay)'!$O$14="","",'(Paraguay)'!$O$14)</f>
        <v/>
      </c>
      <c r="G47" s="19">
        <f>IF('(Quito)'!$O$14="","",'(Quito)'!$O$14)</f>
        <v/>
      </c>
      <c r="H47" s="19">
        <f>IF('(Uruguay)'!$O$14="","",'(Uruguay)'!$O$14)</f>
        <v/>
      </c>
      <c r="I47" s="19">
        <f>IF('(Caracas)'!$O$14="","",'(Caracas)'!$O$14)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7265625" customWidth="1" min="10" max="10"/>
    <col width="21" customWidth="1" min="11" max="11"/>
    <col width="11.81640625" customWidth="1" min="12" max="12"/>
  </cols>
  <sheetData>
    <row r="1" ht="30" customHeight="1">
      <c r="A1" s="1" t="n"/>
      <c r="B1" s="2" t="inlineStr">
        <is>
          <t>GCG SOUTH AMERICA</t>
        </is>
      </c>
      <c r="C1" s="26" t="inlineStr">
        <is>
          <t>1069</t>
        </is>
      </c>
      <c r="D1" s="26" t="inlineStr">
        <is>
          <t>1178</t>
        </is>
      </c>
      <c r="E1" s="26" t="inlineStr">
        <is>
          <t>1077</t>
        </is>
      </c>
      <c r="F1" s="26" t="inlineStr">
        <is>
          <t>1081</t>
        </is>
      </c>
      <c r="G1" s="26" t="inlineStr">
        <is>
          <t>1082</t>
        </is>
      </c>
      <c r="H1" s="26" t="inlineStr">
        <is>
          <t>1085</t>
        </is>
      </c>
      <c r="I1" s="26" t="inlineStr">
        <is>
          <t>1071U</t>
        </is>
      </c>
      <c r="J1" s="3" t="n"/>
      <c r="K1" s="3" t="n"/>
      <c r="L1" s="3" t="n"/>
    </row>
    <row r="2" ht="72" customHeight="1">
      <c r="A2" s="4">
        <f>VALUE(TEXT(EDATE(DATE(LEFT(AUG!A2,4),RIGHT(AUG!A2,2),1),1),"yyyymm"))</f>
        <v/>
      </c>
      <c r="B2" s="5" t="inlineStr">
        <is>
          <t>SEP</t>
        </is>
      </c>
      <c r="C2" s="27" t="inlineStr">
        <is>
          <t>GCG Bogota Colombia</t>
        </is>
      </c>
      <c r="D2" s="27" t="inlineStr">
        <is>
          <t>GCG Colombia</t>
        </is>
      </c>
      <c r="E2" s="27" t="inlineStr">
        <is>
          <t>GCG Guayaquil</t>
        </is>
      </c>
      <c r="F2" s="27" t="inlineStr">
        <is>
          <t>GCG Paraguay</t>
        </is>
      </c>
      <c r="G2" s="27" t="inlineStr">
        <is>
          <t>GCG Quito</t>
        </is>
      </c>
      <c r="H2" s="27" t="inlineStr">
        <is>
          <t>GCG Uruguay</t>
        </is>
      </c>
      <c r="I2" s="27" t="inlineStr">
        <is>
          <t>GCG Caracas</t>
        </is>
      </c>
      <c r="J2" s="28" t="inlineStr">
        <is>
          <t>TOTAL</t>
        </is>
      </c>
      <c r="K2" s="4" t="inlineStr">
        <is>
          <t>Total by Division</t>
        </is>
      </c>
      <c r="L2" s="29">
        <f>N(L11)&lt;&gt;0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1">
        <f>IF(COUNT(C3:I3)=0,"",SUM(C3:I3))</f>
        <v/>
      </c>
      <c r="K3" s="4" t="inlineStr">
        <is>
          <t>∑</t>
        </is>
      </c>
      <c r="L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1">
        <f>IF(COUNT(C4:I4)=0,"",SUM(C4:I4))</f>
        <v/>
      </c>
      <c r="K4" s="4" t="inlineStr">
        <is>
          <t>∑</t>
        </is>
      </c>
      <c r="L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31">
        <f>IF(COUNT(J3:J4)=0,"",SUM(J3:J4))</f>
        <v/>
      </c>
      <c r="K5" s="4" t="inlineStr">
        <is>
          <t>ϝ</t>
        </is>
      </c>
      <c r="L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1">
        <f>IF(COUNT(C6:I6)=0,"",SUM(C6:I6))</f>
        <v/>
      </c>
      <c r="K6" s="4" t="inlineStr">
        <is>
          <t>∑</t>
        </is>
      </c>
      <c r="L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1">
        <f>IF(COUNT(C7:I7)=0,"",SUM(C7:I7))</f>
        <v/>
      </c>
      <c r="K7" s="4" t="inlineStr">
        <is>
          <t>∑</t>
        </is>
      </c>
      <c r="L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1">
        <f>IF(COUNT(C8:I8)=0,"",SUM(C8:I8))</f>
        <v/>
      </c>
      <c r="K8" s="4" t="inlineStr">
        <is>
          <t>∑</t>
        </is>
      </c>
      <c r="L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1">
        <f>IF(COUNT(C9:I9)=0,"",SUM(C9:I9))</f>
        <v/>
      </c>
      <c r="K9" s="4" t="inlineStr">
        <is>
          <t>∑</t>
        </is>
      </c>
      <c r="L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3">
        <f>IFERROR(AVERAGE(C10:I10),"")</f>
        <v/>
      </c>
      <c r="K10" s="4" t="inlineStr">
        <is>
          <t>Avg</t>
        </is>
      </c>
      <c r="L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34">
        <f>IF(COUNT(J6:J9)=0,"",N(J6)+N(J7)*0.75+N(J8)*0.5+N(J9)*0.25)</f>
        <v/>
      </c>
      <c r="K11" s="4" t="inlineStr">
        <is>
          <t>FTE</t>
        </is>
      </c>
      <c r="L11" s="35">
        <f>IF(COUNT(J5:J9)=0,"",N(J6)+N(J7)+N(J8)+N(J9)-N(J5))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1">
        <f>IF(COUNT(C12:I12)=0,"",SUM(C12:I12))</f>
        <v/>
      </c>
      <c r="K12" s="4" t="inlineStr">
        <is>
          <t>∑</t>
        </is>
      </c>
      <c r="L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3">
        <f>IF(COUNT(C13:I13)=0,"",SUM(C13:I13))</f>
        <v/>
      </c>
      <c r="K13" s="4" t="inlineStr">
        <is>
          <t>∑</t>
        </is>
      </c>
      <c r="L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34">
        <f>IF(COUNT(C14:I14)=0,"",SUM(C14:I14))</f>
        <v/>
      </c>
      <c r="K14" s="4" t="inlineStr">
        <is>
          <t>FTE</t>
        </is>
      </c>
      <c r="L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31">
        <f>IF(COUNT(J5,J12)=0,"",SUM(J5,J12))</f>
        <v/>
      </c>
      <c r="K15" s="4" t="inlineStr">
        <is>
          <t>ϝ</t>
        </is>
      </c>
      <c r="L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34">
        <f>IF(COUNT(J11,J14)=0,"",SUM(J11,J14))</f>
        <v/>
      </c>
      <c r="K16" s="4" t="inlineStr">
        <is>
          <t>FTE</t>
        </is>
      </c>
      <c r="L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36">
        <f>IFERROR(J12/J15,"")</f>
        <v/>
      </c>
      <c r="K17" s="4" t="inlineStr">
        <is>
          <t>ϝ</t>
        </is>
      </c>
      <c r="L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1">
        <f>IF(COUNT(C18:I18)=0,"",SUM(C18:I18))</f>
        <v/>
      </c>
      <c r="K18" s="4" t="inlineStr">
        <is>
          <t>∑</t>
        </is>
      </c>
      <c r="L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1">
        <f>IF(COUNT(C19:I19)=0,"",SUM(C19:I19))</f>
        <v/>
      </c>
      <c r="K19" s="4" t="inlineStr">
        <is>
          <t>∑</t>
        </is>
      </c>
      <c r="L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1">
        <f>IF(COUNT(C20:I20)=0,"",SUM(C20:I20))</f>
        <v/>
      </c>
      <c r="K20" s="4" t="inlineStr">
        <is>
          <t>∑</t>
        </is>
      </c>
      <c r="L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31">
        <f>IF(COUNT(J19:J20)=0,"",SUM(J19:J20))</f>
        <v/>
      </c>
      <c r="K21" s="4" t="inlineStr">
        <is>
          <t>ϝ</t>
        </is>
      </c>
      <c r="L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1">
        <f>IF(COUNT(C22:I22)=0,"",SUM(C22:I22))</f>
        <v/>
      </c>
      <c r="K22" s="4" t="inlineStr">
        <is>
          <t>∑</t>
        </is>
      </c>
      <c r="L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1">
        <f>IF(COUNT(C23:I23)=0,"",SUM(C23:I23))</f>
        <v/>
      </c>
      <c r="K23" s="4" t="inlineStr">
        <is>
          <t>∑</t>
        </is>
      </c>
      <c r="L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31">
        <f>IF(COUNT(J22:J23)=0,"",SUM(J22:J23))</f>
        <v/>
      </c>
      <c r="K24" s="4" t="inlineStr">
        <is>
          <t>ϝ</t>
        </is>
      </c>
      <c r="L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36">
        <f>IF(COUNT(J31,J32)&lt;2,"",IF((J32+J31)=0,"",N(J22)/((J32+J31)/2)))</f>
        <v/>
      </c>
      <c r="K25" s="4" t="inlineStr">
        <is>
          <t>ϝ</t>
        </is>
      </c>
      <c r="L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36">
        <f>IF(COUNT(J31,J32)&lt;2,"",IF((J32+J31)=0,"",N(J23)/((J32+J31)/2)))</f>
        <v/>
      </c>
      <c r="K26" s="4" t="inlineStr">
        <is>
          <t>ϝ</t>
        </is>
      </c>
      <c r="L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1">
        <f>IF(COUNT(C27:I27)=0,"",SUM(C27:I27))</f>
        <v/>
      </c>
      <c r="K27" s="4" t="inlineStr">
        <is>
          <t>∑</t>
        </is>
      </c>
      <c r="L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1">
        <f>IF(COUNT(C28:I28)=0,"",SUM(C28:I28))</f>
        <v/>
      </c>
      <c r="K28" s="4" t="inlineStr">
        <is>
          <t>∑</t>
        </is>
      </c>
      <c r="L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36">
        <f>IF(COUNT(J31,J32)&lt;2,"",IF((J32+J31)=0,"",N(J27)/((J32+J31)/2)))</f>
        <v/>
      </c>
      <c r="K29" s="4" t="inlineStr">
        <is>
          <t>ϝ</t>
        </is>
      </c>
      <c r="L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36">
        <f>IF(COUNT(J31,J32)&lt;2,"",IF((J32+J31)=0,"",N(J28)/((J32+J31)/2)))</f>
        <v/>
      </c>
      <c r="K30" s="4" t="inlineStr">
        <is>
          <t>ϝ</t>
        </is>
      </c>
      <c r="L30" s="3" t="n"/>
    </row>
    <row r="31" ht="15.5" customHeight="1">
      <c r="A31" s="3" t="n"/>
      <c r="B31" s="10" t="inlineStr">
        <is>
          <t>Headcount last Month</t>
        </is>
      </c>
      <c r="C31" s="11">
        <f>IF(AUG!C5="","",AUG!C5)</f>
        <v/>
      </c>
      <c r="D31" s="11">
        <f>IF(AUG!D5="","",AUG!D5)</f>
        <v/>
      </c>
      <c r="E31" s="11">
        <f>IF(AUG!E5="","",AUG!E5)</f>
        <v/>
      </c>
      <c r="F31" s="11">
        <f>IF(AUG!F5="","",AUG!F5)</f>
        <v/>
      </c>
      <c r="G31" s="11">
        <f>IF(AUG!G5="","",AUG!G5)</f>
        <v/>
      </c>
      <c r="H31" s="11">
        <f>IF(AUG!H5="","",AUG!H5)</f>
        <v/>
      </c>
      <c r="I31" s="11">
        <f>IF(AUG!I5="","",AUG!I5)</f>
        <v/>
      </c>
      <c r="J31" s="31">
        <f>IF(COUNT(C31:I31)=0,"",SUM(C31:I31))</f>
        <v/>
      </c>
      <c r="K31" s="4" t="inlineStr">
        <is>
          <t>∑</t>
        </is>
      </c>
      <c r="L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31">
        <f>IF(COUNT(C32:I32)=0,"",SUM(C32:I32))</f>
        <v/>
      </c>
      <c r="K32" s="4" t="inlineStr">
        <is>
          <t>∑</t>
        </is>
      </c>
      <c r="L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36">
        <f>IF(COUNT(J31,J32)&lt;2,"",IF((J32+J31)=0,"",N(J24)/((J32+J31)/2)))</f>
        <v/>
      </c>
      <c r="K33" s="4" t="inlineStr">
        <is>
          <t>ϝ</t>
        </is>
      </c>
      <c r="L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1">
        <f>IF(COUNT(C34:I34)=0,"",SUM(C34:I34))</f>
        <v/>
      </c>
      <c r="K34" s="4" t="inlineStr">
        <is>
          <t>∑</t>
        </is>
      </c>
      <c r="L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1">
        <f>IF(COUNT(C35:I35)=0,"",SUM(C35:I35))</f>
        <v/>
      </c>
      <c r="K35" s="4" t="inlineStr">
        <is>
          <t>∑</t>
        </is>
      </c>
      <c r="L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31">
        <f>IF(COUNT(J34:J35)=0,"",SUM(J34:J35))</f>
        <v/>
      </c>
      <c r="K36" s="4" t="inlineStr">
        <is>
          <t>ϝ</t>
        </is>
      </c>
      <c r="L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31">
        <f>IF(COUNT(J5,J36)=0,"",N(J5)+N(J36))</f>
        <v/>
      </c>
      <c r="K37" s="4" t="inlineStr">
        <is>
          <t>ϝ</t>
        </is>
      </c>
      <c r="L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36">
        <f>IFERROR(J36/J37,"")</f>
        <v/>
      </c>
      <c r="K38" s="4" t="inlineStr">
        <is>
          <t>ϝ</t>
        </is>
      </c>
      <c r="L38" s="3" t="n"/>
    </row>
    <row r="39" ht="15.5" customHeight="1">
      <c r="A39" s="3" t="n"/>
      <c r="B39" s="10" t="inlineStr">
        <is>
          <t>Permanent TimeToHire (Days) YTD</t>
        </is>
      </c>
      <c r="C39" s="14">
        <f>IF('(Bogota)'!$AB$15="","",'(Bogota)'!$AB$15)</f>
        <v/>
      </c>
      <c r="D39" s="14">
        <f>IF('(Colombia)'!$AB$15="","",'(Colombia)'!$AB$15)</f>
        <v/>
      </c>
      <c r="E39" s="14">
        <f>IF('(Guayaquil)'!$AB$15="","",'(Guayaquil)'!$AB$15)</f>
        <v/>
      </c>
      <c r="F39" s="14">
        <f>IF('(Paraguay)'!$AB$15="","",'(Paraguay)'!$AB$15)</f>
        <v/>
      </c>
      <c r="G39" s="14">
        <f>IF('(Quito)'!$AB$15="","",'(Quito)'!$AB$15)</f>
        <v/>
      </c>
      <c r="H39" s="14">
        <f>IF('(Uruguay)'!$AB$15="","",'(Uruguay)'!$AB$15)</f>
        <v/>
      </c>
      <c r="I39" s="14">
        <f>IF('(Caracas)'!$AB$15="","",'(Caracas)'!$AB$15)</f>
        <v/>
      </c>
      <c r="J39" s="33">
        <f>IFERROR(AVERAGE(C39:I39),"")</f>
        <v/>
      </c>
      <c r="K39" s="4" t="inlineStr">
        <is>
          <t>Avg</t>
        </is>
      </c>
      <c r="L39" s="3" t="n"/>
    </row>
    <row r="40" ht="15.5" customHeight="1">
      <c r="A40" s="3" t="n"/>
      <c r="B40" s="10" t="inlineStr">
        <is>
          <t>Temporary TimeToHire (Days) YTD</t>
        </is>
      </c>
      <c r="C40" s="14">
        <f>IF('(Bogota)'!$AD$15="","",'(Bogota)'!$AD$15)</f>
        <v/>
      </c>
      <c r="D40" s="14">
        <f>IF('(Colombia)'!$AD$15="","",'(Colombia)'!$AD$15)</f>
        <v/>
      </c>
      <c r="E40" s="14">
        <f>IF('(Guayaquil)'!$AD$15="","",'(Guayaquil)'!$AD$15)</f>
        <v/>
      </c>
      <c r="F40" s="14">
        <f>IF('(Paraguay)'!$AD$15="","",'(Paraguay)'!$AD$15)</f>
        <v/>
      </c>
      <c r="G40" s="14">
        <f>IF('(Quito)'!$AD$15="","",'(Quito)'!$AD$15)</f>
        <v/>
      </c>
      <c r="H40" s="14">
        <f>IF('(Uruguay)'!$AD$15="","",'(Uruguay)'!$AD$15)</f>
        <v/>
      </c>
      <c r="I40" s="14">
        <f>IF('(Caracas)'!$AD$15="","",'(Caracas)'!$AD$15)</f>
        <v/>
      </c>
      <c r="J40" s="33">
        <f>IFERROR(AVERAGE(C40:I40),"")</f>
        <v/>
      </c>
      <c r="K40" s="4" t="inlineStr">
        <is>
          <t>Avg</t>
        </is>
      </c>
      <c r="L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8">
        <f>IFERROR(AVERAGE(C41:I41),"")</f>
        <v/>
      </c>
      <c r="K41" s="4" t="inlineStr">
        <is>
          <t>Avg</t>
        </is>
      </c>
      <c r="L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1">
        <f>IF(COUNT(C42:I42)=0,"",SUM(C42:I42))</f>
        <v/>
      </c>
      <c r="K42" s="4" t="inlineStr">
        <is>
          <t>∑</t>
        </is>
      </c>
      <c r="L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3">
        <f>IF(COUNT(C43:I43)=0,"",SUM(C43:I43))</f>
        <v/>
      </c>
      <c r="K43" s="4" t="inlineStr">
        <is>
          <t>∑</t>
        </is>
      </c>
      <c r="L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3">
        <f>IF(COUNT(C44:I44)=0,"",SUM(C44:I44))</f>
        <v/>
      </c>
      <c r="K44" s="4" t="inlineStr">
        <is>
          <t>∑</t>
        </is>
      </c>
      <c r="L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33">
        <f>IF(COUNT(J43:J44)=0,"",SUM(J43:J44))</f>
        <v/>
      </c>
      <c r="K45" s="4" t="inlineStr">
        <is>
          <t>ϝ</t>
        </is>
      </c>
      <c r="L45" s="3" t="n"/>
    </row>
    <row r="46" ht="15.5" customHeight="1">
      <c r="A46" s="3" t="n"/>
      <c r="B46" s="13" t="inlineStr">
        <is>
          <t>Absent Rate Non-Certified (%)</t>
        </is>
      </c>
      <c r="C46" s="19">
        <f>IF('(Bogota)'!$G$15="","",'(Bogota)'!$G$15)</f>
        <v/>
      </c>
      <c r="D46" s="19">
        <f>IF('(Colombia)'!$G$15="","",'(Colombia)'!$G$15)</f>
        <v/>
      </c>
      <c r="E46" s="19">
        <f>IF('(Guayaquil)'!$G$15="","",'(Guayaquil)'!$G$15)</f>
        <v/>
      </c>
      <c r="F46" s="19">
        <f>IF('(Paraguay)'!$G$15="","",'(Paraguay)'!$G$15)</f>
        <v/>
      </c>
      <c r="G46" s="19">
        <f>IF('(Quito)'!$G$15="","",'(Quito)'!$G$15)</f>
        <v/>
      </c>
      <c r="H46" s="19">
        <f>IF('(Uruguay)'!$G$15="","",'(Uruguay)'!$G$15)</f>
        <v/>
      </c>
      <c r="I46" s="19">
        <f>IF('(Caracas)'!$G$15="","",'(Caracas)'!$G$15)</f>
        <v/>
      </c>
      <c r="J46" s="36">
        <f t="array" ref="J46">IF(COUNT(C46:I46)=0,"",IFERROR(SUMPRODUCT(IFERROR(C46:I46*((C3:I3)+(C4:I4)),0))/SUMPRODUCT(IFERROR(ISNUMBER(C46:I46)*((C3:I3)+(C4:I4)),0)),""))</f>
        <v/>
      </c>
      <c r="K46" s="4" t="inlineStr">
        <is>
          <t>Weighted</t>
        </is>
      </c>
      <c r="L46" s="3" t="n"/>
    </row>
    <row r="47" ht="15.5" customHeight="1">
      <c r="A47" s="3" t="n"/>
      <c r="B47" s="13" t="inlineStr">
        <is>
          <t>Absent Rate Certified (%)</t>
        </is>
      </c>
      <c r="C47" s="19">
        <f>IF('(Bogota)'!$O$15="","",'(Bogota)'!$O$15)</f>
        <v/>
      </c>
      <c r="D47" s="19">
        <f>IF('(Colombia)'!$O$15="","",'(Colombia)'!$O$15)</f>
        <v/>
      </c>
      <c r="E47" s="19">
        <f>IF('(Guayaquil)'!$O$15="","",'(Guayaquil)'!$O$15)</f>
        <v/>
      </c>
      <c r="F47" s="19">
        <f>IF('(Paraguay)'!$O$15="","",'(Paraguay)'!$O$15)</f>
        <v/>
      </c>
      <c r="G47" s="19">
        <f>IF('(Quito)'!$O$15="","",'(Quito)'!$O$15)</f>
        <v/>
      </c>
      <c r="H47" s="19">
        <f>IF('(Uruguay)'!$O$15="","",'(Uruguay)'!$O$15)</f>
        <v/>
      </c>
      <c r="I47" s="19">
        <f>IF('(Caracas)'!$O$15="","",'(Caracas)'!$O$15)</f>
        <v/>
      </c>
      <c r="J47" s="36">
        <f t="array" ref="J47">IF(COUNT(C47:I47)=0,"",IFERROR(SUMPRODUCT(IFERROR(C47:I47*((C3:I3)+(C4:I4)),0))/SUMPRODUCT(IFERROR(ISNUMBER(C47:I47)*((C3:I3)+(C4:I4)),0)),""))</f>
        <v/>
      </c>
      <c r="K47" s="4" t="inlineStr">
        <is>
          <t>Weighted</t>
        </is>
      </c>
      <c r="L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36">
        <f>IF(COUNT(J46:J47)=0,"",SUM(J46:J47))</f>
        <v/>
      </c>
      <c r="K48" s="4" t="inlineStr">
        <is>
          <t>Weighted</t>
        </is>
      </c>
      <c r="L48" s="3" t="n"/>
    </row>
    <row r="49" ht="15.5" customHeight="1">
      <c r="A49" s="3" t="n"/>
      <c r="B49" s="18" t="inlineStr">
        <is>
          <t>Weight factor</t>
        </is>
      </c>
      <c r="C49" s="19">
        <f>IFERROR(C5/$J5,"")</f>
        <v/>
      </c>
      <c r="D49" s="19">
        <f>IFERROR(D5/$J5,"")</f>
        <v/>
      </c>
      <c r="E49" s="19">
        <f>IFERROR(E5/$J5,"")</f>
        <v/>
      </c>
      <c r="F49" s="19">
        <f>IFERROR(F5/$J5,"")</f>
        <v/>
      </c>
      <c r="G49" s="19">
        <f>IFERROR(G5/$J5,"")</f>
        <v/>
      </c>
      <c r="H49" s="19">
        <f>IFERROR(H5/$J5,"")</f>
        <v/>
      </c>
      <c r="I49" s="19">
        <f>IFERROR(I5/$J5,"")</f>
        <v/>
      </c>
      <c r="J49" s="36">
        <f>IF(COUNT(C49:I49)=0,"",SUM(C49:I49))</f>
        <v/>
      </c>
      <c r="K49" s="4" t="inlineStr">
        <is>
          <t>Weight Factor</t>
        </is>
      </c>
      <c r="L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3">
        <f>IF(COUNT(C50:I50)=0,"",SUM(C50:I50))</f>
        <v/>
      </c>
      <c r="K50" s="4" t="inlineStr">
        <is>
          <t>∑</t>
        </is>
      </c>
      <c r="L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3">
        <f>IF(COUNT(C51:I51)=0,"",SUM(C51:I51))</f>
        <v/>
      </c>
      <c r="K51" s="4" t="inlineStr">
        <is>
          <t>∑</t>
        </is>
      </c>
      <c r="L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3">
        <f>IF(COUNT(C52:I52)=0,"",SUM(C52:I52))</f>
        <v/>
      </c>
      <c r="K52" s="4" t="inlineStr">
        <is>
          <t>∑</t>
        </is>
      </c>
      <c r="L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3">
        <f>IF(COUNT(C53:I53)=0,"",SUM(C53:I53))</f>
        <v/>
      </c>
      <c r="K53" s="4" t="inlineStr">
        <is>
          <t>∑</t>
        </is>
      </c>
      <c r="L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3">
        <f>IF(COUNT(C54:I54)=0,"",SUM(C54:I54))</f>
        <v/>
      </c>
      <c r="K54" s="4" t="inlineStr">
        <is>
          <t>∑</t>
        </is>
      </c>
      <c r="L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33">
        <f>IF(COUNT(J50:J54)=0,"",SUM(J50:J54))</f>
        <v/>
      </c>
      <c r="K55" s="4" t="inlineStr">
        <is>
          <t>ϝ</t>
        </is>
      </c>
      <c r="L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3">
        <f>IF(COUNT(C56:I56)=0,"",SUM(C56:I56))</f>
        <v/>
      </c>
      <c r="K56" s="4" t="inlineStr">
        <is>
          <t>∑</t>
        </is>
      </c>
      <c r="L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3">
        <f>IF(COUNT(C57:I57)=0,"",SUM(C57:I57))</f>
        <v/>
      </c>
      <c r="K57" s="4" t="inlineStr">
        <is>
          <t>∑</t>
        </is>
      </c>
      <c r="L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3">
        <f>IF(COUNT(C58:I58)=0,"",SUM(C58:I58))</f>
        <v/>
      </c>
      <c r="K58" s="4" t="inlineStr">
        <is>
          <t>∑</t>
        </is>
      </c>
      <c r="L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3">
        <f>IF(COUNT(C59:I59)=0,"",SUM(C59:I59))</f>
        <v/>
      </c>
      <c r="K59" s="4" t="inlineStr">
        <is>
          <t>∑</t>
        </is>
      </c>
      <c r="L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36">
        <f>IFERROR(J50/J$55,"")</f>
        <v/>
      </c>
      <c r="K60" s="4" t="inlineStr">
        <is>
          <t>ϝ</t>
        </is>
      </c>
      <c r="L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36">
        <f>IFERROR(J51/J$55,"")</f>
        <v/>
      </c>
      <c r="K61" s="4" t="inlineStr">
        <is>
          <t>ϝ</t>
        </is>
      </c>
      <c r="L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36">
        <f>IFERROR(J52/J$55,"")</f>
        <v/>
      </c>
      <c r="K62" s="4" t="inlineStr">
        <is>
          <t>ϝ</t>
        </is>
      </c>
      <c r="L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36">
        <f>IFERROR(J53/J$55,"")</f>
        <v/>
      </c>
      <c r="K63" s="4" t="inlineStr">
        <is>
          <t>ϝ</t>
        </is>
      </c>
      <c r="L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36">
        <f>IFERROR(J54/J$55,"")</f>
        <v/>
      </c>
      <c r="K64" s="4" t="inlineStr">
        <is>
          <t>ϝ</t>
        </is>
      </c>
      <c r="L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36">
        <f>IFERROR(J56/J5,"")</f>
        <v/>
      </c>
      <c r="K65" s="4" t="inlineStr">
        <is>
          <t>ϝ</t>
        </is>
      </c>
      <c r="L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34">
        <f>IFERROR(J55/J5,"")</f>
        <v/>
      </c>
      <c r="K66" s="4" t="inlineStr">
        <is>
          <t>ϝ</t>
        </is>
      </c>
      <c r="L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34">
        <f>IFERROR(J55/J56,"")</f>
        <v/>
      </c>
      <c r="K67" s="4" t="inlineStr">
        <is>
          <t>ϝ</t>
        </is>
      </c>
      <c r="L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34">
        <f>IF(COUNT(J58:J59)=0,"",IFERROR((N(J58)+N(J59))/J5,""))</f>
        <v/>
      </c>
      <c r="K68" s="4" t="inlineStr">
        <is>
          <t>ϝ</t>
        </is>
      </c>
      <c r="L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34">
        <f>IF(COUNT(J58:J59)=0,"",IFERROR((N(J58)+N(J59))/J56,""))</f>
        <v/>
      </c>
      <c r="K69" s="4" t="inlineStr">
        <is>
          <t>ϝ</t>
        </is>
      </c>
      <c r="L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33">
        <f>SUM(C70:I70)</f>
        <v/>
      </c>
      <c r="K70" s="39" t="inlineStr">
        <is>
          <t>∑</t>
        </is>
      </c>
      <c r="L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4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Bogota Colombia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IF(OCT!$C$5="","",OCT!$C$5)</f>
        <v/>
      </c>
      <c r="D4" s="55" t="n"/>
      <c r="E4" s="56">
        <f>IF(OCT!$C$43="","",OCT!$C$43)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IF(OCT!$C$44="","",OCT!$C$44)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IF($C4="","",SUMPRODUCT(($E$21:$E$540&gt;=$Z$4)*($E$21:$E$540&lt;=EOMONTH($Z4,0)),$G$21:$G$540))</f>
        <v/>
      </c>
      <c r="AB4" s="56">
        <f>IF(N(AA4)=0,"",SUMPRODUCT(($E$21:$E$540&gt;=$Z$4)*($E$21:$E$540&lt;=EOMONTH($Z4,0)),$F$21:$F$540,$G$21:$G$540)/AA4)</f>
        <v/>
      </c>
      <c r="AC4" s="59">
        <f>IF($C4="","",SUMPRODUCT(($L$21:$L$540&gt;=$Z$4)*($L$21:$L$540&lt;=EOMONTH($Z4,0)),$N$21:$N$540))</f>
        <v/>
      </c>
      <c r="AD4" s="56">
        <f>IF(N(AC4)=0,"",SUMPRODUCT(($L$21:$L$540&gt;=$Z$4)*($L$21:$L$540&lt;=EOMONTH($Z4,0)),$M$21:$M$540,$N$21:$N$540)/AC4)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IF(NOV!$C$5="","",NOV!$C$5)</f>
        <v/>
      </c>
      <c r="D5" s="55" t="n"/>
      <c r="E5" s="56">
        <f>IF(NOV!$C$43="","",NOV!$C$43)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IF(NOV!$C$44="","",NOV!$C$44)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IF($C5="","",SUMPRODUCT(($E$21:$E$540&gt;=$Z$4)*($E$21:$E$540&lt;=EOMONTH($Z5,0)),$G$21:$G$540))</f>
        <v/>
      </c>
      <c r="AB5" s="56">
        <f>IF(N(AA5)=0,"",SUMPRODUCT(($E$21:$E$540&gt;=$Z$4)*($E$21:$E$540&lt;=EOMONTH($Z5,0)),$F$21:$F$540,$G$21:$G$540)/AA5)</f>
        <v/>
      </c>
      <c r="AC5" s="59">
        <f>IF($C5="","",SUMPRODUCT(($L$21:$L$540&gt;=$Z$4)*($L$21:$L$540&lt;=EOMONTH($Z5,0)),$N$21:$N$540))</f>
        <v/>
      </c>
      <c r="AD5" s="56">
        <f>IF(N(AC5)=0,"",SUMPRODUCT(($L$21:$L$540&gt;=$Z$4)*($L$21:$L$540&lt;=EOMONTH($Z5,0)),$M$21:$M$540,$N$21:$N$540)/AC5)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IF(DEC!$C$5="","",DEC!$C$5)</f>
        <v/>
      </c>
      <c r="D6" s="55" t="n"/>
      <c r="E6" s="56">
        <f>IF(DEC!$C$43="","",DEC!$C$43)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IF(DEC!$C$44="","",DEC!$C$44)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IF($C6="","",SUMPRODUCT(($E$21:$E$540&gt;=$Z$4)*($E$21:$E$540&lt;=EOMONTH($Z6,0)),$G$21:$G$540))</f>
        <v/>
      </c>
      <c r="AB6" s="56">
        <f>IF(N(AA6)=0,"",SUMPRODUCT(($E$21:$E$540&gt;=$Z$4)*($E$21:$E$540&lt;=EOMONTH($Z6,0)),$F$21:$F$540,$G$21:$G$540)/AA6)</f>
        <v/>
      </c>
      <c r="AC6" s="59">
        <f>IF($C6="","",SUMPRODUCT(($L$21:$L$540&gt;=$Z$4)*($L$21:$L$540&lt;=EOMONTH($Z6,0)),$N$21:$N$540))</f>
        <v/>
      </c>
      <c r="AD6" s="56">
        <f>IF(N(AC6)=0,"",SUMPRODUCT(($L$21:$L$540&gt;=$Z$4)*($L$21:$L$540&lt;=EOMONTH($Z6,0)),$M$21:$M$540,$N$21:$N$540)/AC6)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IF(JAN!$C$5="","",JAN!$C$5)</f>
        <v/>
      </c>
      <c r="D7" s="55" t="n"/>
      <c r="E7" s="56">
        <f>IF(JAN!$C$43="","",JAN!$C$43)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IF(JAN!$C$44="","",JAN!$C$44)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IF($C7="","",SUMPRODUCT(($E$21:$E$540&gt;=$Z$4)*($E$21:$E$540&lt;=EOMONTH($Z7,0)),$G$21:$G$540))</f>
        <v/>
      </c>
      <c r="AB7" s="56">
        <f>IF(N(AA7)=0,"",SUMPRODUCT(($E$21:$E$540&gt;=$Z$4)*($E$21:$E$540&lt;=EOMONTH($Z7,0)),$F$21:$F$540,$G$21:$G$540)/AA7)</f>
        <v/>
      </c>
      <c r="AC7" s="59">
        <f>IF($C7="","",SUMPRODUCT(($L$21:$L$540&gt;=$Z$4)*($L$21:$L$540&lt;=EOMONTH($Z7,0)),$N$21:$N$540))</f>
        <v/>
      </c>
      <c r="AD7" s="56">
        <f>IF(N(AC7)=0,"",SUMPRODUCT(($L$21:$L$540&gt;=$Z$4)*($L$21:$L$540&lt;=EOMONTH($Z7,0)),$M$21:$M$540,$N$21:$N$540)/AC7)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IF(FEB!$C$5="","",FEB!$C$5)</f>
        <v/>
      </c>
      <c r="D8" s="55" t="n"/>
      <c r="E8" s="56">
        <f>IF(FEB!$C$43="","",FEB!$C$43)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IF(FEB!$C$44="","",FEB!$C$44)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IF($C8="","",SUMPRODUCT(($E$21:$E$540&gt;=$Z$4)*($E$21:$E$540&lt;=EOMONTH($Z8,0)),$G$21:$G$540))</f>
        <v/>
      </c>
      <c r="AB8" s="56">
        <f>IF(N(AA8)=0,"",SUMPRODUCT(($E$21:$E$540&gt;=$Z$4)*($E$21:$E$540&lt;=EOMONTH($Z8,0)),$F$21:$F$540,$G$21:$G$540)/AA8)</f>
        <v/>
      </c>
      <c r="AC8" s="59">
        <f>IF($C8="","",SUMPRODUCT(($L$21:$L$540&gt;=$Z$4)*($L$21:$L$540&lt;=EOMONTH($Z8,0)),$N$21:$N$540))</f>
        <v/>
      </c>
      <c r="AD8" s="56">
        <f>IF(N(AC8)=0,"",SUMPRODUCT(($L$21:$L$540&gt;=$Z$4)*($L$21:$L$540&lt;=EOMONTH($Z8,0)),$M$21:$M$540,$N$21:$N$540)/AC8)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IF(MAR!$C$5="","",MAR!$C$5)</f>
        <v/>
      </c>
      <c r="D9" s="55" t="n"/>
      <c r="E9" s="56">
        <f>IF(MAR!$C$43="","",MAR!$C$43)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IF(MAR!$C$44="","",MAR!$C$44)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IF($C9="","",SUMPRODUCT(($E$21:$E$540&gt;=$Z$4)*($E$21:$E$540&lt;=EOMONTH($Z9,0)),$G$21:$G$540))</f>
        <v/>
      </c>
      <c r="AB9" s="56">
        <f>IF(N(AA9)=0,"",SUMPRODUCT(($E$21:$E$540&gt;=$Z$4)*($E$21:$E$540&lt;=EOMONTH($Z9,0)),$F$21:$F$540,$G$21:$G$540)/AA9)</f>
        <v/>
      </c>
      <c r="AC9" s="59">
        <f>IF($C9="","",SUMPRODUCT(($L$21:$L$540&gt;=$Z$4)*($L$21:$L$540&lt;=EOMONTH($Z9,0)),$N$21:$N$540))</f>
        <v/>
      </c>
      <c r="AD9" s="56">
        <f>IF(N(AC9)=0,"",SUMPRODUCT(($L$21:$L$540&gt;=$Z$4)*($L$21:$L$540&lt;=EOMONTH($Z9,0)),$M$21:$M$540,$N$21:$N$540)/AC9)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IF(APR!$C$5="","",APR!$C$5)</f>
        <v/>
      </c>
      <c r="D10" s="55" t="n"/>
      <c r="E10" s="56">
        <f>IF(APR!$C$43="","",APR!$C$43)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IF(APR!$C$44="","",APR!$C$44)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IF($C10="","",SUMPRODUCT(($E$21:$E$540&gt;=$Z$4)*($E$21:$E$540&lt;=EOMONTH($Z10,0)),$G$21:$G$540))</f>
        <v/>
      </c>
      <c r="AB10" s="56">
        <f>IF(N(AA10)=0,"",SUMPRODUCT(($E$21:$E$540&gt;=$Z$4)*($E$21:$E$540&lt;=EOMONTH($Z10,0)),$F$21:$F$540,$G$21:$G$540)/AA10)</f>
        <v/>
      </c>
      <c r="AC10" s="59">
        <f>IF($C10="","",SUMPRODUCT(($L$21:$L$540&gt;=$Z$4)*($L$21:$L$540&lt;=EOMONTH($Z10,0)),$N$21:$N$540))</f>
        <v/>
      </c>
      <c r="AD10" s="56">
        <f>IF(N(AC10)=0,"",SUMPRODUCT(($L$21:$L$540&gt;=$Z$4)*($L$21:$L$540&lt;=EOMONTH($Z10,0)),$M$21:$M$540,$N$21:$N$540)/AC10)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IF(MAY!$C$5="","",MAY!$C$5)</f>
        <v/>
      </c>
      <c r="D11" s="55" t="n"/>
      <c r="E11" s="56">
        <f>IF(MAY!$C$43="","",MAY!$C$43)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IF(MAY!$C$44="","",MAY!$C$44)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IF($C11="","",SUMPRODUCT(($E$21:$E$540&gt;=$Z$4)*($E$21:$E$540&lt;=EOMONTH($Z11,0)),$G$21:$G$540))</f>
        <v/>
      </c>
      <c r="AB11" s="56">
        <f>IF(N(AA11)=0,"",SUMPRODUCT(($E$21:$E$540&gt;=$Z$4)*($E$21:$E$540&lt;=EOMONTH($Z11,0)),$F$21:$F$540,$G$21:$G$540)/AA11)</f>
        <v/>
      </c>
      <c r="AC11" s="59">
        <f>IF($C11="","",SUMPRODUCT(($L$21:$L$540&gt;=$Z$4)*($L$21:$L$540&lt;=EOMONTH($Z11,0)),$N$21:$N$540))</f>
        <v/>
      </c>
      <c r="AD11" s="56">
        <f>IF(N(AC11)=0,"",SUMPRODUCT(($L$21:$L$540&gt;=$Z$4)*($L$21:$L$540&lt;=EOMONTH($Z11,0)),$M$21:$M$540,$N$21:$N$540)/AC11)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IF(JUN!$C$5="","",JUN!$C$5)</f>
        <v/>
      </c>
      <c r="D12" s="55" t="n"/>
      <c r="E12" s="56">
        <f>IF(JUN!$C$43="","",JUN!$C$43)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IF(JUN!$C$44="","",JUN!$C$44)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IF($C12="","",SUMPRODUCT(($E$21:$E$540&gt;=$Z$4)*($E$21:$E$540&lt;=EOMONTH($Z12,0)),$G$21:$G$540))</f>
        <v/>
      </c>
      <c r="AB12" s="56">
        <f>IF(N(AA12)=0,"",SUMPRODUCT(($E$21:$E$540&gt;=$Z$4)*($E$21:$E$540&lt;=EOMONTH($Z12,0)),$F$21:$F$540,$G$21:$G$540)/AA12)</f>
        <v/>
      </c>
      <c r="AC12" s="59">
        <f>IF($C12="","",SUMPRODUCT(($L$21:$L$540&gt;=$Z$4)*($L$21:$L$540&lt;=EOMONTH($Z12,0)),$N$21:$N$540))</f>
        <v/>
      </c>
      <c r="AD12" s="56">
        <f>IF(N(AC12)=0,"",SUMPRODUCT(($L$21:$L$540&gt;=$Z$4)*($L$21:$L$540&lt;=EOMONTH($Z12,0)),$M$21:$M$540,$N$21:$N$540)/AC12)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IF(JUL!$C$5="","",JUL!$C$5)</f>
        <v/>
      </c>
      <c r="D13" s="55" t="n"/>
      <c r="E13" s="56">
        <f>IF(JUL!$C$43="","",JUL!$C$43)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IF(JUL!$C$44="","",JUL!$C$44)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IF($C13="","",SUMPRODUCT(($E$21:$E$540&gt;=$Z$4)*($E$21:$E$540&lt;=EOMONTH($Z13,0)),$G$21:$G$540))</f>
        <v/>
      </c>
      <c r="AB13" s="56">
        <f>IF(N(AA13)=0,"",SUMPRODUCT(($E$21:$E$540&gt;=$Z$4)*($E$21:$E$540&lt;=EOMONTH($Z13,0)),$F$21:$F$540,$G$21:$G$540)/AA13)</f>
        <v/>
      </c>
      <c r="AC13" s="59">
        <f>IF($C13="","",SUMPRODUCT(($L$21:$L$540&gt;=$Z$4)*($L$21:$L$540&lt;=EOMONTH($Z13,0)),$N$21:$N$540))</f>
        <v/>
      </c>
      <c r="AD13" s="56">
        <f>IF(N(AC13)=0,"",SUMPRODUCT(($L$21:$L$540&gt;=$Z$4)*($L$21:$L$540&lt;=EOMONTH($Z13,0)),$M$21:$M$540,$N$21:$N$540)/AC13)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IF(AUG!$C$5="","",AUG!$C$5)</f>
        <v/>
      </c>
      <c r="D14" s="55" t="n"/>
      <c r="E14" s="56">
        <f>IF(AUG!$C$43="","",AUG!$C$43)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IF(AUG!$C$44="","",AUG!$C$44)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IF($C14="","",SUMPRODUCT(($E$21:$E$540&gt;=$Z$4)*($E$21:$E$540&lt;=EOMONTH($Z14,0)),$G$21:$G$540))</f>
        <v/>
      </c>
      <c r="AB14" s="56">
        <f>IF(N(AA14)=0,"",SUMPRODUCT(($E$21:$E$540&gt;=$Z$4)*($E$21:$E$540&lt;=EOMONTH($Z14,0)),$F$21:$F$540,$G$21:$G$540)/AA14)</f>
        <v/>
      </c>
      <c r="AC14" s="59">
        <f>IF($C14="","",SUMPRODUCT(($L$21:$L$540&gt;=$Z$4)*($L$21:$L$540&lt;=EOMONTH($Z14,0)),$N$21:$N$540))</f>
        <v/>
      </c>
      <c r="AD14" s="56">
        <f>IF(N(AC14)=0,"",SUMPRODUCT(($L$21:$L$540&gt;=$Z$4)*($L$21:$L$540&lt;=EOMONTH($Z14,0)),$M$21:$M$540,$N$21:$N$540)/AC14)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IF(SEP!$C$5="","",SEP!$C$5)</f>
        <v/>
      </c>
      <c r="D15" s="55" t="n"/>
      <c r="E15" s="56">
        <f>IF(SEP!$C$43="","",SEP!$C$43)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IF(SEP!$C$44="","",SEP!$C$44)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IF($C15="","",SUMPRODUCT(($E$21:$E$540&gt;=$Z$4)*($E$21:$E$540&lt;=EOMONTH($Z15,0)),$G$21:$G$540))</f>
        <v/>
      </c>
      <c r="AB15" s="56">
        <f>IF(N(AA15)=0,"",SUMPRODUCT(($E$21:$E$540&gt;=$Z$4)*($E$21:$E$540&lt;=EOMONTH($Z15,0)),$F$21:$F$540,$G$21:$G$540)/AA15)</f>
        <v/>
      </c>
      <c r="AC15" s="59">
        <f>IF($C15="","",SUMPRODUCT(($L$21:$L$540&gt;=$Z$4)*($L$21:$L$540&lt;=EOMONTH($Z15,0)),$N$21:$N$540))</f>
        <v/>
      </c>
      <c r="AD15" s="56">
        <f>IF(N(AC15)=0,"",SUMPRODUCT(($L$21:$L$540&gt;=$Z$4)*($L$21:$L$540&lt;=EOMONTH($Z15,0)),$M$21:$M$540,$N$21:$N$540)/AC15)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SUMPRODUCT(($E$21:$E$540&gt;=$Z$4)*($E$21:$E$540&lt;=EOMONTH($Z$15,0)),$G$21:$G$540)</f>
        <v/>
      </c>
      <c r="AB16" s="62">
        <f>IF(N(AA16)=0,"",SUMPRODUCT(($E$21:$E$540&gt;=$Z$4)*($E$21:$E$540&lt;=EOMONTH($Z$15,0)),$F$21:$F$540,$G$21:$G$540)/AA16)</f>
        <v/>
      </c>
      <c r="AC16" s="65">
        <f>SUMPRODUCT(($L$21:$L$540&gt;=$Z$4)*($L$21:$L$540&lt;=EOMONTH($Z$15,0)),$N$21:$N$540)</f>
        <v/>
      </c>
      <c r="AD16" s="62">
        <f>IF(N(AC16)=0,"",SUMPRODUCT(($L$21:$L$540&gt;=$Z$4)*($L$21:$L$540&lt;=EOMONTH($Z$15,0)),$M$21:$M$540,$N$21:$N$540)/AC16)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53" t="n">
        <v>51</v>
      </c>
      <c r="B71" s="67" t="n"/>
      <c r="C71" s="55" t="n"/>
      <c r="D71" s="68" t="n"/>
      <c r="E71" s="68" t="n"/>
      <c r="F71" s="59">
        <f>IF(OR(E71="",D71=""),"",MAX(E71-D71,0))</f>
        <v/>
      </c>
      <c r="G71" s="59">
        <f>IF(F71="","",IF(N(C71)=0,1,C71))</f>
        <v/>
      </c>
      <c r="H71" s="53" t="n">
        <v>51</v>
      </c>
      <c r="I71" s="67" t="n"/>
      <c r="J71" s="55" t="n"/>
      <c r="K71" s="68" t="n"/>
      <c r="L71" s="68" t="n"/>
      <c r="M71" s="59">
        <f>IF(OR(L71="",K71=""),"",MAX(L71-K71,0))</f>
        <v/>
      </c>
      <c r="N71" s="59">
        <f>IF(M71="","",IF(N(J71)=0,1,J71))</f>
        <v/>
      </c>
    </row>
    <row r="72">
      <c r="A72" s="53" t="n">
        <v>52</v>
      </c>
      <c r="B72" s="67" t="n"/>
      <c r="C72" s="55" t="n"/>
      <c r="D72" s="68" t="n"/>
      <c r="E72" s="68" t="n"/>
      <c r="F72" s="59">
        <f>IF(OR(E72="",D72=""),"",MAX(E72-D72,0))</f>
        <v/>
      </c>
      <c r="G72" s="59">
        <f>IF(F72="","",IF(N(C72)=0,1,C72))</f>
        <v/>
      </c>
      <c r="H72" s="53" t="n">
        <v>52</v>
      </c>
      <c r="I72" s="67" t="n"/>
      <c r="J72" s="55" t="n"/>
      <c r="K72" s="68" t="n"/>
      <c r="L72" s="68" t="n"/>
      <c r="M72" s="59">
        <f>IF(OR(L72="",K72=""),"",MAX(L72-K72,0))</f>
        <v/>
      </c>
      <c r="N72" s="59">
        <f>IF(M72="","",IF(N(J72)=0,1,J72))</f>
        <v/>
      </c>
    </row>
    <row r="73">
      <c r="A73" s="53" t="n">
        <v>53</v>
      </c>
      <c r="B73" s="67" t="n"/>
      <c r="C73" s="55" t="n"/>
      <c r="D73" s="68" t="n"/>
      <c r="E73" s="68" t="n"/>
      <c r="F73" s="59">
        <f>IF(OR(E73="",D73=""),"",MAX(E73-D73,0))</f>
        <v/>
      </c>
      <c r="G73" s="59">
        <f>IF(F73="","",IF(N(C73)=0,1,C73))</f>
        <v/>
      </c>
      <c r="H73" s="53" t="n">
        <v>53</v>
      </c>
      <c r="I73" s="67" t="n"/>
      <c r="J73" s="55" t="n"/>
      <c r="K73" s="68" t="n"/>
      <c r="L73" s="68" t="n"/>
      <c r="M73" s="59">
        <f>IF(OR(L73="",K73=""),"",MAX(L73-K73,0))</f>
        <v/>
      </c>
      <c r="N73" s="59">
        <f>IF(M73="","",IF(N(J73)=0,1,J73))</f>
        <v/>
      </c>
    </row>
    <row r="74">
      <c r="A74" s="53" t="n">
        <v>54</v>
      </c>
      <c r="B74" s="67" t="n"/>
      <c r="C74" s="55" t="n"/>
      <c r="D74" s="68" t="n"/>
      <c r="E74" s="68" t="n"/>
      <c r="F74" s="59">
        <f>IF(OR(E74="",D74=""),"",MAX(E74-D74,0))</f>
        <v/>
      </c>
      <c r="G74" s="59">
        <f>IF(F74="","",IF(N(C74)=0,1,C74))</f>
        <v/>
      </c>
      <c r="H74" s="53" t="n">
        <v>54</v>
      </c>
      <c r="I74" s="67" t="n"/>
      <c r="J74" s="55" t="n"/>
      <c r="K74" s="68" t="n"/>
      <c r="L74" s="68" t="n"/>
      <c r="M74" s="59">
        <f>IF(OR(L74="",K74=""),"",MAX(L74-K74,0))</f>
        <v/>
      </c>
      <c r="N74" s="59">
        <f>IF(M74="","",IF(N(J74)=0,1,J74))</f>
        <v/>
      </c>
    </row>
    <row r="75">
      <c r="A75" s="53" t="n">
        <v>55</v>
      </c>
      <c r="B75" s="67" t="n"/>
      <c r="C75" s="55" t="n"/>
      <c r="D75" s="68" t="n"/>
      <c r="E75" s="68" t="n"/>
      <c r="F75" s="59">
        <f>IF(OR(E75="",D75=""),"",MAX(E75-D75,0))</f>
        <v/>
      </c>
      <c r="G75" s="59">
        <f>IF(F75="","",IF(N(C75)=0,1,C75))</f>
        <v/>
      </c>
      <c r="H75" s="53" t="n">
        <v>55</v>
      </c>
      <c r="I75" s="67" t="n"/>
      <c r="J75" s="55" t="n"/>
      <c r="K75" s="68" t="n"/>
      <c r="L75" s="68" t="n"/>
      <c r="M75" s="59">
        <f>IF(OR(L75="",K75=""),"",MAX(L75-K75,0))</f>
        <v/>
      </c>
      <c r="N75" s="59">
        <f>IF(M75="","",IF(N(J75)=0,1,J75))</f>
        <v/>
      </c>
    </row>
    <row r="76">
      <c r="A76" s="53" t="n">
        <v>56</v>
      </c>
      <c r="B76" s="67" t="n"/>
      <c r="C76" s="55" t="n"/>
      <c r="D76" s="68" t="n"/>
      <c r="E76" s="68" t="n"/>
      <c r="F76" s="59">
        <f>IF(OR(E76="",D76=""),"",MAX(E76-D76,0))</f>
        <v/>
      </c>
      <c r="G76" s="59">
        <f>IF(F76="","",IF(N(C76)=0,1,C76))</f>
        <v/>
      </c>
      <c r="H76" s="53" t="n">
        <v>56</v>
      </c>
      <c r="I76" s="67" t="n"/>
      <c r="J76" s="55" t="n"/>
      <c r="K76" s="68" t="n"/>
      <c r="L76" s="68" t="n"/>
      <c r="M76" s="59">
        <f>IF(OR(L76="",K76=""),"",MAX(L76-K76,0))</f>
        <v/>
      </c>
      <c r="N76" s="59">
        <f>IF(M76="","",IF(N(J76)=0,1,J76))</f>
        <v/>
      </c>
    </row>
    <row r="77">
      <c r="A77" s="53" t="n">
        <v>57</v>
      </c>
      <c r="B77" s="67" t="n"/>
      <c r="C77" s="55" t="n"/>
      <c r="D77" s="68" t="n"/>
      <c r="E77" s="68" t="n"/>
      <c r="F77" s="59">
        <f>IF(OR(E77="",D77=""),"",MAX(E77-D77,0))</f>
        <v/>
      </c>
      <c r="G77" s="59">
        <f>IF(F77="","",IF(N(C77)=0,1,C77))</f>
        <v/>
      </c>
      <c r="H77" s="53" t="n">
        <v>57</v>
      </c>
      <c r="I77" s="67" t="n"/>
      <c r="J77" s="55" t="n"/>
      <c r="K77" s="68" t="n"/>
      <c r="L77" s="68" t="n"/>
      <c r="M77" s="59">
        <f>IF(OR(L77="",K77=""),"",MAX(L77-K77,0))</f>
        <v/>
      </c>
      <c r="N77" s="59">
        <f>IF(M77="","",IF(N(J77)=0,1,J77))</f>
        <v/>
      </c>
    </row>
    <row r="78">
      <c r="A78" s="53" t="n">
        <v>58</v>
      </c>
      <c r="B78" s="67" t="n"/>
      <c r="C78" s="55" t="n"/>
      <c r="D78" s="68" t="n"/>
      <c r="E78" s="68" t="n"/>
      <c r="F78" s="59">
        <f>IF(OR(E78="",D78=""),"",MAX(E78-D78,0))</f>
        <v/>
      </c>
      <c r="G78" s="59">
        <f>IF(F78="","",IF(N(C78)=0,1,C78))</f>
        <v/>
      </c>
      <c r="H78" s="53" t="n">
        <v>58</v>
      </c>
      <c r="I78" s="67" t="n"/>
      <c r="J78" s="55" t="n"/>
      <c r="K78" s="68" t="n"/>
      <c r="L78" s="68" t="n"/>
      <c r="M78" s="59">
        <f>IF(OR(L78="",K78=""),"",MAX(L78-K78,0))</f>
        <v/>
      </c>
      <c r="N78" s="59">
        <f>IF(M78="","",IF(N(J78)=0,1,J78))</f>
        <v/>
      </c>
    </row>
    <row r="79">
      <c r="A79" s="53" t="n">
        <v>59</v>
      </c>
      <c r="B79" s="67" t="n"/>
      <c r="C79" s="55" t="n"/>
      <c r="D79" s="68" t="n"/>
      <c r="E79" s="68" t="n"/>
      <c r="F79" s="59">
        <f>IF(OR(E79="",D79=""),"",MAX(E79-D79,0))</f>
        <v/>
      </c>
      <c r="G79" s="59">
        <f>IF(F79="","",IF(N(C79)=0,1,C79))</f>
        <v/>
      </c>
      <c r="H79" s="53" t="n">
        <v>59</v>
      </c>
      <c r="I79" s="67" t="n"/>
      <c r="J79" s="55" t="n"/>
      <c r="K79" s="68" t="n"/>
      <c r="L79" s="68" t="n"/>
      <c r="M79" s="59">
        <f>IF(OR(L79="",K79=""),"",MAX(L79-K79,0))</f>
        <v/>
      </c>
      <c r="N79" s="59">
        <f>IF(M79="","",IF(N(J79)=0,1,J79))</f>
        <v/>
      </c>
    </row>
    <row r="80">
      <c r="A80" s="53" t="n">
        <v>60</v>
      </c>
      <c r="B80" s="67" t="n"/>
      <c r="C80" s="55" t="n"/>
      <c r="D80" s="68" t="n"/>
      <c r="E80" s="68" t="n"/>
      <c r="F80" s="59">
        <f>IF(OR(E80="",D80=""),"",MAX(E80-D80,0))</f>
        <v/>
      </c>
      <c r="G80" s="59">
        <f>IF(F80="","",IF(N(C80)=0,1,C80))</f>
        <v/>
      </c>
      <c r="H80" s="53" t="n">
        <v>60</v>
      </c>
      <c r="I80" s="67" t="n"/>
      <c r="J80" s="55" t="n"/>
      <c r="K80" s="68" t="n"/>
      <c r="L80" s="68" t="n"/>
      <c r="M80" s="59">
        <f>IF(OR(L80="",K80=""),"",MAX(L80-K80,0))</f>
        <v/>
      </c>
      <c r="N80" s="59">
        <f>IF(M80="","",IF(N(J80)=0,1,J80))</f>
        <v/>
      </c>
    </row>
    <row r="81">
      <c r="A81" s="53" t="n">
        <v>61</v>
      </c>
      <c r="B81" s="67" t="n"/>
      <c r="C81" s="55" t="n"/>
      <c r="D81" s="68" t="n"/>
      <c r="E81" s="68" t="n"/>
      <c r="F81" s="59">
        <f>IF(OR(E81="",D81=""),"",MAX(E81-D81,0))</f>
        <v/>
      </c>
      <c r="G81" s="59">
        <f>IF(F81="","",IF(N(C81)=0,1,C81))</f>
        <v/>
      </c>
      <c r="H81" s="53" t="n">
        <v>61</v>
      </c>
      <c r="I81" s="67" t="n"/>
      <c r="J81" s="55" t="n"/>
      <c r="K81" s="68" t="n"/>
      <c r="L81" s="68" t="n"/>
      <c r="M81" s="59">
        <f>IF(OR(L81="",K81=""),"",MAX(L81-K81,0))</f>
        <v/>
      </c>
      <c r="N81" s="59">
        <f>IF(M81="","",IF(N(J81)=0,1,J81))</f>
        <v/>
      </c>
    </row>
    <row r="82">
      <c r="A82" s="53" t="n">
        <v>62</v>
      </c>
      <c r="B82" s="67" t="n"/>
      <c r="C82" s="55" t="n"/>
      <c r="D82" s="68" t="n"/>
      <c r="E82" s="68" t="n"/>
      <c r="F82" s="59">
        <f>IF(OR(E82="",D82=""),"",MAX(E82-D82,0))</f>
        <v/>
      </c>
      <c r="G82" s="59">
        <f>IF(F82="","",IF(N(C82)=0,1,C82))</f>
        <v/>
      </c>
      <c r="H82" s="53" t="n">
        <v>62</v>
      </c>
      <c r="I82" s="67" t="n"/>
      <c r="J82" s="55" t="n"/>
      <c r="K82" s="68" t="n"/>
      <c r="L82" s="68" t="n"/>
      <c r="M82" s="59">
        <f>IF(OR(L82="",K82=""),"",MAX(L82-K82,0))</f>
        <v/>
      </c>
      <c r="N82" s="59">
        <f>IF(M82="","",IF(N(J82)=0,1,J82))</f>
        <v/>
      </c>
    </row>
    <row r="83">
      <c r="A83" s="53" t="n">
        <v>63</v>
      </c>
      <c r="B83" s="67" t="n"/>
      <c r="C83" s="55" t="n"/>
      <c r="D83" s="68" t="n"/>
      <c r="E83" s="68" t="n"/>
      <c r="F83" s="59">
        <f>IF(OR(E83="",D83=""),"",MAX(E83-D83,0))</f>
        <v/>
      </c>
      <c r="G83" s="59">
        <f>IF(F83="","",IF(N(C83)=0,1,C83))</f>
        <v/>
      </c>
      <c r="H83" s="53" t="n">
        <v>63</v>
      </c>
      <c r="I83" s="67" t="n"/>
      <c r="J83" s="55" t="n"/>
      <c r="K83" s="68" t="n"/>
      <c r="L83" s="68" t="n"/>
      <c r="M83" s="59">
        <f>IF(OR(L83="",K83=""),"",MAX(L83-K83,0))</f>
        <v/>
      </c>
      <c r="N83" s="59">
        <f>IF(M83="","",IF(N(J83)=0,1,J83))</f>
        <v/>
      </c>
    </row>
    <row r="84">
      <c r="A84" s="53" t="n">
        <v>64</v>
      </c>
      <c r="B84" s="67" t="n"/>
      <c r="C84" s="55" t="n"/>
      <c r="D84" s="68" t="n"/>
      <c r="E84" s="68" t="n"/>
      <c r="F84" s="59">
        <f>IF(OR(E84="",D84=""),"",MAX(E84-D84,0))</f>
        <v/>
      </c>
      <c r="G84" s="59">
        <f>IF(F84="","",IF(N(C84)=0,1,C84))</f>
        <v/>
      </c>
      <c r="H84" s="53" t="n">
        <v>64</v>
      </c>
      <c r="I84" s="67" t="n"/>
      <c r="J84" s="55" t="n"/>
      <c r="K84" s="68" t="n"/>
      <c r="L84" s="68" t="n"/>
      <c r="M84" s="59">
        <f>IF(OR(L84="",K84=""),"",MAX(L84-K84,0))</f>
        <v/>
      </c>
      <c r="N84" s="59">
        <f>IF(M84="","",IF(N(J84)=0,1,J84))</f>
        <v/>
      </c>
    </row>
    <row r="85">
      <c r="A85" s="53" t="n">
        <v>65</v>
      </c>
      <c r="B85" s="67" t="n"/>
      <c r="C85" s="55" t="n"/>
      <c r="D85" s="68" t="n"/>
      <c r="E85" s="68" t="n"/>
      <c r="F85" s="59">
        <f>IF(OR(E85="",D85=""),"",MAX(E85-D85,0))</f>
        <v/>
      </c>
      <c r="G85" s="59">
        <f>IF(F85="","",IF(N(C85)=0,1,C85))</f>
        <v/>
      </c>
      <c r="H85" s="53" t="n">
        <v>65</v>
      </c>
      <c r="I85" s="67" t="n"/>
      <c r="J85" s="55" t="n"/>
      <c r="K85" s="68" t="n"/>
      <c r="L85" s="68" t="n"/>
      <c r="M85" s="59">
        <f>IF(OR(L85="",K85=""),"",MAX(L85-K85,0))</f>
        <v/>
      </c>
      <c r="N85" s="59">
        <f>IF(M85="","",IF(N(J85)=0,1,J85))</f>
        <v/>
      </c>
    </row>
    <row r="86">
      <c r="A86" s="53" t="n">
        <v>66</v>
      </c>
      <c r="B86" s="67" t="n"/>
      <c r="C86" s="55" t="n"/>
      <c r="D86" s="68" t="n"/>
      <c r="E86" s="68" t="n"/>
      <c r="F86" s="59">
        <f>IF(OR(E86="",D86=""),"",MAX(E86-D86,0))</f>
        <v/>
      </c>
      <c r="G86" s="59">
        <f>IF(F86="","",IF(N(C86)=0,1,C86))</f>
        <v/>
      </c>
      <c r="H86" s="53" t="n">
        <v>66</v>
      </c>
      <c r="I86" s="67" t="n"/>
      <c r="J86" s="55" t="n"/>
      <c r="K86" s="68" t="n"/>
      <c r="L86" s="68" t="n"/>
      <c r="M86" s="59">
        <f>IF(OR(L86="",K86=""),"",MAX(L86-K86,0))</f>
        <v/>
      </c>
      <c r="N86" s="59">
        <f>IF(M86="","",IF(N(J86)=0,1,J86))</f>
        <v/>
      </c>
    </row>
    <row r="87">
      <c r="A87" s="53" t="n">
        <v>67</v>
      </c>
      <c r="B87" s="67" t="n"/>
      <c r="C87" s="55" t="n"/>
      <c r="D87" s="68" t="n"/>
      <c r="E87" s="68" t="n"/>
      <c r="F87" s="59">
        <f>IF(OR(E87="",D87=""),"",MAX(E87-D87,0))</f>
        <v/>
      </c>
      <c r="G87" s="59">
        <f>IF(F87="","",IF(N(C87)=0,1,C87))</f>
        <v/>
      </c>
      <c r="H87" s="53" t="n">
        <v>67</v>
      </c>
      <c r="I87" s="67" t="n"/>
      <c r="J87" s="55" t="n"/>
      <c r="K87" s="68" t="n"/>
      <c r="L87" s="68" t="n"/>
      <c r="M87" s="59">
        <f>IF(OR(L87="",K87=""),"",MAX(L87-K87,0))</f>
        <v/>
      </c>
      <c r="N87" s="59">
        <f>IF(M87="","",IF(N(J87)=0,1,J87))</f>
        <v/>
      </c>
    </row>
    <row r="88">
      <c r="A88" s="53" t="n">
        <v>68</v>
      </c>
      <c r="B88" s="67" t="n"/>
      <c r="C88" s="55" t="n"/>
      <c r="D88" s="68" t="n"/>
      <c r="E88" s="68" t="n"/>
      <c r="F88" s="59">
        <f>IF(OR(E88="",D88=""),"",MAX(E88-D88,0))</f>
        <v/>
      </c>
      <c r="G88" s="59">
        <f>IF(F88="","",IF(N(C88)=0,1,C88))</f>
        <v/>
      </c>
      <c r="H88" s="53" t="n">
        <v>68</v>
      </c>
      <c r="I88" s="67" t="n"/>
      <c r="J88" s="55" t="n"/>
      <c r="K88" s="68" t="n"/>
      <c r="L88" s="68" t="n"/>
      <c r="M88" s="59">
        <f>IF(OR(L88="",K88=""),"",MAX(L88-K88,0))</f>
        <v/>
      </c>
      <c r="N88" s="59">
        <f>IF(M88="","",IF(N(J88)=0,1,J88))</f>
        <v/>
      </c>
    </row>
    <row r="89">
      <c r="A89" s="53" t="n">
        <v>69</v>
      </c>
      <c r="B89" s="67" t="n"/>
      <c r="C89" s="55" t="n"/>
      <c r="D89" s="68" t="n"/>
      <c r="E89" s="68" t="n"/>
      <c r="F89" s="59">
        <f>IF(OR(E89="",D89=""),"",MAX(E89-D89,0))</f>
        <v/>
      </c>
      <c r="G89" s="59">
        <f>IF(F89="","",IF(N(C89)=0,1,C89))</f>
        <v/>
      </c>
      <c r="H89" s="53" t="n">
        <v>69</v>
      </c>
      <c r="I89" s="67" t="n"/>
      <c r="J89" s="55" t="n"/>
      <c r="K89" s="68" t="n"/>
      <c r="L89" s="68" t="n"/>
      <c r="M89" s="59">
        <f>IF(OR(L89="",K89=""),"",MAX(L89-K89,0))</f>
        <v/>
      </c>
      <c r="N89" s="59">
        <f>IF(M89="","",IF(N(J89)=0,1,J89))</f>
        <v/>
      </c>
    </row>
    <row r="90">
      <c r="A90" s="53" t="n">
        <v>70</v>
      </c>
      <c r="B90" s="67" t="n"/>
      <c r="C90" s="55" t="n"/>
      <c r="D90" s="68" t="n"/>
      <c r="E90" s="68" t="n"/>
      <c r="F90" s="59">
        <f>IF(OR(E90="",D90=""),"",MAX(E90-D90,0))</f>
        <v/>
      </c>
      <c r="G90" s="59">
        <f>IF(F90="","",IF(N(C90)=0,1,C90))</f>
        <v/>
      </c>
      <c r="H90" s="53" t="n">
        <v>70</v>
      </c>
      <c r="I90" s="67" t="n"/>
      <c r="J90" s="55" t="n"/>
      <c r="K90" s="68" t="n"/>
      <c r="L90" s="68" t="n"/>
      <c r="M90" s="59">
        <f>IF(OR(L90="",K90=""),"",MAX(L90-K90,0))</f>
        <v/>
      </c>
      <c r="N90" s="59">
        <f>IF(M90="","",IF(N(J90)=0,1,J90))</f>
        <v/>
      </c>
    </row>
    <row r="91">
      <c r="A91" s="53" t="n">
        <v>71</v>
      </c>
      <c r="B91" s="67" t="n"/>
      <c r="C91" s="55" t="n"/>
      <c r="D91" s="68" t="n"/>
      <c r="E91" s="68" t="n"/>
      <c r="F91" s="59">
        <f>IF(OR(E91="",D91=""),"",MAX(E91-D91,0))</f>
        <v/>
      </c>
      <c r="G91" s="59">
        <f>IF(F91="","",IF(N(C91)=0,1,C91))</f>
        <v/>
      </c>
      <c r="H91" s="53" t="n">
        <v>71</v>
      </c>
      <c r="I91" s="67" t="n"/>
      <c r="J91" s="55" t="n"/>
      <c r="K91" s="68" t="n"/>
      <c r="L91" s="68" t="n"/>
      <c r="M91" s="59">
        <f>IF(OR(L91="",K91=""),"",MAX(L91-K91,0))</f>
        <v/>
      </c>
      <c r="N91" s="59">
        <f>IF(M91="","",IF(N(J91)=0,1,J91))</f>
        <v/>
      </c>
    </row>
    <row r="92">
      <c r="A92" s="53" t="n">
        <v>72</v>
      </c>
      <c r="B92" s="67" t="n"/>
      <c r="C92" s="55" t="n"/>
      <c r="D92" s="68" t="n"/>
      <c r="E92" s="68" t="n"/>
      <c r="F92" s="59">
        <f>IF(OR(E92="",D92=""),"",MAX(E92-D92,0))</f>
        <v/>
      </c>
      <c r="G92" s="59">
        <f>IF(F92="","",IF(N(C92)=0,1,C92))</f>
        <v/>
      </c>
      <c r="H92" s="53" t="n">
        <v>72</v>
      </c>
      <c r="I92" s="67" t="n"/>
      <c r="J92" s="55" t="n"/>
      <c r="K92" s="68" t="n"/>
      <c r="L92" s="68" t="n"/>
      <c r="M92" s="59">
        <f>IF(OR(L92="",K92=""),"",MAX(L92-K92,0))</f>
        <v/>
      </c>
      <c r="N92" s="59">
        <f>IF(M92="","",IF(N(J92)=0,1,J92))</f>
        <v/>
      </c>
    </row>
    <row r="93">
      <c r="A93" s="53" t="n">
        <v>73</v>
      </c>
      <c r="B93" s="67" t="n"/>
      <c r="C93" s="55" t="n"/>
      <c r="D93" s="68" t="n"/>
      <c r="E93" s="68" t="n"/>
      <c r="F93" s="59">
        <f>IF(OR(E93="",D93=""),"",MAX(E93-D93,0))</f>
        <v/>
      </c>
      <c r="G93" s="59">
        <f>IF(F93="","",IF(N(C93)=0,1,C93))</f>
        <v/>
      </c>
      <c r="H93" s="53" t="n">
        <v>73</v>
      </c>
      <c r="I93" s="67" t="n"/>
      <c r="J93" s="55" t="n"/>
      <c r="K93" s="68" t="n"/>
      <c r="L93" s="68" t="n"/>
      <c r="M93" s="59">
        <f>IF(OR(L93="",K93=""),"",MAX(L93-K93,0))</f>
        <v/>
      </c>
      <c r="N93" s="59">
        <f>IF(M93="","",IF(N(J93)=0,1,J93))</f>
        <v/>
      </c>
    </row>
    <row r="94">
      <c r="A94" s="53" t="n">
        <v>74</v>
      </c>
      <c r="B94" s="67" t="n"/>
      <c r="C94" s="55" t="n"/>
      <c r="D94" s="68" t="n"/>
      <c r="E94" s="68" t="n"/>
      <c r="F94" s="59">
        <f>IF(OR(E94="",D94=""),"",MAX(E94-D94,0))</f>
        <v/>
      </c>
      <c r="G94" s="59">
        <f>IF(F94="","",IF(N(C94)=0,1,C94))</f>
        <v/>
      </c>
      <c r="H94" s="53" t="n">
        <v>74</v>
      </c>
      <c r="I94" s="67" t="n"/>
      <c r="J94" s="55" t="n"/>
      <c r="K94" s="68" t="n"/>
      <c r="L94" s="68" t="n"/>
      <c r="M94" s="59">
        <f>IF(OR(L94="",K94=""),"",MAX(L94-K94,0))</f>
        <v/>
      </c>
      <c r="N94" s="59">
        <f>IF(M94="","",IF(N(J94)=0,1,J94))</f>
        <v/>
      </c>
    </row>
    <row r="95">
      <c r="A95" s="53" t="n">
        <v>75</v>
      </c>
      <c r="B95" s="67" t="n"/>
      <c r="C95" s="55" t="n"/>
      <c r="D95" s="68" t="n"/>
      <c r="E95" s="68" t="n"/>
      <c r="F95" s="59">
        <f>IF(OR(E95="",D95=""),"",MAX(E95-D95,0))</f>
        <v/>
      </c>
      <c r="G95" s="59">
        <f>IF(F95="","",IF(N(C95)=0,1,C95))</f>
        <v/>
      </c>
      <c r="H95" s="53" t="n">
        <v>75</v>
      </c>
      <c r="I95" s="67" t="n"/>
      <c r="J95" s="55" t="n"/>
      <c r="K95" s="68" t="n"/>
      <c r="L95" s="68" t="n"/>
      <c r="M95" s="59">
        <f>IF(OR(L95="",K95=""),"",MAX(L95-K95,0))</f>
        <v/>
      </c>
      <c r="N95" s="59">
        <f>IF(M95="","",IF(N(J95)=0,1,J95))</f>
        <v/>
      </c>
    </row>
    <row r="96">
      <c r="A96" s="53" t="n">
        <v>76</v>
      </c>
      <c r="B96" s="67" t="n"/>
      <c r="C96" s="55" t="n"/>
      <c r="D96" s="68" t="n"/>
      <c r="E96" s="68" t="n"/>
      <c r="F96" s="59">
        <f>IF(OR(E96="",D96=""),"",MAX(E96-D96,0))</f>
        <v/>
      </c>
      <c r="G96" s="59">
        <f>IF(F96="","",IF(N(C96)=0,1,C96))</f>
        <v/>
      </c>
      <c r="H96" s="53" t="n">
        <v>76</v>
      </c>
      <c r="I96" s="67" t="n"/>
      <c r="J96" s="55" t="n"/>
      <c r="K96" s="68" t="n"/>
      <c r="L96" s="68" t="n"/>
      <c r="M96" s="59">
        <f>IF(OR(L96="",K96=""),"",MAX(L96-K96,0))</f>
        <v/>
      </c>
      <c r="N96" s="59">
        <f>IF(M96="","",IF(N(J96)=0,1,J96))</f>
        <v/>
      </c>
    </row>
    <row r="97">
      <c r="A97" s="53" t="n">
        <v>77</v>
      </c>
      <c r="B97" s="67" t="n"/>
      <c r="C97" s="55" t="n"/>
      <c r="D97" s="68" t="n"/>
      <c r="E97" s="68" t="n"/>
      <c r="F97" s="59">
        <f>IF(OR(E97="",D97=""),"",MAX(E97-D97,0))</f>
        <v/>
      </c>
      <c r="G97" s="59">
        <f>IF(F97="","",IF(N(C97)=0,1,C97))</f>
        <v/>
      </c>
      <c r="H97" s="53" t="n">
        <v>77</v>
      </c>
      <c r="I97" s="67" t="n"/>
      <c r="J97" s="55" t="n"/>
      <c r="K97" s="68" t="n"/>
      <c r="L97" s="68" t="n"/>
      <c r="M97" s="59">
        <f>IF(OR(L97="",K97=""),"",MAX(L97-K97,0))</f>
        <v/>
      </c>
      <c r="N97" s="59">
        <f>IF(M97="","",IF(N(J97)=0,1,J97))</f>
        <v/>
      </c>
    </row>
    <row r="98">
      <c r="A98" s="53" t="n">
        <v>78</v>
      </c>
      <c r="B98" s="67" t="n"/>
      <c r="C98" s="55" t="n"/>
      <c r="D98" s="68" t="n"/>
      <c r="E98" s="68" t="n"/>
      <c r="F98" s="59">
        <f>IF(OR(E98="",D98=""),"",MAX(E98-D98,0))</f>
        <v/>
      </c>
      <c r="G98" s="59">
        <f>IF(F98="","",IF(N(C98)=0,1,C98))</f>
        <v/>
      </c>
      <c r="H98" s="53" t="n">
        <v>78</v>
      </c>
      <c r="I98" s="67" t="n"/>
      <c r="J98" s="55" t="n"/>
      <c r="K98" s="68" t="n"/>
      <c r="L98" s="68" t="n"/>
      <c r="M98" s="59">
        <f>IF(OR(L98="",K98=""),"",MAX(L98-K98,0))</f>
        <v/>
      </c>
      <c r="N98" s="59">
        <f>IF(M98="","",IF(N(J98)=0,1,J98))</f>
        <v/>
      </c>
    </row>
    <row r="99">
      <c r="A99" s="53" t="n">
        <v>79</v>
      </c>
      <c r="B99" s="67" t="n"/>
      <c r="C99" s="55" t="n"/>
      <c r="D99" s="68" t="n"/>
      <c r="E99" s="68" t="n"/>
      <c r="F99" s="59">
        <f>IF(OR(E99="",D99=""),"",MAX(E99-D99,0))</f>
        <v/>
      </c>
      <c r="G99" s="59">
        <f>IF(F99="","",IF(N(C99)=0,1,C99))</f>
        <v/>
      </c>
      <c r="H99" s="53" t="n">
        <v>79</v>
      </c>
      <c r="I99" s="67" t="n"/>
      <c r="J99" s="55" t="n"/>
      <c r="K99" s="68" t="n"/>
      <c r="L99" s="68" t="n"/>
      <c r="M99" s="59">
        <f>IF(OR(L99="",K99=""),"",MAX(L99-K99,0))</f>
        <v/>
      </c>
      <c r="N99" s="59">
        <f>IF(M99="","",IF(N(J99)=0,1,J99))</f>
        <v/>
      </c>
    </row>
    <row r="100">
      <c r="A100" s="53" t="n">
        <v>80</v>
      </c>
      <c r="B100" s="67" t="n"/>
      <c r="C100" s="55" t="n"/>
      <c r="D100" s="68" t="n"/>
      <c r="E100" s="68" t="n"/>
      <c r="F100" s="59">
        <f>IF(OR(E100="",D100=""),"",MAX(E100-D100,0))</f>
        <v/>
      </c>
      <c r="G100" s="59">
        <f>IF(F100="","",IF(N(C100)=0,1,C100))</f>
        <v/>
      </c>
      <c r="H100" s="53" t="n">
        <v>80</v>
      </c>
      <c r="I100" s="67" t="n"/>
      <c r="J100" s="55" t="n"/>
      <c r="K100" s="68" t="n"/>
      <c r="L100" s="68" t="n"/>
      <c r="M100" s="59">
        <f>IF(OR(L100="",K100=""),"",MAX(L100-K100,0))</f>
        <v/>
      </c>
      <c r="N100" s="59">
        <f>IF(M100="","",IF(N(J100)=0,1,J100))</f>
        <v/>
      </c>
    </row>
    <row r="101">
      <c r="A101" s="53" t="n">
        <v>81</v>
      </c>
      <c r="B101" s="67" t="n"/>
      <c r="C101" s="55" t="n"/>
      <c r="D101" s="68" t="n"/>
      <c r="E101" s="68" t="n"/>
      <c r="F101" s="59">
        <f>IF(OR(E101="",D101=""),"",MAX(E101-D101,0))</f>
        <v/>
      </c>
      <c r="G101" s="59">
        <f>IF(F101="","",IF(N(C101)=0,1,C101))</f>
        <v/>
      </c>
      <c r="H101" s="53" t="n">
        <v>81</v>
      </c>
      <c r="I101" s="67" t="n"/>
      <c r="J101" s="55" t="n"/>
      <c r="K101" s="68" t="n"/>
      <c r="L101" s="68" t="n"/>
      <c r="M101" s="59">
        <f>IF(OR(L101="",K101=""),"",MAX(L101-K101,0))</f>
        <v/>
      </c>
      <c r="N101" s="59">
        <f>IF(M101="","",IF(N(J101)=0,1,J101))</f>
        <v/>
      </c>
    </row>
    <row r="102">
      <c r="A102" s="53" t="n">
        <v>82</v>
      </c>
      <c r="B102" s="67" t="n"/>
      <c r="C102" s="55" t="n"/>
      <c r="D102" s="68" t="n"/>
      <c r="E102" s="68" t="n"/>
      <c r="F102" s="59">
        <f>IF(OR(E102="",D102=""),"",MAX(E102-D102,0))</f>
        <v/>
      </c>
      <c r="G102" s="59">
        <f>IF(F102="","",IF(N(C102)=0,1,C102))</f>
        <v/>
      </c>
      <c r="H102" s="53" t="n">
        <v>82</v>
      </c>
      <c r="I102" s="67" t="n"/>
      <c r="J102" s="55" t="n"/>
      <c r="K102" s="68" t="n"/>
      <c r="L102" s="68" t="n"/>
      <c r="M102" s="59">
        <f>IF(OR(L102="",K102=""),"",MAX(L102-K102,0))</f>
        <v/>
      </c>
      <c r="N102" s="59">
        <f>IF(M102="","",IF(N(J102)=0,1,J102))</f>
        <v/>
      </c>
    </row>
    <row r="103">
      <c r="A103" s="53" t="n">
        <v>83</v>
      </c>
      <c r="B103" s="67" t="n"/>
      <c r="C103" s="55" t="n"/>
      <c r="D103" s="68" t="n"/>
      <c r="E103" s="68" t="n"/>
      <c r="F103" s="59">
        <f>IF(OR(E103="",D103=""),"",MAX(E103-D103,0))</f>
        <v/>
      </c>
      <c r="G103" s="59">
        <f>IF(F103="","",IF(N(C103)=0,1,C103))</f>
        <v/>
      </c>
      <c r="H103" s="53" t="n">
        <v>83</v>
      </c>
      <c r="I103" s="67" t="n"/>
      <c r="J103" s="55" t="n"/>
      <c r="K103" s="68" t="n"/>
      <c r="L103" s="68" t="n"/>
      <c r="M103" s="59">
        <f>IF(OR(L103="",K103=""),"",MAX(L103-K103,0))</f>
        <v/>
      </c>
      <c r="N103" s="59">
        <f>IF(M103="","",IF(N(J103)=0,1,J103))</f>
        <v/>
      </c>
    </row>
    <row r="104">
      <c r="A104" s="53" t="n">
        <v>84</v>
      </c>
      <c r="B104" s="67" t="n"/>
      <c r="C104" s="55" t="n"/>
      <c r="D104" s="68" t="n"/>
      <c r="E104" s="68" t="n"/>
      <c r="F104" s="59">
        <f>IF(OR(E104="",D104=""),"",MAX(E104-D104,0))</f>
        <v/>
      </c>
      <c r="G104" s="59">
        <f>IF(F104="","",IF(N(C104)=0,1,C104))</f>
        <v/>
      </c>
      <c r="H104" s="53" t="n">
        <v>84</v>
      </c>
      <c r="I104" s="67" t="n"/>
      <c r="J104" s="55" t="n"/>
      <c r="K104" s="68" t="n"/>
      <c r="L104" s="68" t="n"/>
      <c r="M104" s="59">
        <f>IF(OR(L104="",K104=""),"",MAX(L104-K104,0))</f>
        <v/>
      </c>
      <c r="N104" s="59">
        <f>IF(M104="","",IF(N(J104)=0,1,J104))</f>
        <v/>
      </c>
    </row>
    <row r="105">
      <c r="A105" s="53" t="n">
        <v>85</v>
      </c>
      <c r="B105" s="67" t="n"/>
      <c r="C105" s="55" t="n"/>
      <c r="D105" s="68" t="n"/>
      <c r="E105" s="68" t="n"/>
      <c r="F105" s="59">
        <f>IF(OR(E105="",D105=""),"",MAX(E105-D105,0))</f>
        <v/>
      </c>
      <c r="G105" s="59">
        <f>IF(F105="","",IF(N(C105)=0,1,C105))</f>
        <v/>
      </c>
      <c r="H105" s="53" t="n">
        <v>85</v>
      </c>
      <c r="I105" s="67" t="n"/>
      <c r="J105" s="55" t="n"/>
      <c r="K105" s="68" t="n"/>
      <c r="L105" s="68" t="n"/>
      <c r="M105" s="59">
        <f>IF(OR(L105="",K105=""),"",MAX(L105-K105,0))</f>
        <v/>
      </c>
      <c r="N105" s="59">
        <f>IF(M105="","",IF(N(J105)=0,1,J105))</f>
        <v/>
      </c>
    </row>
    <row r="106">
      <c r="A106" s="53" t="n">
        <v>86</v>
      </c>
      <c r="B106" s="67" t="n"/>
      <c r="C106" s="55" t="n"/>
      <c r="D106" s="68" t="n"/>
      <c r="E106" s="68" t="n"/>
      <c r="F106" s="59">
        <f>IF(OR(E106="",D106=""),"",MAX(E106-D106,0))</f>
        <v/>
      </c>
      <c r="G106" s="59">
        <f>IF(F106="","",IF(N(C106)=0,1,C106))</f>
        <v/>
      </c>
      <c r="H106" s="53" t="n">
        <v>86</v>
      </c>
      <c r="I106" s="67" t="n"/>
      <c r="J106" s="55" t="n"/>
      <c r="K106" s="68" t="n"/>
      <c r="L106" s="68" t="n"/>
      <c r="M106" s="59">
        <f>IF(OR(L106="",K106=""),"",MAX(L106-K106,0))</f>
        <v/>
      </c>
      <c r="N106" s="59">
        <f>IF(M106="","",IF(N(J106)=0,1,J106))</f>
        <v/>
      </c>
    </row>
    <row r="107">
      <c r="A107" s="53" t="n">
        <v>87</v>
      </c>
      <c r="B107" s="67" t="n"/>
      <c r="C107" s="55" t="n"/>
      <c r="D107" s="68" t="n"/>
      <c r="E107" s="68" t="n"/>
      <c r="F107" s="59">
        <f>IF(OR(E107="",D107=""),"",MAX(E107-D107,0))</f>
        <v/>
      </c>
      <c r="G107" s="59">
        <f>IF(F107="","",IF(N(C107)=0,1,C107))</f>
        <v/>
      </c>
      <c r="H107" s="53" t="n">
        <v>87</v>
      </c>
      <c r="I107" s="67" t="n"/>
      <c r="J107" s="55" t="n"/>
      <c r="K107" s="68" t="n"/>
      <c r="L107" s="68" t="n"/>
      <c r="M107" s="59">
        <f>IF(OR(L107="",K107=""),"",MAX(L107-K107,0))</f>
        <v/>
      </c>
      <c r="N107" s="59">
        <f>IF(M107="","",IF(N(J107)=0,1,J107))</f>
        <v/>
      </c>
    </row>
    <row r="108">
      <c r="A108" s="53" t="n">
        <v>88</v>
      </c>
      <c r="B108" s="67" t="n"/>
      <c r="C108" s="55" t="n"/>
      <c r="D108" s="68" t="n"/>
      <c r="E108" s="68" t="n"/>
      <c r="F108" s="59">
        <f>IF(OR(E108="",D108=""),"",MAX(E108-D108,0))</f>
        <v/>
      </c>
      <c r="G108" s="59">
        <f>IF(F108="","",IF(N(C108)=0,1,C108))</f>
        <v/>
      </c>
      <c r="H108" s="53" t="n">
        <v>88</v>
      </c>
      <c r="I108" s="67" t="n"/>
      <c r="J108" s="55" t="n"/>
      <c r="K108" s="68" t="n"/>
      <c r="L108" s="68" t="n"/>
      <c r="M108" s="59">
        <f>IF(OR(L108="",K108=""),"",MAX(L108-K108,0))</f>
        <v/>
      </c>
      <c r="N108" s="59">
        <f>IF(M108="","",IF(N(J108)=0,1,J108))</f>
        <v/>
      </c>
    </row>
    <row r="109">
      <c r="A109" s="53" t="n">
        <v>89</v>
      </c>
      <c r="B109" s="67" t="n"/>
      <c r="C109" s="55" t="n"/>
      <c r="D109" s="68" t="n"/>
      <c r="E109" s="68" t="n"/>
      <c r="F109" s="59">
        <f>IF(OR(E109="",D109=""),"",MAX(E109-D109,0))</f>
        <v/>
      </c>
      <c r="G109" s="59">
        <f>IF(F109="","",IF(N(C109)=0,1,C109))</f>
        <v/>
      </c>
      <c r="H109" s="53" t="n">
        <v>89</v>
      </c>
      <c r="I109" s="67" t="n"/>
      <c r="J109" s="55" t="n"/>
      <c r="K109" s="68" t="n"/>
      <c r="L109" s="68" t="n"/>
      <c r="M109" s="59">
        <f>IF(OR(L109="",K109=""),"",MAX(L109-K109,0))</f>
        <v/>
      </c>
      <c r="N109" s="59">
        <f>IF(M109="","",IF(N(J109)=0,1,J109))</f>
        <v/>
      </c>
    </row>
    <row r="110">
      <c r="A110" s="53" t="n">
        <v>90</v>
      </c>
      <c r="B110" s="67" t="n"/>
      <c r="C110" s="55" t="n"/>
      <c r="D110" s="68" t="n"/>
      <c r="E110" s="68" t="n"/>
      <c r="F110" s="59">
        <f>IF(OR(E110="",D110=""),"",MAX(E110-D110,0))</f>
        <v/>
      </c>
      <c r="G110" s="59">
        <f>IF(F110="","",IF(N(C110)=0,1,C110))</f>
        <v/>
      </c>
      <c r="H110" s="53" t="n">
        <v>90</v>
      </c>
      <c r="I110" s="67" t="n"/>
      <c r="J110" s="55" t="n"/>
      <c r="K110" s="68" t="n"/>
      <c r="L110" s="68" t="n"/>
      <c r="M110" s="59">
        <f>IF(OR(L110="",K110=""),"",MAX(L110-K110,0))</f>
        <v/>
      </c>
      <c r="N110" s="59">
        <f>IF(M110="","",IF(N(J110)=0,1,J110))</f>
        <v/>
      </c>
    </row>
    <row r="111">
      <c r="A111" s="53" t="n">
        <v>91</v>
      </c>
      <c r="B111" s="67" t="n"/>
      <c r="C111" s="55" t="n"/>
      <c r="D111" s="68" t="n"/>
      <c r="E111" s="68" t="n"/>
      <c r="F111" s="59">
        <f>IF(OR(E111="",D111=""),"",MAX(E111-D111,0))</f>
        <v/>
      </c>
      <c r="G111" s="59">
        <f>IF(F111="","",IF(N(C111)=0,1,C111))</f>
        <v/>
      </c>
      <c r="H111" s="53" t="n">
        <v>91</v>
      </c>
      <c r="I111" s="67" t="n"/>
      <c r="J111" s="55" t="n"/>
      <c r="K111" s="68" t="n"/>
      <c r="L111" s="68" t="n"/>
      <c r="M111" s="59">
        <f>IF(OR(L111="",K111=""),"",MAX(L111-K111,0))</f>
        <v/>
      </c>
      <c r="N111" s="59">
        <f>IF(M111="","",IF(N(J111)=0,1,J111))</f>
        <v/>
      </c>
    </row>
    <row r="112">
      <c r="A112" s="53" t="n">
        <v>92</v>
      </c>
      <c r="B112" s="67" t="n"/>
      <c r="C112" s="55" t="n"/>
      <c r="D112" s="68" t="n"/>
      <c r="E112" s="68" t="n"/>
      <c r="F112" s="59">
        <f>IF(OR(E112="",D112=""),"",MAX(E112-D112,0))</f>
        <v/>
      </c>
      <c r="G112" s="59">
        <f>IF(F112="","",IF(N(C112)=0,1,C112))</f>
        <v/>
      </c>
      <c r="H112" s="53" t="n">
        <v>92</v>
      </c>
      <c r="I112" s="67" t="n"/>
      <c r="J112" s="55" t="n"/>
      <c r="K112" s="68" t="n"/>
      <c r="L112" s="68" t="n"/>
      <c r="M112" s="59">
        <f>IF(OR(L112="",K112=""),"",MAX(L112-K112,0))</f>
        <v/>
      </c>
      <c r="N112" s="59">
        <f>IF(M112="","",IF(N(J112)=0,1,J112))</f>
        <v/>
      </c>
    </row>
    <row r="113">
      <c r="A113" s="53" t="n">
        <v>93</v>
      </c>
      <c r="B113" s="67" t="n"/>
      <c r="C113" s="55" t="n"/>
      <c r="D113" s="68" t="n"/>
      <c r="E113" s="68" t="n"/>
      <c r="F113" s="59">
        <f>IF(OR(E113="",D113=""),"",MAX(E113-D113,0))</f>
        <v/>
      </c>
      <c r="G113" s="59">
        <f>IF(F113="","",IF(N(C113)=0,1,C113))</f>
        <v/>
      </c>
      <c r="H113" s="53" t="n">
        <v>93</v>
      </c>
      <c r="I113" s="67" t="n"/>
      <c r="J113" s="55" t="n"/>
      <c r="K113" s="68" t="n"/>
      <c r="L113" s="68" t="n"/>
      <c r="M113" s="59">
        <f>IF(OR(L113="",K113=""),"",MAX(L113-K113,0))</f>
        <v/>
      </c>
      <c r="N113" s="59">
        <f>IF(M113="","",IF(N(J113)=0,1,J113))</f>
        <v/>
      </c>
    </row>
    <row r="114">
      <c r="A114" s="53" t="n">
        <v>94</v>
      </c>
      <c r="B114" s="67" t="n"/>
      <c r="C114" s="55" t="n"/>
      <c r="D114" s="68" t="n"/>
      <c r="E114" s="68" t="n"/>
      <c r="F114" s="59">
        <f>IF(OR(E114="",D114=""),"",MAX(E114-D114,0))</f>
        <v/>
      </c>
      <c r="G114" s="59">
        <f>IF(F114="","",IF(N(C114)=0,1,C114))</f>
        <v/>
      </c>
      <c r="H114" s="53" t="n">
        <v>94</v>
      </c>
      <c r="I114" s="67" t="n"/>
      <c r="J114" s="55" t="n"/>
      <c r="K114" s="68" t="n"/>
      <c r="L114" s="68" t="n"/>
      <c r="M114" s="59">
        <f>IF(OR(L114="",K114=""),"",MAX(L114-K114,0))</f>
        <v/>
      </c>
      <c r="N114" s="59">
        <f>IF(M114="","",IF(N(J114)=0,1,J114))</f>
        <v/>
      </c>
    </row>
    <row r="115">
      <c r="A115" s="53" t="n">
        <v>95</v>
      </c>
      <c r="B115" s="67" t="n"/>
      <c r="C115" s="55" t="n"/>
      <c r="D115" s="68" t="n"/>
      <c r="E115" s="68" t="n"/>
      <c r="F115" s="59">
        <f>IF(OR(E115="",D115=""),"",MAX(E115-D115,0))</f>
        <v/>
      </c>
      <c r="G115" s="59">
        <f>IF(F115="","",IF(N(C115)=0,1,C115))</f>
        <v/>
      </c>
      <c r="H115" s="53" t="n">
        <v>95</v>
      </c>
      <c r="I115" s="67" t="n"/>
      <c r="J115" s="55" t="n"/>
      <c r="K115" s="68" t="n"/>
      <c r="L115" s="68" t="n"/>
      <c r="M115" s="59">
        <f>IF(OR(L115="",K115=""),"",MAX(L115-K115,0))</f>
        <v/>
      </c>
      <c r="N115" s="59">
        <f>IF(M115="","",IF(N(J115)=0,1,J115))</f>
        <v/>
      </c>
    </row>
    <row r="116">
      <c r="A116" s="53" t="n">
        <v>96</v>
      </c>
      <c r="B116" s="67" t="n"/>
      <c r="C116" s="55" t="n"/>
      <c r="D116" s="68" t="n"/>
      <c r="E116" s="68" t="n"/>
      <c r="F116" s="59">
        <f>IF(OR(E116="",D116=""),"",MAX(E116-D116,0))</f>
        <v/>
      </c>
      <c r="G116" s="59">
        <f>IF(F116="","",IF(N(C116)=0,1,C116))</f>
        <v/>
      </c>
      <c r="H116" s="53" t="n">
        <v>96</v>
      </c>
      <c r="I116" s="67" t="n"/>
      <c r="J116" s="55" t="n"/>
      <c r="K116" s="68" t="n"/>
      <c r="L116" s="68" t="n"/>
      <c r="M116" s="59">
        <f>IF(OR(L116="",K116=""),"",MAX(L116-K116,0))</f>
        <v/>
      </c>
      <c r="N116" s="59">
        <f>IF(M116="","",IF(N(J116)=0,1,J116))</f>
        <v/>
      </c>
    </row>
    <row r="117">
      <c r="A117" s="53" t="n">
        <v>97</v>
      </c>
      <c r="B117" s="67" t="n"/>
      <c r="C117" s="55" t="n"/>
      <c r="D117" s="68" t="n"/>
      <c r="E117" s="68" t="n"/>
      <c r="F117" s="59">
        <f>IF(OR(E117="",D117=""),"",MAX(E117-D117,0))</f>
        <v/>
      </c>
      <c r="G117" s="59">
        <f>IF(F117="","",IF(N(C117)=0,1,C117))</f>
        <v/>
      </c>
      <c r="H117" s="53" t="n">
        <v>97</v>
      </c>
      <c r="I117" s="67" t="n"/>
      <c r="J117" s="55" t="n"/>
      <c r="K117" s="68" t="n"/>
      <c r="L117" s="68" t="n"/>
      <c r="M117" s="59">
        <f>IF(OR(L117="",K117=""),"",MAX(L117-K117,0))</f>
        <v/>
      </c>
      <c r="N117" s="59">
        <f>IF(M117="","",IF(N(J117)=0,1,J117))</f>
        <v/>
      </c>
    </row>
    <row r="118">
      <c r="A118" s="53" t="n">
        <v>98</v>
      </c>
      <c r="B118" s="67" t="n"/>
      <c r="C118" s="55" t="n"/>
      <c r="D118" s="68" t="n"/>
      <c r="E118" s="68" t="n"/>
      <c r="F118" s="59">
        <f>IF(OR(E118="",D118=""),"",MAX(E118-D118,0))</f>
        <v/>
      </c>
      <c r="G118" s="59">
        <f>IF(F118="","",IF(N(C118)=0,1,C118))</f>
        <v/>
      </c>
      <c r="H118" s="53" t="n">
        <v>98</v>
      </c>
      <c r="I118" s="67" t="n"/>
      <c r="J118" s="55" t="n"/>
      <c r="K118" s="68" t="n"/>
      <c r="L118" s="68" t="n"/>
      <c r="M118" s="59">
        <f>IF(OR(L118="",K118=""),"",MAX(L118-K118,0))</f>
        <v/>
      </c>
      <c r="N118" s="59">
        <f>IF(M118="","",IF(N(J118)=0,1,J118))</f>
        <v/>
      </c>
    </row>
    <row r="119">
      <c r="A119" s="53" t="n">
        <v>99</v>
      </c>
      <c r="B119" s="67" t="n"/>
      <c r="C119" s="55" t="n"/>
      <c r="D119" s="68" t="n"/>
      <c r="E119" s="68" t="n"/>
      <c r="F119" s="59">
        <f>IF(OR(E119="",D119=""),"",MAX(E119-D119,0))</f>
        <v/>
      </c>
      <c r="G119" s="59">
        <f>IF(F119="","",IF(N(C119)=0,1,C119))</f>
        <v/>
      </c>
      <c r="H119" s="53" t="n">
        <v>99</v>
      </c>
      <c r="I119" s="67" t="n"/>
      <c r="J119" s="55" t="n"/>
      <c r="K119" s="68" t="n"/>
      <c r="L119" s="68" t="n"/>
      <c r="M119" s="59">
        <f>IF(OR(L119="",K119=""),"",MAX(L119-K119,0))</f>
        <v/>
      </c>
      <c r="N119" s="59">
        <f>IF(M119="","",IF(N(J119)=0,1,J119))</f>
        <v/>
      </c>
    </row>
    <row r="120">
      <c r="A120" s="53" t="n">
        <v>100</v>
      </c>
      <c r="B120" s="67" t="n"/>
      <c r="C120" s="55" t="n"/>
      <c r="D120" s="68" t="n"/>
      <c r="E120" s="68" t="n"/>
      <c r="F120" s="59">
        <f>IF(OR(E120="",D120=""),"",MAX(E120-D120,0))</f>
        <v/>
      </c>
      <c r="G120" s="59">
        <f>IF(F120="","",IF(N(C120)=0,1,C120))</f>
        <v/>
      </c>
      <c r="H120" s="53" t="n">
        <v>100</v>
      </c>
      <c r="I120" s="67" t="n"/>
      <c r="J120" s="55" t="n"/>
      <c r="K120" s="68" t="n"/>
      <c r="L120" s="68" t="n"/>
      <c r="M120" s="59">
        <f>IF(OR(L120="",K120=""),"",MAX(L120-K120,0))</f>
        <v/>
      </c>
      <c r="N120" s="59">
        <f>IF(M120="","",IF(N(J120)=0,1,J120))</f>
        <v/>
      </c>
    </row>
    <row r="121">
      <c r="A121" s="53" t="n">
        <v>101</v>
      </c>
      <c r="B121" s="67" t="n"/>
      <c r="C121" s="55" t="n"/>
      <c r="D121" s="68" t="n"/>
      <c r="E121" s="68" t="n"/>
      <c r="F121" s="59">
        <f>IF(OR(E121="",D121=""),"",MAX(E121-D121,0))</f>
        <v/>
      </c>
      <c r="G121" s="59">
        <f>IF(F121="","",IF(N(C121)=0,1,C121))</f>
        <v/>
      </c>
      <c r="H121" s="53" t="n">
        <v>101</v>
      </c>
      <c r="I121" s="67" t="n"/>
      <c r="J121" s="55" t="n"/>
      <c r="K121" s="68" t="n"/>
      <c r="L121" s="68" t="n"/>
      <c r="M121" s="59">
        <f>IF(OR(L121="",K121=""),"",MAX(L121-K121,0))</f>
        <v/>
      </c>
      <c r="N121" s="59">
        <f>IF(M121="","",IF(N(J121)=0,1,J121))</f>
        <v/>
      </c>
    </row>
    <row r="122">
      <c r="A122" s="53" t="n">
        <v>102</v>
      </c>
      <c r="B122" s="67" t="n"/>
      <c r="C122" s="55" t="n"/>
      <c r="D122" s="68" t="n"/>
      <c r="E122" s="68" t="n"/>
      <c r="F122" s="59">
        <f>IF(OR(E122="",D122=""),"",MAX(E122-D122,0))</f>
        <v/>
      </c>
      <c r="G122" s="59">
        <f>IF(F122="","",IF(N(C122)=0,1,C122))</f>
        <v/>
      </c>
      <c r="H122" s="53" t="n">
        <v>102</v>
      </c>
      <c r="I122" s="67" t="n"/>
      <c r="J122" s="55" t="n"/>
      <c r="K122" s="68" t="n"/>
      <c r="L122" s="68" t="n"/>
      <c r="M122" s="59">
        <f>IF(OR(L122="",K122=""),"",MAX(L122-K122,0))</f>
        <v/>
      </c>
      <c r="N122" s="59">
        <f>IF(M122="","",IF(N(J122)=0,1,J122))</f>
        <v/>
      </c>
    </row>
    <row r="123">
      <c r="A123" s="53" t="n">
        <v>103</v>
      </c>
      <c r="B123" s="67" t="n"/>
      <c r="C123" s="55" t="n"/>
      <c r="D123" s="68" t="n"/>
      <c r="E123" s="68" t="n"/>
      <c r="F123" s="59">
        <f>IF(OR(E123="",D123=""),"",MAX(E123-D123,0))</f>
        <v/>
      </c>
      <c r="G123" s="59">
        <f>IF(F123="","",IF(N(C123)=0,1,C123))</f>
        <v/>
      </c>
      <c r="H123" s="53" t="n">
        <v>103</v>
      </c>
      <c r="I123" s="67" t="n"/>
      <c r="J123" s="55" t="n"/>
      <c r="K123" s="68" t="n"/>
      <c r="L123" s="68" t="n"/>
      <c r="M123" s="59">
        <f>IF(OR(L123="",K123=""),"",MAX(L123-K123,0))</f>
        <v/>
      </c>
      <c r="N123" s="59">
        <f>IF(M123="","",IF(N(J123)=0,1,J123))</f>
        <v/>
      </c>
    </row>
    <row r="124">
      <c r="A124" s="53" t="n">
        <v>104</v>
      </c>
      <c r="B124" s="67" t="n"/>
      <c r="C124" s="55" t="n"/>
      <c r="D124" s="68" t="n"/>
      <c r="E124" s="68" t="n"/>
      <c r="F124" s="59">
        <f>IF(OR(E124="",D124=""),"",MAX(E124-D124,0))</f>
        <v/>
      </c>
      <c r="G124" s="59">
        <f>IF(F124="","",IF(N(C124)=0,1,C124))</f>
        <v/>
      </c>
      <c r="H124" s="53" t="n">
        <v>104</v>
      </c>
      <c r="I124" s="67" t="n"/>
      <c r="J124" s="55" t="n"/>
      <c r="K124" s="68" t="n"/>
      <c r="L124" s="68" t="n"/>
      <c r="M124" s="59">
        <f>IF(OR(L124="",K124=""),"",MAX(L124-K124,0))</f>
        <v/>
      </c>
      <c r="N124" s="59">
        <f>IF(M124="","",IF(N(J124)=0,1,J124))</f>
        <v/>
      </c>
    </row>
    <row r="125">
      <c r="A125" s="53" t="n">
        <v>105</v>
      </c>
      <c r="B125" s="67" t="n"/>
      <c r="C125" s="55" t="n"/>
      <c r="D125" s="68" t="n"/>
      <c r="E125" s="68" t="n"/>
      <c r="F125" s="59">
        <f>IF(OR(E125="",D125=""),"",MAX(E125-D125,0))</f>
        <v/>
      </c>
      <c r="G125" s="59">
        <f>IF(F125="","",IF(N(C125)=0,1,C125))</f>
        <v/>
      </c>
      <c r="H125" s="53" t="n">
        <v>105</v>
      </c>
      <c r="I125" s="67" t="n"/>
      <c r="J125" s="55" t="n"/>
      <c r="K125" s="68" t="n"/>
      <c r="L125" s="68" t="n"/>
      <c r="M125" s="59">
        <f>IF(OR(L125="",K125=""),"",MAX(L125-K125,0))</f>
        <v/>
      </c>
      <c r="N125" s="59">
        <f>IF(M125="","",IF(N(J125)=0,1,J125))</f>
        <v/>
      </c>
    </row>
    <row r="126">
      <c r="A126" s="53" t="n">
        <v>106</v>
      </c>
      <c r="B126" s="67" t="n"/>
      <c r="C126" s="55" t="n"/>
      <c r="D126" s="68" t="n"/>
      <c r="E126" s="68" t="n"/>
      <c r="F126" s="59">
        <f>IF(OR(E126="",D126=""),"",MAX(E126-D126,0))</f>
        <v/>
      </c>
      <c r="G126" s="59">
        <f>IF(F126="","",IF(N(C126)=0,1,C126))</f>
        <v/>
      </c>
      <c r="H126" s="53" t="n">
        <v>106</v>
      </c>
      <c r="I126" s="67" t="n"/>
      <c r="J126" s="55" t="n"/>
      <c r="K126" s="68" t="n"/>
      <c r="L126" s="68" t="n"/>
      <c r="M126" s="59">
        <f>IF(OR(L126="",K126=""),"",MAX(L126-K126,0))</f>
        <v/>
      </c>
      <c r="N126" s="59">
        <f>IF(M126="","",IF(N(J126)=0,1,J126))</f>
        <v/>
      </c>
    </row>
    <row r="127">
      <c r="A127" s="53" t="n">
        <v>107</v>
      </c>
      <c r="B127" s="67" t="n"/>
      <c r="C127" s="55" t="n"/>
      <c r="D127" s="68" t="n"/>
      <c r="E127" s="68" t="n"/>
      <c r="F127" s="59">
        <f>IF(OR(E127="",D127=""),"",MAX(E127-D127,0))</f>
        <v/>
      </c>
      <c r="G127" s="59">
        <f>IF(F127="","",IF(N(C127)=0,1,C127))</f>
        <v/>
      </c>
      <c r="H127" s="53" t="n">
        <v>107</v>
      </c>
      <c r="I127" s="67" t="n"/>
      <c r="J127" s="55" t="n"/>
      <c r="K127" s="68" t="n"/>
      <c r="L127" s="68" t="n"/>
      <c r="M127" s="59">
        <f>IF(OR(L127="",K127=""),"",MAX(L127-K127,0))</f>
        <v/>
      </c>
      <c r="N127" s="59">
        <f>IF(M127="","",IF(N(J127)=0,1,J127))</f>
        <v/>
      </c>
    </row>
    <row r="128">
      <c r="A128" s="53" t="n">
        <v>108</v>
      </c>
      <c r="B128" s="67" t="n"/>
      <c r="C128" s="55" t="n"/>
      <c r="D128" s="68" t="n"/>
      <c r="E128" s="68" t="n"/>
      <c r="F128" s="59">
        <f>IF(OR(E128="",D128=""),"",MAX(E128-D128,0))</f>
        <v/>
      </c>
      <c r="G128" s="59">
        <f>IF(F128="","",IF(N(C128)=0,1,C128))</f>
        <v/>
      </c>
      <c r="H128" s="53" t="n">
        <v>108</v>
      </c>
      <c r="I128" s="67" t="n"/>
      <c r="J128" s="55" t="n"/>
      <c r="K128" s="68" t="n"/>
      <c r="L128" s="68" t="n"/>
      <c r="M128" s="59">
        <f>IF(OR(L128="",K128=""),"",MAX(L128-K128,0))</f>
        <v/>
      </c>
      <c r="N128" s="59">
        <f>IF(M128="","",IF(N(J128)=0,1,J128))</f>
        <v/>
      </c>
    </row>
    <row r="129">
      <c r="A129" s="53" t="n">
        <v>109</v>
      </c>
      <c r="B129" s="67" t="n"/>
      <c r="C129" s="55" t="n"/>
      <c r="D129" s="68" t="n"/>
      <c r="E129" s="68" t="n"/>
      <c r="F129" s="59">
        <f>IF(OR(E129="",D129=""),"",MAX(E129-D129,0))</f>
        <v/>
      </c>
      <c r="G129" s="59">
        <f>IF(F129="","",IF(N(C129)=0,1,C129))</f>
        <v/>
      </c>
      <c r="H129" s="53" t="n">
        <v>109</v>
      </c>
      <c r="I129" s="67" t="n"/>
      <c r="J129" s="55" t="n"/>
      <c r="K129" s="68" t="n"/>
      <c r="L129" s="68" t="n"/>
      <c r="M129" s="59">
        <f>IF(OR(L129="",K129=""),"",MAX(L129-K129,0))</f>
        <v/>
      </c>
      <c r="N129" s="59">
        <f>IF(M129="","",IF(N(J129)=0,1,J129))</f>
        <v/>
      </c>
    </row>
    <row r="130">
      <c r="A130" s="53" t="n">
        <v>110</v>
      </c>
      <c r="B130" s="67" t="n"/>
      <c r="C130" s="55" t="n"/>
      <c r="D130" s="68" t="n"/>
      <c r="E130" s="68" t="n"/>
      <c r="F130" s="59">
        <f>IF(OR(E130="",D130=""),"",MAX(E130-D130,0))</f>
        <v/>
      </c>
      <c r="G130" s="59">
        <f>IF(F130="","",IF(N(C130)=0,1,C130))</f>
        <v/>
      </c>
      <c r="H130" s="53" t="n">
        <v>110</v>
      </c>
      <c r="I130" s="67" t="n"/>
      <c r="J130" s="55" t="n"/>
      <c r="K130" s="68" t="n"/>
      <c r="L130" s="68" t="n"/>
      <c r="M130" s="59">
        <f>IF(OR(L130="",K130=""),"",MAX(L130-K130,0))</f>
        <v/>
      </c>
      <c r="N130" s="59">
        <f>IF(M130="","",IF(N(J130)=0,1,J130))</f>
        <v/>
      </c>
    </row>
    <row r="131">
      <c r="A131" s="53" t="n">
        <v>111</v>
      </c>
      <c r="B131" s="67" t="n"/>
      <c r="C131" s="55" t="n"/>
      <c r="D131" s="68" t="n"/>
      <c r="E131" s="68" t="n"/>
      <c r="F131" s="59">
        <f>IF(OR(E131="",D131=""),"",MAX(E131-D131,0))</f>
        <v/>
      </c>
      <c r="G131" s="59">
        <f>IF(F131="","",IF(N(C131)=0,1,C131))</f>
        <v/>
      </c>
      <c r="H131" s="53" t="n">
        <v>111</v>
      </c>
      <c r="I131" s="67" t="n"/>
      <c r="J131" s="55" t="n"/>
      <c r="K131" s="68" t="n"/>
      <c r="L131" s="68" t="n"/>
      <c r="M131" s="59">
        <f>IF(OR(L131="",K131=""),"",MAX(L131-K131,0))</f>
        <v/>
      </c>
      <c r="N131" s="59">
        <f>IF(M131="","",IF(N(J131)=0,1,J131))</f>
        <v/>
      </c>
    </row>
    <row r="132">
      <c r="A132" s="53" t="n">
        <v>112</v>
      </c>
      <c r="B132" s="67" t="n"/>
      <c r="C132" s="55" t="n"/>
      <c r="D132" s="68" t="n"/>
      <c r="E132" s="68" t="n"/>
      <c r="F132" s="59">
        <f>IF(OR(E132="",D132=""),"",MAX(E132-D132,0))</f>
        <v/>
      </c>
      <c r="G132" s="59">
        <f>IF(F132="","",IF(N(C132)=0,1,C132))</f>
        <v/>
      </c>
      <c r="H132" s="53" t="n">
        <v>112</v>
      </c>
      <c r="I132" s="67" t="n"/>
      <c r="J132" s="55" t="n"/>
      <c r="K132" s="68" t="n"/>
      <c r="L132" s="68" t="n"/>
      <c r="M132" s="59">
        <f>IF(OR(L132="",K132=""),"",MAX(L132-K132,0))</f>
        <v/>
      </c>
      <c r="N132" s="59">
        <f>IF(M132="","",IF(N(J132)=0,1,J132))</f>
        <v/>
      </c>
    </row>
    <row r="133">
      <c r="A133" s="53" t="n">
        <v>113</v>
      </c>
      <c r="B133" s="67" t="n"/>
      <c r="C133" s="55" t="n"/>
      <c r="D133" s="68" t="n"/>
      <c r="E133" s="68" t="n"/>
      <c r="F133" s="59">
        <f>IF(OR(E133="",D133=""),"",MAX(E133-D133,0))</f>
        <v/>
      </c>
      <c r="G133" s="59">
        <f>IF(F133="","",IF(N(C133)=0,1,C133))</f>
        <v/>
      </c>
      <c r="H133" s="53" t="n">
        <v>113</v>
      </c>
      <c r="I133" s="67" t="n"/>
      <c r="J133" s="55" t="n"/>
      <c r="K133" s="68" t="n"/>
      <c r="L133" s="68" t="n"/>
      <c r="M133" s="59">
        <f>IF(OR(L133="",K133=""),"",MAX(L133-K133,0))</f>
        <v/>
      </c>
      <c r="N133" s="59">
        <f>IF(M133="","",IF(N(J133)=0,1,J133))</f>
        <v/>
      </c>
    </row>
    <row r="134">
      <c r="A134" s="53" t="n">
        <v>114</v>
      </c>
      <c r="B134" s="67" t="n"/>
      <c r="C134" s="55" t="n"/>
      <c r="D134" s="68" t="n"/>
      <c r="E134" s="68" t="n"/>
      <c r="F134" s="59">
        <f>IF(OR(E134="",D134=""),"",MAX(E134-D134,0))</f>
        <v/>
      </c>
      <c r="G134" s="59">
        <f>IF(F134="","",IF(N(C134)=0,1,C134))</f>
        <v/>
      </c>
      <c r="H134" s="53" t="n">
        <v>114</v>
      </c>
      <c r="I134" s="67" t="n"/>
      <c r="J134" s="55" t="n"/>
      <c r="K134" s="68" t="n"/>
      <c r="L134" s="68" t="n"/>
      <c r="M134" s="59">
        <f>IF(OR(L134="",K134=""),"",MAX(L134-K134,0))</f>
        <v/>
      </c>
      <c r="N134" s="59">
        <f>IF(M134="","",IF(N(J134)=0,1,J134))</f>
        <v/>
      </c>
    </row>
    <row r="135">
      <c r="A135" s="53" t="n">
        <v>115</v>
      </c>
      <c r="B135" s="67" t="n"/>
      <c r="C135" s="55" t="n"/>
      <c r="D135" s="68" t="n"/>
      <c r="E135" s="68" t="n"/>
      <c r="F135" s="59">
        <f>IF(OR(E135="",D135=""),"",MAX(E135-D135,0))</f>
        <v/>
      </c>
      <c r="G135" s="59">
        <f>IF(F135="","",IF(N(C135)=0,1,C135))</f>
        <v/>
      </c>
      <c r="H135" s="53" t="n">
        <v>115</v>
      </c>
      <c r="I135" s="67" t="n"/>
      <c r="J135" s="55" t="n"/>
      <c r="K135" s="68" t="n"/>
      <c r="L135" s="68" t="n"/>
      <c r="M135" s="59">
        <f>IF(OR(L135="",K135=""),"",MAX(L135-K135,0))</f>
        <v/>
      </c>
      <c r="N135" s="59">
        <f>IF(M135="","",IF(N(J135)=0,1,J135))</f>
        <v/>
      </c>
    </row>
    <row r="136">
      <c r="A136" s="53" t="n">
        <v>116</v>
      </c>
      <c r="B136" s="67" t="n"/>
      <c r="C136" s="55" t="n"/>
      <c r="D136" s="68" t="n"/>
      <c r="E136" s="68" t="n"/>
      <c r="F136" s="59">
        <f>IF(OR(E136="",D136=""),"",MAX(E136-D136,0))</f>
        <v/>
      </c>
      <c r="G136" s="59">
        <f>IF(F136="","",IF(N(C136)=0,1,C136))</f>
        <v/>
      </c>
      <c r="H136" s="53" t="n">
        <v>116</v>
      </c>
      <c r="I136" s="67" t="n"/>
      <c r="J136" s="55" t="n"/>
      <c r="K136" s="68" t="n"/>
      <c r="L136" s="68" t="n"/>
      <c r="M136" s="59">
        <f>IF(OR(L136="",K136=""),"",MAX(L136-K136,0))</f>
        <v/>
      </c>
      <c r="N136" s="59">
        <f>IF(M136="","",IF(N(J136)=0,1,J136))</f>
        <v/>
      </c>
    </row>
    <row r="137">
      <c r="A137" s="53" t="n">
        <v>117</v>
      </c>
      <c r="B137" s="67" t="n"/>
      <c r="C137" s="55" t="n"/>
      <c r="D137" s="68" t="n"/>
      <c r="E137" s="68" t="n"/>
      <c r="F137" s="59">
        <f>IF(OR(E137="",D137=""),"",MAX(E137-D137,0))</f>
        <v/>
      </c>
      <c r="G137" s="59">
        <f>IF(F137="","",IF(N(C137)=0,1,C137))</f>
        <v/>
      </c>
      <c r="H137" s="53" t="n">
        <v>117</v>
      </c>
      <c r="I137" s="67" t="n"/>
      <c r="J137" s="55" t="n"/>
      <c r="K137" s="68" t="n"/>
      <c r="L137" s="68" t="n"/>
      <c r="M137" s="59">
        <f>IF(OR(L137="",K137=""),"",MAX(L137-K137,0))</f>
        <v/>
      </c>
      <c r="N137" s="59">
        <f>IF(M137="","",IF(N(J137)=0,1,J137))</f>
        <v/>
      </c>
    </row>
    <row r="138">
      <c r="A138" s="53" t="n">
        <v>118</v>
      </c>
      <c r="B138" s="67" t="n"/>
      <c r="C138" s="55" t="n"/>
      <c r="D138" s="68" t="n"/>
      <c r="E138" s="68" t="n"/>
      <c r="F138" s="59">
        <f>IF(OR(E138="",D138=""),"",MAX(E138-D138,0))</f>
        <v/>
      </c>
      <c r="G138" s="59">
        <f>IF(F138="","",IF(N(C138)=0,1,C138))</f>
        <v/>
      </c>
      <c r="H138" s="53" t="n">
        <v>118</v>
      </c>
      <c r="I138" s="67" t="n"/>
      <c r="J138" s="55" t="n"/>
      <c r="K138" s="68" t="n"/>
      <c r="L138" s="68" t="n"/>
      <c r="M138" s="59">
        <f>IF(OR(L138="",K138=""),"",MAX(L138-K138,0))</f>
        <v/>
      </c>
      <c r="N138" s="59">
        <f>IF(M138="","",IF(N(J138)=0,1,J138))</f>
        <v/>
      </c>
    </row>
    <row r="139">
      <c r="A139" s="53" t="n">
        <v>119</v>
      </c>
      <c r="B139" s="67" t="n"/>
      <c r="C139" s="55" t="n"/>
      <c r="D139" s="68" t="n"/>
      <c r="E139" s="68" t="n"/>
      <c r="F139" s="59">
        <f>IF(OR(E139="",D139=""),"",MAX(E139-D139,0))</f>
        <v/>
      </c>
      <c r="G139" s="59">
        <f>IF(F139="","",IF(N(C139)=0,1,C139))</f>
        <v/>
      </c>
      <c r="H139" s="53" t="n">
        <v>119</v>
      </c>
      <c r="I139" s="67" t="n"/>
      <c r="J139" s="55" t="n"/>
      <c r="K139" s="68" t="n"/>
      <c r="L139" s="68" t="n"/>
      <c r="M139" s="59">
        <f>IF(OR(L139="",K139=""),"",MAX(L139-K139,0))</f>
        <v/>
      </c>
      <c r="N139" s="59">
        <f>IF(M139="","",IF(N(J139)=0,1,J139))</f>
        <v/>
      </c>
    </row>
    <row r="140">
      <c r="A140" s="53" t="n">
        <v>120</v>
      </c>
      <c r="B140" s="67" t="n"/>
      <c r="C140" s="55" t="n"/>
      <c r="D140" s="68" t="n"/>
      <c r="E140" s="68" t="n"/>
      <c r="F140" s="59">
        <f>IF(OR(E140="",D140=""),"",MAX(E140-D140,0))</f>
        <v/>
      </c>
      <c r="G140" s="59">
        <f>IF(F140="","",IF(N(C140)=0,1,C140))</f>
        <v/>
      </c>
      <c r="H140" s="53" t="n">
        <v>120</v>
      </c>
      <c r="I140" s="67" t="n"/>
      <c r="J140" s="55" t="n"/>
      <c r="K140" s="68" t="n"/>
      <c r="L140" s="68" t="n"/>
      <c r="M140" s="59">
        <f>IF(OR(L140="",K140=""),"",MAX(L140-K140,0))</f>
        <v/>
      </c>
      <c r="N140" s="59">
        <f>IF(M140="","",IF(N(J140)=0,1,J140))</f>
        <v/>
      </c>
    </row>
    <row r="141">
      <c r="A141" s="53" t="n">
        <v>121</v>
      </c>
      <c r="B141" s="67" t="n"/>
      <c r="C141" s="55" t="n"/>
      <c r="D141" s="68" t="n"/>
      <c r="E141" s="68" t="n"/>
      <c r="F141" s="59">
        <f>IF(OR(E141="",D141=""),"",MAX(E141-D141,0))</f>
        <v/>
      </c>
      <c r="G141" s="59">
        <f>IF(F141="","",IF(N(C141)=0,1,C141))</f>
        <v/>
      </c>
      <c r="H141" s="53" t="n">
        <v>121</v>
      </c>
      <c r="I141" s="67" t="n"/>
      <c r="J141" s="55" t="n"/>
      <c r="K141" s="68" t="n"/>
      <c r="L141" s="68" t="n"/>
      <c r="M141" s="59">
        <f>IF(OR(L141="",K141=""),"",MAX(L141-K141,0))</f>
        <v/>
      </c>
      <c r="N141" s="59">
        <f>IF(M141="","",IF(N(J141)=0,1,J141))</f>
        <v/>
      </c>
    </row>
    <row r="142">
      <c r="A142" s="53" t="n">
        <v>122</v>
      </c>
      <c r="B142" s="67" t="n"/>
      <c r="C142" s="55" t="n"/>
      <c r="D142" s="68" t="n"/>
      <c r="E142" s="68" t="n"/>
      <c r="F142" s="59">
        <f>IF(OR(E142="",D142=""),"",MAX(E142-D142,0))</f>
        <v/>
      </c>
      <c r="G142" s="59">
        <f>IF(F142="","",IF(N(C142)=0,1,C142))</f>
        <v/>
      </c>
      <c r="H142" s="53" t="n">
        <v>122</v>
      </c>
      <c r="I142" s="67" t="n"/>
      <c r="J142" s="55" t="n"/>
      <c r="K142" s="68" t="n"/>
      <c r="L142" s="68" t="n"/>
      <c r="M142" s="59">
        <f>IF(OR(L142="",K142=""),"",MAX(L142-K142,0))</f>
        <v/>
      </c>
      <c r="N142" s="59">
        <f>IF(M142="","",IF(N(J142)=0,1,J142))</f>
        <v/>
      </c>
    </row>
    <row r="143">
      <c r="A143" s="53" t="n">
        <v>123</v>
      </c>
      <c r="B143" s="67" t="n"/>
      <c r="C143" s="55" t="n"/>
      <c r="D143" s="68" t="n"/>
      <c r="E143" s="68" t="n"/>
      <c r="F143" s="59">
        <f>IF(OR(E143="",D143=""),"",MAX(E143-D143,0))</f>
        <v/>
      </c>
      <c r="G143" s="59">
        <f>IF(F143="","",IF(N(C143)=0,1,C143))</f>
        <v/>
      </c>
      <c r="H143" s="53" t="n">
        <v>123</v>
      </c>
      <c r="I143" s="67" t="n"/>
      <c r="J143" s="55" t="n"/>
      <c r="K143" s="68" t="n"/>
      <c r="L143" s="68" t="n"/>
      <c r="M143" s="59">
        <f>IF(OR(L143="",K143=""),"",MAX(L143-K143,0))</f>
        <v/>
      </c>
      <c r="N143" s="59">
        <f>IF(M143="","",IF(N(J143)=0,1,J143))</f>
        <v/>
      </c>
    </row>
    <row r="144">
      <c r="A144" s="53" t="n">
        <v>124</v>
      </c>
      <c r="B144" s="67" t="n"/>
      <c r="C144" s="55" t="n"/>
      <c r="D144" s="68" t="n"/>
      <c r="E144" s="68" t="n"/>
      <c r="F144" s="59">
        <f>IF(OR(E144="",D144=""),"",MAX(E144-D144,0))</f>
        <v/>
      </c>
      <c r="G144" s="59">
        <f>IF(F144="","",IF(N(C144)=0,1,C144))</f>
        <v/>
      </c>
      <c r="H144" s="53" t="n">
        <v>124</v>
      </c>
      <c r="I144" s="67" t="n"/>
      <c r="J144" s="55" t="n"/>
      <c r="K144" s="68" t="n"/>
      <c r="L144" s="68" t="n"/>
      <c r="M144" s="59">
        <f>IF(OR(L144="",K144=""),"",MAX(L144-K144,0))</f>
        <v/>
      </c>
      <c r="N144" s="59">
        <f>IF(M144="","",IF(N(J144)=0,1,J144))</f>
        <v/>
      </c>
    </row>
    <row r="145">
      <c r="A145" s="53" t="n">
        <v>125</v>
      </c>
      <c r="B145" s="67" t="n"/>
      <c r="C145" s="55" t="n"/>
      <c r="D145" s="68" t="n"/>
      <c r="E145" s="68" t="n"/>
      <c r="F145" s="59">
        <f>IF(OR(E145="",D145=""),"",MAX(E145-D145,0))</f>
        <v/>
      </c>
      <c r="G145" s="59">
        <f>IF(F145="","",IF(N(C145)=0,1,C145))</f>
        <v/>
      </c>
      <c r="H145" s="53" t="n">
        <v>125</v>
      </c>
      <c r="I145" s="67" t="n"/>
      <c r="J145" s="55" t="n"/>
      <c r="K145" s="68" t="n"/>
      <c r="L145" s="68" t="n"/>
      <c r="M145" s="59">
        <f>IF(OR(L145="",K145=""),"",MAX(L145-K145,0))</f>
        <v/>
      </c>
      <c r="N145" s="59">
        <f>IF(M145="","",IF(N(J145)=0,1,J145))</f>
        <v/>
      </c>
    </row>
    <row r="146">
      <c r="A146" s="53" t="n">
        <v>126</v>
      </c>
      <c r="B146" s="67" t="n"/>
      <c r="C146" s="55" t="n"/>
      <c r="D146" s="68" t="n"/>
      <c r="E146" s="68" t="n"/>
      <c r="F146" s="59">
        <f>IF(OR(E146="",D146=""),"",MAX(E146-D146,0))</f>
        <v/>
      </c>
      <c r="G146" s="59">
        <f>IF(F146="","",IF(N(C146)=0,1,C146))</f>
        <v/>
      </c>
      <c r="H146" s="53" t="n">
        <v>126</v>
      </c>
      <c r="I146" s="67" t="n"/>
      <c r="J146" s="55" t="n"/>
      <c r="K146" s="68" t="n"/>
      <c r="L146" s="68" t="n"/>
      <c r="M146" s="59">
        <f>IF(OR(L146="",K146=""),"",MAX(L146-K146,0))</f>
        <v/>
      </c>
      <c r="N146" s="59">
        <f>IF(M146="","",IF(N(J146)=0,1,J146))</f>
        <v/>
      </c>
    </row>
    <row r="147">
      <c r="A147" s="53" t="n">
        <v>127</v>
      </c>
      <c r="B147" s="67" t="n"/>
      <c r="C147" s="55" t="n"/>
      <c r="D147" s="68" t="n"/>
      <c r="E147" s="68" t="n"/>
      <c r="F147" s="59">
        <f>IF(OR(E147="",D147=""),"",MAX(E147-D147,0))</f>
        <v/>
      </c>
      <c r="G147" s="59">
        <f>IF(F147="","",IF(N(C147)=0,1,C147))</f>
        <v/>
      </c>
      <c r="H147" s="53" t="n">
        <v>127</v>
      </c>
      <c r="I147" s="67" t="n"/>
      <c r="J147" s="55" t="n"/>
      <c r="K147" s="68" t="n"/>
      <c r="L147" s="68" t="n"/>
      <c r="M147" s="59">
        <f>IF(OR(L147="",K147=""),"",MAX(L147-K147,0))</f>
        <v/>
      </c>
      <c r="N147" s="59">
        <f>IF(M147="","",IF(N(J147)=0,1,J147))</f>
        <v/>
      </c>
    </row>
    <row r="148">
      <c r="A148" s="53" t="n">
        <v>128</v>
      </c>
      <c r="B148" s="67" t="n"/>
      <c r="C148" s="55" t="n"/>
      <c r="D148" s="68" t="n"/>
      <c r="E148" s="68" t="n"/>
      <c r="F148" s="59">
        <f>IF(OR(E148="",D148=""),"",MAX(E148-D148,0))</f>
        <v/>
      </c>
      <c r="G148" s="59">
        <f>IF(F148="","",IF(N(C148)=0,1,C148))</f>
        <v/>
      </c>
      <c r="H148" s="53" t="n">
        <v>128</v>
      </c>
      <c r="I148" s="67" t="n"/>
      <c r="J148" s="55" t="n"/>
      <c r="K148" s="68" t="n"/>
      <c r="L148" s="68" t="n"/>
      <c r="M148" s="59">
        <f>IF(OR(L148="",K148=""),"",MAX(L148-K148,0))</f>
        <v/>
      </c>
      <c r="N148" s="59">
        <f>IF(M148="","",IF(N(J148)=0,1,J148))</f>
        <v/>
      </c>
    </row>
    <row r="149">
      <c r="A149" s="53" t="n">
        <v>129</v>
      </c>
      <c r="B149" s="67" t="n"/>
      <c r="C149" s="55" t="n"/>
      <c r="D149" s="68" t="n"/>
      <c r="E149" s="68" t="n"/>
      <c r="F149" s="59">
        <f>IF(OR(E149="",D149=""),"",MAX(E149-D149,0))</f>
        <v/>
      </c>
      <c r="G149" s="59">
        <f>IF(F149="","",IF(N(C149)=0,1,C149))</f>
        <v/>
      </c>
      <c r="H149" s="53" t="n">
        <v>129</v>
      </c>
      <c r="I149" s="67" t="n"/>
      <c r="J149" s="55" t="n"/>
      <c r="K149" s="68" t="n"/>
      <c r="L149" s="68" t="n"/>
      <c r="M149" s="59">
        <f>IF(OR(L149="",K149=""),"",MAX(L149-K149,0))</f>
        <v/>
      </c>
      <c r="N149" s="59">
        <f>IF(M149="","",IF(N(J149)=0,1,J149))</f>
        <v/>
      </c>
    </row>
    <row r="150">
      <c r="A150" s="53" t="n">
        <v>130</v>
      </c>
      <c r="B150" s="67" t="n"/>
      <c r="C150" s="55" t="n"/>
      <c r="D150" s="68" t="n"/>
      <c r="E150" s="68" t="n"/>
      <c r="F150" s="59">
        <f>IF(OR(E150="",D150=""),"",MAX(E150-D150,0))</f>
        <v/>
      </c>
      <c r="G150" s="59">
        <f>IF(F150="","",IF(N(C150)=0,1,C150))</f>
        <v/>
      </c>
      <c r="H150" s="53" t="n">
        <v>130</v>
      </c>
      <c r="I150" s="67" t="n"/>
      <c r="J150" s="55" t="n"/>
      <c r="K150" s="68" t="n"/>
      <c r="L150" s="68" t="n"/>
      <c r="M150" s="59">
        <f>IF(OR(L150="",K150=""),"",MAX(L150-K150,0))</f>
        <v/>
      </c>
      <c r="N150" s="59">
        <f>IF(M150="","",IF(N(J150)=0,1,J150))</f>
        <v/>
      </c>
    </row>
    <row r="151">
      <c r="A151" s="53" t="n">
        <v>131</v>
      </c>
      <c r="B151" s="67" t="n"/>
      <c r="C151" s="55" t="n"/>
      <c r="D151" s="68" t="n"/>
      <c r="E151" s="68" t="n"/>
      <c r="F151" s="59">
        <f>IF(OR(E151="",D151=""),"",MAX(E151-D151,0))</f>
        <v/>
      </c>
      <c r="G151" s="59">
        <f>IF(F151="","",IF(N(C151)=0,1,C151))</f>
        <v/>
      </c>
      <c r="H151" s="53" t="n">
        <v>131</v>
      </c>
      <c r="I151" s="67" t="n"/>
      <c r="J151" s="55" t="n"/>
      <c r="K151" s="68" t="n"/>
      <c r="L151" s="68" t="n"/>
      <c r="M151" s="59">
        <f>IF(OR(L151="",K151=""),"",MAX(L151-K151,0))</f>
        <v/>
      </c>
      <c r="N151" s="59">
        <f>IF(M151="","",IF(N(J151)=0,1,J151))</f>
        <v/>
      </c>
    </row>
    <row r="152">
      <c r="A152" s="53" t="n">
        <v>132</v>
      </c>
      <c r="B152" s="67" t="n"/>
      <c r="C152" s="55" t="n"/>
      <c r="D152" s="68" t="n"/>
      <c r="E152" s="68" t="n"/>
      <c r="F152" s="59">
        <f>IF(OR(E152="",D152=""),"",MAX(E152-D152,0))</f>
        <v/>
      </c>
      <c r="G152" s="59">
        <f>IF(F152="","",IF(N(C152)=0,1,C152))</f>
        <v/>
      </c>
      <c r="H152" s="53" t="n">
        <v>132</v>
      </c>
      <c r="I152" s="67" t="n"/>
      <c r="J152" s="55" t="n"/>
      <c r="K152" s="68" t="n"/>
      <c r="L152" s="68" t="n"/>
      <c r="M152" s="59">
        <f>IF(OR(L152="",K152=""),"",MAX(L152-K152,0))</f>
        <v/>
      </c>
      <c r="N152" s="59">
        <f>IF(M152="","",IF(N(J152)=0,1,J152))</f>
        <v/>
      </c>
    </row>
    <row r="153">
      <c r="A153" s="53" t="n">
        <v>133</v>
      </c>
      <c r="B153" s="67" t="n"/>
      <c r="C153" s="55" t="n"/>
      <c r="D153" s="68" t="n"/>
      <c r="E153" s="68" t="n"/>
      <c r="F153" s="59">
        <f>IF(OR(E153="",D153=""),"",MAX(E153-D153,0))</f>
        <v/>
      </c>
      <c r="G153" s="59">
        <f>IF(F153="","",IF(N(C153)=0,1,C153))</f>
        <v/>
      </c>
      <c r="H153" s="53" t="n">
        <v>133</v>
      </c>
      <c r="I153" s="67" t="n"/>
      <c r="J153" s="55" t="n"/>
      <c r="K153" s="68" t="n"/>
      <c r="L153" s="68" t="n"/>
      <c r="M153" s="59">
        <f>IF(OR(L153="",K153=""),"",MAX(L153-K153,0))</f>
        <v/>
      </c>
      <c r="N153" s="59">
        <f>IF(M153="","",IF(N(J153)=0,1,J153))</f>
        <v/>
      </c>
    </row>
    <row r="154">
      <c r="A154" s="53" t="n">
        <v>134</v>
      </c>
      <c r="B154" s="67" t="n"/>
      <c r="C154" s="55" t="n"/>
      <c r="D154" s="68" t="n"/>
      <c r="E154" s="68" t="n"/>
      <c r="F154" s="59">
        <f>IF(OR(E154="",D154=""),"",MAX(E154-D154,0))</f>
        <v/>
      </c>
      <c r="G154" s="59">
        <f>IF(F154="","",IF(N(C154)=0,1,C154))</f>
        <v/>
      </c>
      <c r="H154" s="53" t="n">
        <v>134</v>
      </c>
      <c r="I154" s="67" t="n"/>
      <c r="J154" s="55" t="n"/>
      <c r="K154" s="68" t="n"/>
      <c r="L154" s="68" t="n"/>
      <c r="M154" s="59">
        <f>IF(OR(L154="",K154=""),"",MAX(L154-K154,0))</f>
        <v/>
      </c>
      <c r="N154" s="59">
        <f>IF(M154="","",IF(N(J154)=0,1,J154))</f>
        <v/>
      </c>
    </row>
    <row r="155">
      <c r="A155" s="53" t="n">
        <v>135</v>
      </c>
      <c r="B155" s="67" t="n"/>
      <c r="C155" s="55" t="n"/>
      <c r="D155" s="68" t="n"/>
      <c r="E155" s="68" t="n"/>
      <c r="F155" s="59">
        <f>IF(OR(E155="",D155=""),"",MAX(E155-D155,0))</f>
        <v/>
      </c>
      <c r="G155" s="59">
        <f>IF(F155="","",IF(N(C155)=0,1,C155))</f>
        <v/>
      </c>
      <c r="H155" s="53" t="n">
        <v>135</v>
      </c>
      <c r="I155" s="67" t="n"/>
      <c r="J155" s="55" t="n"/>
      <c r="K155" s="68" t="n"/>
      <c r="L155" s="68" t="n"/>
      <c r="M155" s="59">
        <f>IF(OR(L155="",K155=""),"",MAX(L155-K155,0))</f>
        <v/>
      </c>
      <c r="N155" s="59">
        <f>IF(M155="","",IF(N(J155)=0,1,J155))</f>
        <v/>
      </c>
    </row>
    <row r="156">
      <c r="A156" s="53" t="n">
        <v>136</v>
      </c>
      <c r="B156" s="67" t="n"/>
      <c r="C156" s="55" t="n"/>
      <c r="D156" s="68" t="n"/>
      <c r="E156" s="68" t="n"/>
      <c r="F156" s="59">
        <f>IF(OR(E156="",D156=""),"",MAX(E156-D156,0))</f>
        <v/>
      </c>
      <c r="G156" s="59">
        <f>IF(F156="","",IF(N(C156)=0,1,C156))</f>
        <v/>
      </c>
      <c r="H156" s="53" t="n">
        <v>136</v>
      </c>
      <c r="I156" s="67" t="n"/>
      <c r="J156" s="55" t="n"/>
      <c r="K156" s="68" t="n"/>
      <c r="L156" s="68" t="n"/>
      <c r="M156" s="59">
        <f>IF(OR(L156="",K156=""),"",MAX(L156-K156,0))</f>
        <v/>
      </c>
      <c r="N156" s="59">
        <f>IF(M156="","",IF(N(J156)=0,1,J156))</f>
        <v/>
      </c>
    </row>
    <row r="157">
      <c r="A157" s="53" t="n">
        <v>137</v>
      </c>
      <c r="B157" s="67" t="n"/>
      <c r="C157" s="55" t="n"/>
      <c r="D157" s="68" t="n"/>
      <c r="E157" s="68" t="n"/>
      <c r="F157" s="59">
        <f>IF(OR(E157="",D157=""),"",MAX(E157-D157,0))</f>
        <v/>
      </c>
      <c r="G157" s="59">
        <f>IF(F157="","",IF(N(C157)=0,1,C157))</f>
        <v/>
      </c>
      <c r="H157" s="53" t="n">
        <v>137</v>
      </c>
      <c r="I157" s="67" t="n"/>
      <c r="J157" s="55" t="n"/>
      <c r="K157" s="68" t="n"/>
      <c r="L157" s="68" t="n"/>
      <c r="M157" s="59">
        <f>IF(OR(L157="",K157=""),"",MAX(L157-K157,0))</f>
        <v/>
      </c>
      <c r="N157" s="59">
        <f>IF(M157="","",IF(N(J157)=0,1,J157))</f>
        <v/>
      </c>
    </row>
    <row r="158">
      <c r="A158" s="53" t="n">
        <v>138</v>
      </c>
      <c r="B158" s="67" t="n"/>
      <c r="C158" s="55" t="n"/>
      <c r="D158" s="68" t="n"/>
      <c r="E158" s="68" t="n"/>
      <c r="F158" s="59">
        <f>IF(OR(E158="",D158=""),"",MAX(E158-D158,0))</f>
        <v/>
      </c>
      <c r="G158" s="59">
        <f>IF(F158="","",IF(N(C158)=0,1,C158))</f>
        <v/>
      </c>
      <c r="H158" s="53" t="n">
        <v>138</v>
      </c>
      <c r="I158" s="67" t="n"/>
      <c r="J158" s="55" t="n"/>
      <c r="K158" s="68" t="n"/>
      <c r="L158" s="68" t="n"/>
      <c r="M158" s="59">
        <f>IF(OR(L158="",K158=""),"",MAX(L158-K158,0))</f>
        <v/>
      </c>
      <c r="N158" s="59">
        <f>IF(M158="","",IF(N(J158)=0,1,J158))</f>
        <v/>
      </c>
    </row>
    <row r="159">
      <c r="A159" s="53" t="n">
        <v>139</v>
      </c>
      <c r="B159" s="67" t="n"/>
      <c r="C159" s="55" t="n"/>
      <c r="D159" s="68" t="n"/>
      <c r="E159" s="68" t="n"/>
      <c r="F159" s="59">
        <f>IF(OR(E159="",D159=""),"",MAX(E159-D159,0))</f>
        <v/>
      </c>
      <c r="G159" s="59">
        <f>IF(F159="","",IF(N(C159)=0,1,C159))</f>
        <v/>
      </c>
      <c r="H159" s="53" t="n">
        <v>139</v>
      </c>
      <c r="I159" s="67" t="n"/>
      <c r="J159" s="55" t="n"/>
      <c r="K159" s="68" t="n"/>
      <c r="L159" s="68" t="n"/>
      <c r="M159" s="59">
        <f>IF(OR(L159="",K159=""),"",MAX(L159-K159,0))</f>
        <v/>
      </c>
      <c r="N159" s="59">
        <f>IF(M159="","",IF(N(J159)=0,1,J159))</f>
        <v/>
      </c>
    </row>
    <row r="160">
      <c r="A160" s="53" t="n">
        <v>140</v>
      </c>
      <c r="B160" s="67" t="n"/>
      <c r="C160" s="55" t="n"/>
      <c r="D160" s="68" t="n"/>
      <c r="E160" s="68" t="n"/>
      <c r="F160" s="59">
        <f>IF(OR(E160="",D160=""),"",MAX(E160-D160,0))</f>
        <v/>
      </c>
      <c r="G160" s="59">
        <f>IF(F160="","",IF(N(C160)=0,1,C160))</f>
        <v/>
      </c>
      <c r="H160" s="53" t="n">
        <v>140</v>
      </c>
      <c r="I160" s="67" t="n"/>
      <c r="J160" s="55" t="n"/>
      <c r="K160" s="68" t="n"/>
      <c r="L160" s="68" t="n"/>
      <c r="M160" s="59">
        <f>IF(OR(L160="",K160=""),"",MAX(L160-K160,0))</f>
        <v/>
      </c>
      <c r="N160" s="59">
        <f>IF(M160="","",IF(N(J160)=0,1,J160))</f>
        <v/>
      </c>
    </row>
    <row r="161">
      <c r="A161" s="53" t="n">
        <v>141</v>
      </c>
      <c r="B161" s="67" t="n"/>
      <c r="C161" s="55" t="n"/>
      <c r="D161" s="68" t="n"/>
      <c r="E161" s="68" t="n"/>
      <c r="F161" s="59">
        <f>IF(OR(E161="",D161=""),"",MAX(E161-D161,0))</f>
        <v/>
      </c>
      <c r="G161" s="59">
        <f>IF(F161="","",IF(N(C161)=0,1,C161))</f>
        <v/>
      </c>
      <c r="H161" s="53" t="n">
        <v>141</v>
      </c>
      <c r="I161" s="67" t="n"/>
      <c r="J161" s="55" t="n"/>
      <c r="K161" s="68" t="n"/>
      <c r="L161" s="68" t="n"/>
      <c r="M161" s="59">
        <f>IF(OR(L161="",K161=""),"",MAX(L161-K161,0))</f>
        <v/>
      </c>
      <c r="N161" s="59">
        <f>IF(M161="","",IF(N(J161)=0,1,J161))</f>
        <v/>
      </c>
    </row>
    <row r="162">
      <c r="A162" s="53" t="n">
        <v>142</v>
      </c>
      <c r="B162" s="67" t="n"/>
      <c r="C162" s="55" t="n"/>
      <c r="D162" s="68" t="n"/>
      <c r="E162" s="68" t="n"/>
      <c r="F162" s="59">
        <f>IF(OR(E162="",D162=""),"",MAX(E162-D162,0))</f>
        <v/>
      </c>
      <c r="G162" s="59">
        <f>IF(F162="","",IF(N(C162)=0,1,C162))</f>
        <v/>
      </c>
      <c r="H162" s="53" t="n">
        <v>142</v>
      </c>
      <c r="I162" s="67" t="n"/>
      <c r="J162" s="55" t="n"/>
      <c r="K162" s="68" t="n"/>
      <c r="L162" s="68" t="n"/>
      <c r="M162" s="59">
        <f>IF(OR(L162="",K162=""),"",MAX(L162-K162,0))</f>
        <v/>
      </c>
      <c r="N162" s="59">
        <f>IF(M162="","",IF(N(J162)=0,1,J162))</f>
        <v/>
      </c>
    </row>
    <row r="163">
      <c r="A163" s="53" t="n">
        <v>143</v>
      </c>
      <c r="B163" s="67" t="n"/>
      <c r="C163" s="55" t="n"/>
      <c r="D163" s="68" t="n"/>
      <c r="E163" s="68" t="n"/>
      <c r="F163" s="59">
        <f>IF(OR(E163="",D163=""),"",MAX(E163-D163,0))</f>
        <v/>
      </c>
      <c r="G163" s="59">
        <f>IF(F163="","",IF(N(C163)=0,1,C163))</f>
        <v/>
      </c>
      <c r="H163" s="53" t="n">
        <v>143</v>
      </c>
      <c r="I163" s="67" t="n"/>
      <c r="J163" s="55" t="n"/>
      <c r="K163" s="68" t="n"/>
      <c r="L163" s="68" t="n"/>
      <c r="M163" s="59">
        <f>IF(OR(L163="",K163=""),"",MAX(L163-K163,0))</f>
        <v/>
      </c>
      <c r="N163" s="59">
        <f>IF(M163="","",IF(N(J163)=0,1,J163))</f>
        <v/>
      </c>
    </row>
    <row r="164">
      <c r="A164" s="53" t="n">
        <v>144</v>
      </c>
      <c r="B164" s="67" t="n"/>
      <c r="C164" s="55" t="n"/>
      <c r="D164" s="68" t="n"/>
      <c r="E164" s="68" t="n"/>
      <c r="F164" s="59">
        <f>IF(OR(E164="",D164=""),"",MAX(E164-D164,0))</f>
        <v/>
      </c>
      <c r="G164" s="59">
        <f>IF(F164="","",IF(N(C164)=0,1,C164))</f>
        <v/>
      </c>
      <c r="H164" s="53" t="n">
        <v>144</v>
      </c>
      <c r="I164" s="67" t="n"/>
      <c r="J164" s="55" t="n"/>
      <c r="K164" s="68" t="n"/>
      <c r="L164" s="68" t="n"/>
      <c r="M164" s="59">
        <f>IF(OR(L164="",K164=""),"",MAX(L164-K164,0))</f>
        <v/>
      </c>
      <c r="N164" s="59">
        <f>IF(M164="","",IF(N(J164)=0,1,J164))</f>
        <v/>
      </c>
    </row>
    <row r="165">
      <c r="A165" s="53" t="n">
        <v>145</v>
      </c>
      <c r="B165" s="67" t="n"/>
      <c r="C165" s="55" t="n"/>
      <c r="D165" s="68" t="n"/>
      <c r="E165" s="68" t="n"/>
      <c r="F165" s="59">
        <f>IF(OR(E165="",D165=""),"",MAX(E165-D165,0))</f>
        <v/>
      </c>
      <c r="G165" s="59">
        <f>IF(F165="","",IF(N(C165)=0,1,C165))</f>
        <v/>
      </c>
      <c r="H165" s="53" t="n">
        <v>145</v>
      </c>
      <c r="I165" s="67" t="n"/>
      <c r="J165" s="55" t="n"/>
      <c r="K165" s="68" t="n"/>
      <c r="L165" s="68" t="n"/>
      <c r="M165" s="59">
        <f>IF(OR(L165="",K165=""),"",MAX(L165-K165,0))</f>
        <v/>
      </c>
      <c r="N165" s="59">
        <f>IF(M165="","",IF(N(J165)=0,1,J165))</f>
        <v/>
      </c>
    </row>
    <row r="166">
      <c r="A166" s="53" t="n">
        <v>146</v>
      </c>
      <c r="B166" s="67" t="n"/>
      <c r="C166" s="55" t="n"/>
      <c r="D166" s="68" t="n"/>
      <c r="E166" s="68" t="n"/>
      <c r="F166" s="59">
        <f>IF(OR(E166="",D166=""),"",MAX(E166-D166,0))</f>
        <v/>
      </c>
      <c r="G166" s="59">
        <f>IF(F166="","",IF(N(C166)=0,1,C166))</f>
        <v/>
      </c>
      <c r="H166" s="53" t="n">
        <v>146</v>
      </c>
      <c r="I166" s="67" t="n"/>
      <c r="J166" s="55" t="n"/>
      <c r="K166" s="68" t="n"/>
      <c r="L166" s="68" t="n"/>
      <c r="M166" s="59">
        <f>IF(OR(L166="",K166=""),"",MAX(L166-K166,0))</f>
        <v/>
      </c>
      <c r="N166" s="59">
        <f>IF(M166="","",IF(N(J166)=0,1,J166))</f>
        <v/>
      </c>
    </row>
    <row r="167">
      <c r="A167" s="53" t="n">
        <v>147</v>
      </c>
      <c r="B167" s="67" t="n"/>
      <c r="C167" s="55" t="n"/>
      <c r="D167" s="68" t="n"/>
      <c r="E167" s="68" t="n"/>
      <c r="F167" s="59">
        <f>IF(OR(E167="",D167=""),"",MAX(E167-D167,0))</f>
        <v/>
      </c>
      <c r="G167" s="59">
        <f>IF(F167="","",IF(N(C167)=0,1,C167))</f>
        <v/>
      </c>
      <c r="H167" s="53" t="n">
        <v>147</v>
      </c>
      <c r="I167" s="67" t="n"/>
      <c r="J167" s="55" t="n"/>
      <c r="K167" s="68" t="n"/>
      <c r="L167" s="68" t="n"/>
      <c r="M167" s="59">
        <f>IF(OR(L167="",K167=""),"",MAX(L167-K167,0))</f>
        <v/>
      </c>
      <c r="N167" s="59">
        <f>IF(M167="","",IF(N(J167)=0,1,J167))</f>
        <v/>
      </c>
    </row>
    <row r="168">
      <c r="A168" s="53" t="n">
        <v>148</v>
      </c>
      <c r="B168" s="67" t="n"/>
      <c r="C168" s="55" t="n"/>
      <c r="D168" s="68" t="n"/>
      <c r="E168" s="68" t="n"/>
      <c r="F168" s="59">
        <f>IF(OR(E168="",D168=""),"",MAX(E168-D168,0))</f>
        <v/>
      </c>
      <c r="G168" s="59">
        <f>IF(F168="","",IF(N(C168)=0,1,C168))</f>
        <v/>
      </c>
      <c r="H168" s="53" t="n">
        <v>148</v>
      </c>
      <c r="I168" s="67" t="n"/>
      <c r="J168" s="55" t="n"/>
      <c r="K168" s="68" t="n"/>
      <c r="L168" s="68" t="n"/>
      <c r="M168" s="59">
        <f>IF(OR(L168="",K168=""),"",MAX(L168-K168,0))</f>
        <v/>
      </c>
      <c r="N168" s="59">
        <f>IF(M168="","",IF(N(J168)=0,1,J168))</f>
        <v/>
      </c>
    </row>
    <row r="169">
      <c r="A169" s="53" t="n">
        <v>149</v>
      </c>
      <c r="B169" s="67" t="n"/>
      <c r="C169" s="55" t="n"/>
      <c r="D169" s="68" t="n"/>
      <c r="E169" s="68" t="n"/>
      <c r="F169" s="59">
        <f>IF(OR(E169="",D169=""),"",MAX(E169-D169,0))</f>
        <v/>
      </c>
      <c r="G169" s="59">
        <f>IF(F169="","",IF(N(C169)=0,1,C169))</f>
        <v/>
      </c>
      <c r="H169" s="53" t="n">
        <v>149</v>
      </c>
      <c r="I169" s="67" t="n"/>
      <c r="J169" s="55" t="n"/>
      <c r="K169" s="68" t="n"/>
      <c r="L169" s="68" t="n"/>
      <c r="M169" s="59">
        <f>IF(OR(L169="",K169=""),"",MAX(L169-K169,0))</f>
        <v/>
      </c>
      <c r="N169" s="59">
        <f>IF(M169="","",IF(N(J169)=0,1,J169))</f>
        <v/>
      </c>
    </row>
    <row r="170">
      <c r="A170" s="53" t="n">
        <v>150</v>
      </c>
      <c r="B170" s="67" t="n"/>
      <c r="C170" s="55" t="n"/>
      <c r="D170" s="68" t="n"/>
      <c r="E170" s="68" t="n"/>
      <c r="F170" s="59">
        <f>IF(OR(E170="",D170=""),"",MAX(E170-D170,0))</f>
        <v/>
      </c>
      <c r="G170" s="59">
        <f>IF(F170="","",IF(N(C170)=0,1,C170))</f>
        <v/>
      </c>
      <c r="H170" s="53" t="n">
        <v>150</v>
      </c>
      <c r="I170" s="67" t="n"/>
      <c r="J170" s="55" t="n"/>
      <c r="K170" s="68" t="n"/>
      <c r="L170" s="68" t="n"/>
      <c r="M170" s="59">
        <f>IF(OR(L170="",K170=""),"",MAX(L170-K170,0))</f>
        <v/>
      </c>
      <c r="N170" s="59">
        <f>IF(M170="","",IF(N(J170)=0,1,J170))</f>
        <v/>
      </c>
    </row>
    <row r="171">
      <c r="A171" s="53" t="n">
        <v>151</v>
      </c>
      <c r="B171" s="67" t="n"/>
      <c r="C171" s="55" t="n"/>
      <c r="D171" s="68" t="n"/>
      <c r="E171" s="68" t="n"/>
      <c r="F171" s="59">
        <f>IF(OR(E171="",D171=""),"",MAX(E171-D171,0))</f>
        <v/>
      </c>
      <c r="G171" s="59">
        <f>IF(F171="","",IF(N(C171)=0,1,C171))</f>
        <v/>
      </c>
      <c r="H171" s="53" t="n">
        <v>151</v>
      </c>
      <c r="I171" s="67" t="n"/>
      <c r="J171" s="55" t="n"/>
      <c r="K171" s="68" t="n"/>
      <c r="L171" s="68" t="n"/>
      <c r="M171" s="59">
        <f>IF(OR(L171="",K171=""),"",MAX(L171-K171,0))</f>
        <v/>
      </c>
      <c r="N171" s="59">
        <f>IF(M171="","",IF(N(J171)=0,1,J171))</f>
        <v/>
      </c>
    </row>
    <row r="172">
      <c r="A172" s="53" t="n">
        <v>152</v>
      </c>
      <c r="B172" s="67" t="n"/>
      <c r="C172" s="55" t="n"/>
      <c r="D172" s="68" t="n"/>
      <c r="E172" s="68" t="n"/>
      <c r="F172" s="59">
        <f>IF(OR(E172="",D172=""),"",MAX(E172-D172,0))</f>
        <v/>
      </c>
      <c r="G172" s="59">
        <f>IF(F172="","",IF(N(C172)=0,1,C172))</f>
        <v/>
      </c>
      <c r="H172" s="53" t="n">
        <v>152</v>
      </c>
      <c r="I172" s="67" t="n"/>
      <c r="J172" s="55" t="n"/>
      <c r="K172" s="68" t="n"/>
      <c r="L172" s="68" t="n"/>
      <c r="M172" s="59">
        <f>IF(OR(L172="",K172=""),"",MAX(L172-K172,0))</f>
        <v/>
      </c>
      <c r="N172" s="59">
        <f>IF(M172="","",IF(N(J172)=0,1,J172))</f>
        <v/>
      </c>
    </row>
    <row r="173">
      <c r="A173" s="53" t="n">
        <v>153</v>
      </c>
      <c r="B173" s="67" t="n"/>
      <c r="C173" s="55" t="n"/>
      <c r="D173" s="68" t="n"/>
      <c r="E173" s="68" t="n"/>
      <c r="F173" s="59">
        <f>IF(OR(E173="",D173=""),"",MAX(E173-D173,0))</f>
        <v/>
      </c>
      <c r="G173" s="59">
        <f>IF(F173="","",IF(N(C173)=0,1,C173))</f>
        <v/>
      </c>
      <c r="H173" s="53" t="n">
        <v>153</v>
      </c>
      <c r="I173" s="67" t="n"/>
      <c r="J173" s="55" t="n"/>
      <c r="K173" s="68" t="n"/>
      <c r="L173" s="68" t="n"/>
      <c r="M173" s="59">
        <f>IF(OR(L173="",K173=""),"",MAX(L173-K173,0))</f>
        <v/>
      </c>
      <c r="N173" s="59">
        <f>IF(M173="","",IF(N(J173)=0,1,J173))</f>
        <v/>
      </c>
    </row>
    <row r="174">
      <c r="A174" s="53" t="n">
        <v>154</v>
      </c>
      <c r="B174" s="67" t="n"/>
      <c r="C174" s="55" t="n"/>
      <c r="D174" s="68" t="n"/>
      <c r="E174" s="68" t="n"/>
      <c r="F174" s="59">
        <f>IF(OR(E174="",D174=""),"",MAX(E174-D174,0))</f>
        <v/>
      </c>
      <c r="G174" s="59">
        <f>IF(F174="","",IF(N(C174)=0,1,C174))</f>
        <v/>
      </c>
      <c r="H174" s="53" t="n">
        <v>154</v>
      </c>
      <c r="I174" s="67" t="n"/>
      <c r="J174" s="55" t="n"/>
      <c r="K174" s="68" t="n"/>
      <c r="L174" s="68" t="n"/>
      <c r="M174" s="59">
        <f>IF(OR(L174="",K174=""),"",MAX(L174-K174,0))</f>
        <v/>
      </c>
      <c r="N174" s="59">
        <f>IF(M174="","",IF(N(J174)=0,1,J174))</f>
        <v/>
      </c>
    </row>
    <row r="175">
      <c r="A175" s="53" t="n">
        <v>155</v>
      </c>
      <c r="B175" s="67" t="n"/>
      <c r="C175" s="55" t="n"/>
      <c r="D175" s="68" t="n"/>
      <c r="E175" s="68" t="n"/>
      <c r="F175" s="59">
        <f>IF(OR(E175="",D175=""),"",MAX(E175-D175,0))</f>
        <v/>
      </c>
      <c r="G175" s="59">
        <f>IF(F175="","",IF(N(C175)=0,1,C175))</f>
        <v/>
      </c>
      <c r="H175" s="53" t="n">
        <v>155</v>
      </c>
      <c r="I175" s="67" t="n"/>
      <c r="J175" s="55" t="n"/>
      <c r="K175" s="68" t="n"/>
      <c r="L175" s="68" t="n"/>
      <c r="M175" s="59">
        <f>IF(OR(L175="",K175=""),"",MAX(L175-K175,0))</f>
        <v/>
      </c>
      <c r="N175" s="59">
        <f>IF(M175="","",IF(N(J175)=0,1,J175))</f>
        <v/>
      </c>
    </row>
    <row r="176">
      <c r="A176" s="53" t="n">
        <v>156</v>
      </c>
      <c r="B176" s="67" t="n"/>
      <c r="C176" s="55" t="n"/>
      <c r="D176" s="68" t="n"/>
      <c r="E176" s="68" t="n"/>
      <c r="F176" s="59">
        <f>IF(OR(E176="",D176=""),"",MAX(E176-D176,0))</f>
        <v/>
      </c>
      <c r="G176" s="59">
        <f>IF(F176="","",IF(N(C176)=0,1,C176))</f>
        <v/>
      </c>
      <c r="H176" s="53" t="n">
        <v>156</v>
      </c>
      <c r="I176" s="67" t="n"/>
      <c r="J176" s="55" t="n"/>
      <c r="K176" s="68" t="n"/>
      <c r="L176" s="68" t="n"/>
      <c r="M176" s="59">
        <f>IF(OR(L176="",K176=""),"",MAX(L176-K176,0))</f>
        <v/>
      </c>
      <c r="N176" s="59">
        <f>IF(M176="","",IF(N(J176)=0,1,J176))</f>
        <v/>
      </c>
    </row>
    <row r="177">
      <c r="A177" s="53" t="n">
        <v>157</v>
      </c>
      <c r="B177" s="67" t="n"/>
      <c r="C177" s="55" t="n"/>
      <c r="D177" s="68" t="n"/>
      <c r="E177" s="68" t="n"/>
      <c r="F177" s="59">
        <f>IF(OR(E177="",D177=""),"",MAX(E177-D177,0))</f>
        <v/>
      </c>
      <c r="G177" s="59">
        <f>IF(F177="","",IF(N(C177)=0,1,C177))</f>
        <v/>
      </c>
      <c r="H177" s="53" t="n">
        <v>157</v>
      </c>
      <c r="I177" s="67" t="n"/>
      <c r="J177" s="55" t="n"/>
      <c r="K177" s="68" t="n"/>
      <c r="L177" s="68" t="n"/>
      <c r="M177" s="59">
        <f>IF(OR(L177="",K177=""),"",MAX(L177-K177,0))</f>
        <v/>
      </c>
      <c r="N177" s="59">
        <f>IF(M177="","",IF(N(J177)=0,1,J177))</f>
        <v/>
      </c>
    </row>
    <row r="178">
      <c r="A178" s="53" t="n">
        <v>158</v>
      </c>
      <c r="B178" s="67" t="n"/>
      <c r="C178" s="55" t="n"/>
      <c r="D178" s="68" t="n"/>
      <c r="E178" s="68" t="n"/>
      <c r="F178" s="59">
        <f>IF(OR(E178="",D178=""),"",MAX(E178-D178,0))</f>
        <v/>
      </c>
      <c r="G178" s="59">
        <f>IF(F178="","",IF(N(C178)=0,1,C178))</f>
        <v/>
      </c>
      <c r="H178" s="53" t="n">
        <v>158</v>
      </c>
      <c r="I178" s="67" t="n"/>
      <c r="J178" s="55" t="n"/>
      <c r="K178" s="68" t="n"/>
      <c r="L178" s="68" t="n"/>
      <c r="M178" s="59">
        <f>IF(OR(L178="",K178=""),"",MAX(L178-K178,0))</f>
        <v/>
      </c>
      <c r="N178" s="59">
        <f>IF(M178="","",IF(N(J178)=0,1,J178))</f>
        <v/>
      </c>
    </row>
    <row r="179">
      <c r="A179" s="53" t="n">
        <v>159</v>
      </c>
      <c r="B179" s="67" t="n"/>
      <c r="C179" s="55" t="n"/>
      <c r="D179" s="68" t="n"/>
      <c r="E179" s="68" t="n"/>
      <c r="F179" s="59">
        <f>IF(OR(E179="",D179=""),"",MAX(E179-D179,0))</f>
        <v/>
      </c>
      <c r="G179" s="59">
        <f>IF(F179="","",IF(N(C179)=0,1,C179))</f>
        <v/>
      </c>
      <c r="H179" s="53" t="n">
        <v>159</v>
      </c>
      <c r="I179" s="67" t="n"/>
      <c r="J179" s="55" t="n"/>
      <c r="K179" s="68" t="n"/>
      <c r="L179" s="68" t="n"/>
      <c r="M179" s="59">
        <f>IF(OR(L179="",K179=""),"",MAX(L179-K179,0))</f>
        <v/>
      </c>
      <c r="N179" s="59">
        <f>IF(M179="","",IF(N(J179)=0,1,J179))</f>
        <v/>
      </c>
    </row>
    <row r="180">
      <c r="A180" s="53" t="n">
        <v>160</v>
      </c>
      <c r="B180" s="67" t="n"/>
      <c r="C180" s="55" t="n"/>
      <c r="D180" s="68" t="n"/>
      <c r="E180" s="68" t="n"/>
      <c r="F180" s="59">
        <f>IF(OR(E180="",D180=""),"",MAX(E180-D180,0))</f>
        <v/>
      </c>
      <c r="G180" s="59">
        <f>IF(F180="","",IF(N(C180)=0,1,C180))</f>
        <v/>
      </c>
      <c r="H180" s="53" t="n">
        <v>160</v>
      </c>
      <c r="I180" s="67" t="n"/>
      <c r="J180" s="55" t="n"/>
      <c r="K180" s="68" t="n"/>
      <c r="L180" s="68" t="n"/>
      <c r="M180" s="59">
        <f>IF(OR(L180="",K180=""),"",MAX(L180-K180,0))</f>
        <v/>
      </c>
      <c r="N180" s="59">
        <f>IF(M180="","",IF(N(J180)=0,1,J180))</f>
        <v/>
      </c>
    </row>
    <row r="181">
      <c r="A181" s="53" t="n">
        <v>161</v>
      </c>
      <c r="B181" s="67" t="n"/>
      <c r="C181" s="55" t="n"/>
      <c r="D181" s="68" t="n"/>
      <c r="E181" s="68" t="n"/>
      <c r="F181" s="59">
        <f>IF(OR(E181="",D181=""),"",MAX(E181-D181,0))</f>
        <v/>
      </c>
      <c r="G181" s="59">
        <f>IF(F181="","",IF(N(C181)=0,1,C181))</f>
        <v/>
      </c>
      <c r="H181" s="53" t="n">
        <v>161</v>
      </c>
      <c r="I181" s="67" t="n"/>
      <c r="J181" s="55" t="n"/>
      <c r="K181" s="68" t="n"/>
      <c r="L181" s="68" t="n"/>
      <c r="M181" s="59">
        <f>IF(OR(L181="",K181=""),"",MAX(L181-K181,0))</f>
        <v/>
      </c>
      <c r="N181" s="59">
        <f>IF(M181="","",IF(N(J181)=0,1,J181))</f>
        <v/>
      </c>
    </row>
    <row r="182">
      <c r="A182" s="53" t="n">
        <v>162</v>
      </c>
      <c r="B182" s="67" t="n"/>
      <c r="C182" s="55" t="n"/>
      <c r="D182" s="68" t="n"/>
      <c r="E182" s="68" t="n"/>
      <c r="F182" s="59">
        <f>IF(OR(E182="",D182=""),"",MAX(E182-D182,0))</f>
        <v/>
      </c>
      <c r="G182" s="59">
        <f>IF(F182="","",IF(N(C182)=0,1,C182))</f>
        <v/>
      </c>
      <c r="H182" s="53" t="n">
        <v>162</v>
      </c>
      <c r="I182" s="67" t="n"/>
      <c r="J182" s="55" t="n"/>
      <c r="K182" s="68" t="n"/>
      <c r="L182" s="68" t="n"/>
      <c r="M182" s="59">
        <f>IF(OR(L182="",K182=""),"",MAX(L182-K182,0))</f>
        <v/>
      </c>
      <c r="N182" s="59">
        <f>IF(M182="","",IF(N(J182)=0,1,J182))</f>
        <v/>
      </c>
    </row>
    <row r="183">
      <c r="A183" s="53" t="n">
        <v>163</v>
      </c>
      <c r="B183" s="67" t="n"/>
      <c r="C183" s="55" t="n"/>
      <c r="D183" s="68" t="n"/>
      <c r="E183" s="68" t="n"/>
      <c r="F183" s="59">
        <f>IF(OR(E183="",D183=""),"",MAX(E183-D183,0))</f>
        <v/>
      </c>
      <c r="G183" s="59">
        <f>IF(F183="","",IF(N(C183)=0,1,C183))</f>
        <v/>
      </c>
      <c r="H183" s="53" t="n">
        <v>163</v>
      </c>
      <c r="I183" s="67" t="n"/>
      <c r="J183" s="55" t="n"/>
      <c r="K183" s="68" t="n"/>
      <c r="L183" s="68" t="n"/>
      <c r="M183" s="59">
        <f>IF(OR(L183="",K183=""),"",MAX(L183-K183,0))</f>
        <v/>
      </c>
      <c r="N183" s="59">
        <f>IF(M183="","",IF(N(J183)=0,1,J183))</f>
        <v/>
      </c>
    </row>
    <row r="184">
      <c r="A184" s="53" t="n">
        <v>164</v>
      </c>
      <c r="B184" s="67" t="n"/>
      <c r="C184" s="55" t="n"/>
      <c r="D184" s="68" t="n"/>
      <c r="E184" s="68" t="n"/>
      <c r="F184" s="59">
        <f>IF(OR(E184="",D184=""),"",MAX(E184-D184,0))</f>
        <v/>
      </c>
      <c r="G184" s="59">
        <f>IF(F184="","",IF(N(C184)=0,1,C184))</f>
        <v/>
      </c>
      <c r="H184" s="53" t="n">
        <v>164</v>
      </c>
      <c r="I184" s="67" t="n"/>
      <c r="J184" s="55" t="n"/>
      <c r="K184" s="68" t="n"/>
      <c r="L184" s="68" t="n"/>
      <c r="M184" s="59">
        <f>IF(OR(L184="",K184=""),"",MAX(L184-K184,0))</f>
        <v/>
      </c>
      <c r="N184" s="59">
        <f>IF(M184="","",IF(N(J184)=0,1,J184))</f>
        <v/>
      </c>
    </row>
    <row r="185">
      <c r="A185" s="53" t="n">
        <v>165</v>
      </c>
      <c r="B185" s="67" t="n"/>
      <c r="C185" s="55" t="n"/>
      <c r="D185" s="68" t="n"/>
      <c r="E185" s="68" t="n"/>
      <c r="F185" s="59">
        <f>IF(OR(E185="",D185=""),"",MAX(E185-D185,0))</f>
        <v/>
      </c>
      <c r="G185" s="59">
        <f>IF(F185="","",IF(N(C185)=0,1,C185))</f>
        <v/>
      </c>
      <c r="H185" s="53" t="n">
        <v>165</v>
      </c>
      <c r="I185" s="67" t="n"/>
      <c r="J185" s="55" t="n"/>
      <c r="K185" s="68" t="n"/>
      <c r="L185" s="68" t="n"/>
      <c r="M185" s="59">
        <f>IF(OR(L185="",K185=""),"",MAX(L185-K185,0))</f>
        <v/>
      </c>
      <c r="N185" s="59">
        <f>IF(M185="","",IF(N(J185)=0,1,J185))</f>
        <v/>
      </c>
    </row>
    <row r="186">
      <c r="A186" s="53" t="n">
        <v>166</v>
      </c>
      <c r="B186" s="67" t="n"/>
      <c r="C186" s="55" t="n"/>
      <c r="D186" s="68" t="n"/>
      <c r="E186" s="68" t="n"/>
      <c r="F186" s="59">
        <f>IF(OR(E186="",D186=""),"",MAX(E186-D186,0))</f>
        <v/>
      </c>
      <c r="G186" s="59">
        <f>IF(F186="","",IF(N(C186)=0,1,C186))</f>
        <v/>
      </c>
      <c r="H186" s="53" t="n">
        <v>166</v>
      </c>
      <c r="I186" s="67" t="n"/>
      <c r="J186" s="55" t="n"/>
      <c r="K186" s="68" t="n"/>
      <c r="L186" s="68" t="n"/>
      <c r="M186" s="59">
        <f>IF(OR(L186="",K186=""),"",MAX(L186-K186,0))</f>
        <v/>
      </c>
      <c r="N186" s="59">
        <f>IF(M186="","",IF(N(J186)=0,1,J186))</f>
        <v/>
      </c>
    </row>
    <row r="187">
      <c r="A187" s="53" t="n">
        <v>167</v>
      </c>
      <c r="B187" s="67" t="n"/>
      <c r="C187" s="55" t="n"/>
      <c r="D187" s="68" t="n"/>
      <c r="E187" s="68" t="n"/>
      <c r="F187" s="59">
        <f>IF(OR(E187="",D187=""),"",MAX(E187-D187,0))</f>
        <v/>
      </c>
      <c r="G187" s="59">
        <f>IF(F187="","",IF(N(C187)=0,1,C187))</f>
        <v/>
      </c>
      <c r="H187" s="53" t="n">
        <v>167</v>
      </c>
      <c r="I187" s="67" t="n"/>
      <c r="J187" s="55" t="n"/>
      <c r="K187" s="68" t="n"/>
      <c r="L187" s="68" t="n"/>
      <c r="M187" s="59">
        <f>IF(OR(L187="",K187=""),"",MAX(L187-K187,0))</f>
        <v/>
      </c>
      <c r="N187" s="59">
        <f>IF(M187="","",IF(N(J187)=0,1,J187))</f>
        <v/>
      </c>
    </row>
    <row r="188">
      <c r="A188" s="53" t="n">
        <v>168</v>
      </c>
      <c r="B188" s="67" t="n"/>
      <c r="C188" s="55" t="n"/>
      <c r="D188" s="68" t="n"/>
      <c r="E188" s="68" t="n"/>
      <c r="F188" s="59">
        <f>IF(OR(E188="",D188=""),"",MAX(E188-D188,0))</f>
        <v/>
      </c>
      <c r="G188" s="59">
        <f>IF(F188="","",IF(N(C188)=0,1,C188))</f>
        <v/>
      </c>
      <c r="H188" s="53" t="n">
        <v>168</v>
      </c>
      <c r="I188" s="67" t="n"/>
      <c r="J188" s="55" t="n"/>
      <c r="K188" s="68" t="n"/>
      <c r="L188" s="68" t="n"/>
      <c r="M188" s="59">
        <f>IF(OR(L188="",K188=""),"",MAX(L188-K188,0))</f>
        <v/>
      </c>
      <c r="N188" s="59">
        <f>IF(M188="","",IF(N(J188)=0,1,J188))</f>
        <v/>
      </c>
    </row>
    <row r="189">
      <c r="A189" s="53" t="n">
        <v>169</v>
      </c>
      <c r="B189" s="67" t="n"/>
      <c r="C189" s="55" t="n"/>
      <c r="D189" s="68" t="n"/>
      <c r="E189" s="68" t="n"/>
      <c r="F189" s="59">
        <f>IF(OR(E189="",D189=""),"",MAX(E189-D189,0))</f>
        <v/>
      </c>
      <c r="G189" s="59">
        <f>IF(F189="","",IF(N(C189)=0,1,C189))</f>
        <v/>
      </c>
      <c r="H189" s="53" t="n">
        <v>169</v>
      </c>
      <c r="I189" s="67" t="n"/>
      <c r="J189" s="55" t="n"/>
      <c r="K189" s="68" t="n"/>
      <c r="L189" s="68" t="n"/>
      <c r="M189" s="59">
        <f>IF(OR(L189="",K189=""),"",MAX(L189-K189,0))</f>
        <v/>
      </c>
      <c r="N189" s="59">
        <f>IF(M189="","",IF(N(J189)=0,1,J189))</f>
        <v/>
      </c>
    </row>
    <row r="190">
      <c r="A190" s="53" t="n">
        <v>170</v>
      </c>
      <c r="B190" s="67" t="n"/>
      <c r="C190" s="55" t="n"/>
      <c r="D190" s="68" t="n"/>
      <c r="E190" s="68" t="n"/>
      <c r="F190" s="59">
        <f>IF(OR(E190="",D190=""),"",MAX(E190-D190,0))</f>
        <v/>
      </c>
      <c r="G190" s="59">
        <f>IF(F190="","",IF(N(C190)=0,1,C190))</f>
        <v/>
      </c>
      <c r="H190" s="53" t="n">
        <v>170</v>
      </c>
      <c r="I190" s="67" t="n"/>
      <c r="J190" s="55" t="n"/>
      <c r="K190" s="68" t="n"/>
      <c r="L190" s="68" t="n"/>
      <c r="M190" s="59">
        <f>IF(OR(L190="",K190=""),"",MAX(L190-K190,0))</f>
        <v/>
      </c>
      <c r="N190" s="59">
        <f>IF(M190="","",IF(N(J190)=0,1,J190))</f>
        <v/>
      </c>
    </row>
    <row r="191">
      <c r="A191" s="53" t="n">
        <v>171</v>
      </c>
      <c r="B191" s="67" t="n"/>
      <c r="C191" s="55" t="n"/>
      <c r="D191" s="68" t="n"/>
      <c r="E191" s="68" t="n"/>
      <c r="F191" s="59">
        <f>IF(OR(E191="",D191=""),"",MAX(E191-D191,0))</f>
        <v/>
      </c>
      <c r="G191" s="59">
        <f>IF(F191="","",IF(N(C191)=0,1,C191))</f>
        <v/>
      </c>
      <c r="H191" s="53" t="n">
        <v>171</v>
      </c>
      <c r="I191" s="67" t="n"/>
      <c r="J191" s="55" t="n"/>
      <c r="K191" s="68" t="n"/>
      <c r="L191" s="68" t="n"/>
      <c r="M191" s="59">
        <f>IF(OR(L191="",K191=""),"",MAX(L191-K191,0))</f>
        <v/>
      </c>
      <c r="N191" s="59">
        <f>IF(M191="","",IF(N(J191)=0,1,J191))</f>
        <v/>
      </c>
    </row>
    <row r="192">
      <c r="A192" s="53" t="n">
        <v>172</v>
      </c>
      <c r="B192" s="67" t="n"/>
      <c r="C192" s="55" t="n"/>
      <c r="D192" s="68" t="n"/>
      <c r="E192" s="68" t="n"/>
      <c r="F192" s="59">
        <f>IF(OR(E192="",D192=""),"",MAX(E192-D192,0))</f>
        <v/>
      </c>
      <c r="G192" s="59">
        <f>IF(F192="","",IF(N(C192)=0,1,C192))</f>
        <v/>
      </c>
      <c r="H192" s="53" t="n">
        <v>172</v>
      </c>
      <c r="I192" s="67" t="n"/>
      <c r="J192" s="55" t="n"/>
      <c r="K192" s="68" t="n"/>
      <c r="L192" s="68" t="n"/>
      <c r="M192" s="59">
        <f>IF(OR(L192="",K192=""),"",MAX(L192-K192,0))</f>
        <v/>
      </c>
      <c r="N192" s="59">
        <f>IF(M192="","",IF(N(J192)=0,1,J192))</f>
        <v/>
      </c>
    </row>
    <row r="193">
      <c r="A193" s="53" t="n">
        <v>173</v>
      </c>
      <c r="B193" s="67" t="n"/>
      <c r="C193" s="55" t="n"/>
      <c r="D193" s="68" t="n"/>
      <c r="E193" s="68" t="n"/>
      <c r="F193" s="59">
        <f>IF(OR(E193="",D193=""),"",MAX(E193-D193,0))</f>
        <v/>
      </c>
      <c r="G193" s="59">
        <f>IF(F193="","",IF(N(C193)=0,1,C193))</f>
        <v/>
      </c>
      <c r="H193" s="53" t="n">
        <v>173</v>
      </c>
      <c r="I193" s="67" t="n"/>
      <c r="J193" s="55" t="n"/>
      <c r="K193" s="68" t="n"/>
      <c r="L193" s="68" t="n"/>
      <c r="M193" s="59">
        <f>IF(OR(L193="",K193=""),"",MAX(L193-K193,0))</f>
        <v/>
      </c>
      <c r="N193" s="59">
        <f>IF(M193="","",IF(N(J193)=0,1,J193))</f>
        <v/>
      </c>
    </row>
    <row r="194">
      <c r="A194" s="53" t="n">
        <v>174</v>
      </c>
      <c r="B194" s="67" t="n"/>
      <c r="C194" s="55" t="n"/>
      <c r="D194" s="68" t="n"/>
      <c r="E194" s="68" t="n"/>
      <c r="F194" s="59">
        <f>IF(OR(E194="",D194=""),"",MAX(E194-D194,0))</f>
        <v/>
      </c>
      <c r="G194" s="59">
        <f>IF(F194="","",IF(N(C194)=0,1,C194))</f>
        <v/>
      </c>
      <c r="H194" s="53" t="n">
        <v>174</v>
      </c>
      <c r="I194" s="67" t="n"/>
      <c r="J194" s="55" t="n"/>
      <c r="K194" s="68" t="n"/>
      <c r="L194" s="68" t="n"/>
      <c r="M194" s="59">
        <f>IF(OR(L194="",K194=""),"",MAX(L194-K194,0))</f>
        <v/>
      </c>
      <c r="N194" s="59">
        <f>IF(M194="","",IF(N(J194)=0,1,J194))</f>
        <v/>
      </c>
    </row>
    <row r="195">
      <c r="A195" s="53" t="n">
        <v>175</v>
      </c>
      <c r="B195" s="67" t="n"/>
      <c r="C195" s="55" t="n"/>
      <c r="D195" s="68" t="n"/>
      <c r="E195" s="68" t="n"/>
      <c r="F195" s="59">
        <f>IF(OR(E195="",D195=""),"",MAX(E195-D195,0))</f>
        <v/>
      </c>
      <c r="G195" s="59">
        <f>IF(F195="","",IF(N(C195)=0,1,C195))</f>
        <v/>
      </c>
      <c r="H195" s="53" t="n">
        <v>175</v>
      </c>
      <c r="I195" s="67" t="n"/>
      <c r="J195" s="55" t="n"/>
      <c r="K195" s="68" t="n"/>
      <c r="L195" s="68" t="n"/>
      <c r="M195" s="59">
        <f>IF(OR(L195="",K195=""),"",MAX(L195-K195,0))</f>
        <v/>
      </c>
      <c r="N195" s="59">
        <f>IF(M195="","",IF(N(J195)=0,1,J195))</f>
        <v/>
      </c>
    </row>
    <row r="196">
      <c r="A196" s="53" t="n">
        <v>176</v>
      </c>
      <c r="B196" s="67" t="n"/>
      <c r="C196" s="55" t="n"/>
      <c r="D196" s="68" t="n"/>
      <c r="E196" s="68" t="n"/>
      <c r="F196" s="59">
        <f>IF(OR(E196="",D196=""),"",MAX(E196-D196,0))</f>
        <v/>
      </c>
      <c r="G196" s="59">
        <f>IF(F196="","",IF(N(C196)=0,1,C196))</f>
        <v/>
      </c>
      <c r="H196" s="53" t="n">
        <v>176</v>
      </c>
      <c r="I196" s="67" t="n"/>
      <c r="J196" s="55" t="n"/>
      <c r="K196" s="68" t="n"/>
      <c r="L196" s="68" t="n"/>
      <c r="M196" s="59">
        <f>IF(OR(L196="",K196=""),"",MAX(L196-K196,0))</f>
        <v/>
      </c>
      <c r="N196" s="59">
        <f>IF(M196="","",IF(N(J196)=0,1,J196))</f>
        <v/>
      </c>
    </row>
    <row r="197">
      <c r="A197" s="53" t="n">
        <v>177</v>
      </c>
      <c r="B197" s="67" t="n"/>
      <c r="C197" s="55" t="n"/>
      <c r="D197" s="68" t="n"/>
      <c r="E197" s="68" t="n"/>
      <c r="F197" s="59">
        <f>IF(OR(E197="",D197=""),"",MAX(E197-D197,0))</f>
        <v/>
      </c>
      <c r="G197" s="59">
        <f>IF(F197="","",IF(N(C197)=0,1,C197))</f>
        <v/>
      </c>
      <c r="H197" s="53" t="n">
        <v>177</v>
      </c>
      <c r="I197" s="67" t="n"/>
      <c r="J197" s="55" t="n"/>
      <c r="K197" s="68" t="n"/>
      <c r="L197" s="68" t="n"/>
      <c r="M197" s="59">
        <f>IF(OR(L197="",K197=""),"",MAX(L197-K197,0))</f>
        <v/>
      </c>
      <c r="N197" s="59">
        <f>IF(M197="","",IF(N(J197)=0,1,J197))</f>
        <v/>
      </c>
    </row>
    <row r="198">
      <c r="A198" s="53" t="n">
        <v>178</v>
      </c>
      <c r="B198" s="67" t="n"/>
      <c r="C198" s="55" t="n"/>
      <c r="D198" s="68" t="n"/>
      <c r="E198" s="68" t="n"/>
      <c r="F198" s="59">
        <f>IF(OR(E198="",D198=""),"",MAX(E198-D198,0))</f>
        <v/>
      </c>
      <c r="G198" s="59">
        <f>IF(F198="","",IF(N(C198)=0,1,C198))</f>
        <v/>
      </c>
      <c r="H198" s="53" t="n">
        <v>178</v>
      </c>
      <c r="I198" s="67" t="n"/>
      <c r="J198" s="55" t="n"/>
      <c r="K198" s="68" t="n"/>
      <c r="L198" s="68" t="n"/>
      <c r="M198" s="59">
        <f>IF(OR(L198="",K198=""),"",MAX(L198-K198,0))</f>
        <v/>
      </c>
      <c r="N198" s="59">
        <f>IF(M198="","",IF(N(J198)=0,1,J198))</f>
        <v/>
      </c>
    </row>
    <row r="199">
      <c r="A199" s="53" t="n">
        <v>179</v>
      </c>
      <c r="B199" s="67" t="n"/>
      <c r="C199" s="55" t="n"/>
      <c r="D199" s="68" t="n"/>
      <c r="E199" s="68" t="n"/>
      <c r="F199" s="59">
        <f>IF(OR(E199="",D199=""),"",MAX(E199-D199,0))</f>
        <v/>
      </c>
      <c r="G199" s="59">
        <f>IF(F199="","",IF(N(C199)=0,1,C199))</f>
        <v/>
      </c>
      <c r="H199" s="53" t="n">
        <v>179</v>
      </c>
      <c r="I199" s="67" t="n"/>
      <c r="J199" s="55" t="n"/>
      <c r="K199" s="68" t="n"/>
      <c r="L199" s="68" t="n"/>
      <c r="M199" s="59">
        <f>IF(OR(L199="",K199=""),"",MAX(L199-K199,0))</f>
        <v/>
      </c>
      <c r="N199" s="59">
        <f>IF(M199="","",IF(N(J199)=0,1,J199))</f>
        <v/>
      </c>
    </row>
    <row r="200">
      <c r="A200" s="53" t="n">
        <v>180</v>
      </c>
      <c r="B200" s="67" t="n"/>
      <c r="C200" s="55" t="n"/>
      <c r="D200" s="68" t="n"/>
      <c r="E200" s="68" t="n"/>
      <c r="F200" s="59">
        <f>IF(OR(E200="",D200=""),"",MAX(E200-D200,0))</f>
        <v/>
      </c>
      <c r="G200" s="59">
        <f>IF(F200="","",IF(N(C200)=0,1,C200))</f>
        <v/>
      </c>
      <c r="H200" s="53" t="n">
        <v>180</v>
      </c>
      <c r="I200" s="67" t="n"/>
      <c r="J200" s="55" t="n"/>
      <c r="K200" s="68" t="n"/>
      <c r="L200" s="68" t="n"/>
      <c r="M200" s="59">
        <f>IF(OR(L200="",K200=""),"",MAX(L200-K200,0))</f>
        <v/>
      </c>
      <c r="N200" s="59">
        <f>IF(M200="","",IF(N(J200)=0,1,J200))</f>
        <v/>
      </c>
    </row>
    <row r="201">
      <c r="A201" s="53" t="n">
        <v>181</v>
      </c>
      <c r="B201" s="67" t="n"/>
      <c r="C201" s="55" t="n"/>
      <c r="D201" s="68" t="n"/>
      <c r="E201" s="68" t="n"/>
      <c r="F201" s="59">
        <f>IF(OR(E201="",D201=""),"",MAX(E201-D201,0))</f>
        <v/>
      </c>
      <c r="G201" s="59">
        <f>IF(F201="","",IF(N(C201)=0,1,C201))</f>
        <v/>
      </c>
      <c r="H201" s="53" t="n">
        <v>181</v>
      </c>
      <c r="I201" s="67" t="n"/>
      <c r="J201" s="55" t="n"/>
      <c r="K201" s="68" t="n"/>
      <c r="L201" s="68" t="n"/>
      <c r="M201" s="59">
        <f>IF(OR(L201="",K201=""),"",MAX(L201-K201,0))</f>
        <v/>
      </c>
      <c r="N201" s="59">
        <f>IF(M201="","",IF(N(J201)=0,1,J201))</f>
        <v/>
      </c>
    </row>
    <row r="202">
      <c r="A202" s="53" t="n">
        <v>182</v>
      </c>
      <c r="B202" s="67" t="n"/>
      <c r="C202" s="55" t="n"/>
      <c r="D202" s="68" t="n"/>
      <c r="E202" s="68" t="n"/>
      <c r="F202" s="59">
        <f>IF(OR(E202="",D202=""),"",MAX(E202-D202,0))</f>
        <v/>
      </c>
      <c r="G202" s="59">
        <f>IF(F202="","",IF(N(C202)=0,1,C202))</f>
        <v/>
      </c>
      <c r="H202" s="53" t="n">
        <v>182</v>
      </c>
      <c r="I202" s="67" t="n"/>
      <c r="J202" s="55" t="n"/>
      <c r="K202" s="68" t="n"/>
      <c r="L202" s="68" t="n"/>
      <c r="M202" s="59">
        <f>IF(OR(L202="",K202=""),"",MAX(L202-K202,0))</f>
        <v/>
      </c>
      <c r="N202" s="59">
        <f>IF(M202="","",IF(N(J202)=0,1,J202))</f>
        <v/>
      </c>
    </row>
    <row r="203">
      <c r="A203" s="53" t="n">
        <v>183</v>
      </c>
      <c r="B203" s="67" t="n"/>
      <c r="C203" s="55" t="n"/>
      <c r="D203" s="68" t="n"/>
      <c r="E203" s="68" t="n"/>
      <c r="F203" s="59">
        <f>IF(OR(E203="",D203=""),"",MAX(E203-D203,0))</f>
        <v/>
      </c>
      <c r="G203" s="59">
        <f>IF(F203="","",IF(N(C203)=0,1,C203))</f>
        <v/>
      </c>
      <c r="H203" s="53" t="n">
        <v>183</v>
      </c>
      <c r="I203" s="67" t="n"/>
      <c r="J203" s="55" t="n"/>
      <c r="K203" s="68" t="n"/>
      <c r="L203" s="68" t="n"/>
      <c r="M203" s="59">
        <f>IF(OR(L203="",K203=""),"",MAX(L203-K203,0))</f>
        <v/>
      </c>
      <c r="N203" s="59">
        <f>IF(M203="","",IF(N(J203)=0,1,J203))</f>
        <v/>
      </c>
    </row>
    <row r="204">
      <c r="A204" s="53" t="n">
        <v>184</v>
      </c>
      <c r="B204" s="67" t="n"/>
      <c r="C204" s="55" t="n"/>
      <c r="D204" s="68" t="n"/>
      <c r="E204" s="68" t="n"/>
      <c r="F204" s="59">
        <f>IF(OR(E204="",D204=""),"",MAX(E204-D204,0))</f>
        <v/>
      </c>
      <c r="G204" s="59">
        <f>IF(F204="","",IF(N(C204)=0,1,C204))</f>
        <v/>
      </c>
      <c r="H204" s="53" t="n">
        <v>184</v>
      </c>
      <c r="I204" s="67" t="n"/>
      <c r="J204" s="55" t="n"/>
      <c r="K204" s="68" t="n"/>
      <c r="L204" s="68" t="n"/>
      <c r="M204" s="59">
        <f>IF(OR(L204="",K204=""),"",MAX(L204-K204,0))</f>
        <v/>
      </c>
      <c r="N204" s="59">
        <f>IF(M204="","",IF(N(J204)=0,1,J204))</f>
        <v/>
      </c>
    </row>
    <row r="205">
      <c r="A205" s="53" t="n">
        <v>185</v>
      </c>
      <c r="B205" s="67" t="n"/>
      <c r="C205" s="55" t="n"/>
      <c r="D205" s="68" t="n"/>
      <c r="E205" s="68" t="n"/>
      <c r="F205" s="59">
        <f>IF(OR(E205="",D205=""),"",MAX(E205-D205,0))</f>
        <v/>
      </c>
      <c r="G205" s="59">
        <f>IF(F205="","",IF(N(C205)=0,1,C205))</f>
        <v/>
      </c>
      <c r="H205" s="53" t="n">
        <v>185</v>
      </c>
      <c r="I205" s="67" t="n"/>
      <c r="J205" s="55" t="n"/>
      <c r="K205" s="68" t="n"/>
      <c r="L205" s="68" t="n"/>
      <c r="M205" s="59">
        <f>IF(OR(L205="",K205=""),"",MAX(L205-K205,0))</f>
        <v/>
      </c>
      <c r="N205" s="59">
        <f>IF(M205="","",IF(N(J205)=0,1,J205))</f>
        <v/>
      </c>
    </row>
    <row r="206">
      <c r="A206" s="53" t="n">
        <v>186</v>
      </c>
      <c r="B206" s="67" t="n"/>
      <c r="C206" s="55" t="n"/>
      <c r="D206" s="68" t="n"/>
      <c r="E206" s="68" t="n"/>
      <c r="F206" s="59">
        <f>IF(OR(E206="",D206=""),"",MAX(E206-D206,0))</f>
        <v/>
      </c>
      <c r="G206" s="59">
        <f>IF(F206="","",IF(N(C206)=0,1,C206))</f>
        <v/>
      </c>
      <c r="H206" s="53" t="n">
        <v>186</v>
      </c>
      <c r="I206" s="67" t="n"/>
      <c r="J206" s="55" t="n"/>
      <c r="K206" s="68" t="n"/>
      <c r="L206" s="68" t="n"/>
      <c r="M206" s="59">
        <f>IF(OR(L206="",K206=""),"",MAX(L206-K206,0))</f>
        <v/>
      </c>
      <c r="N206" s="59">
        <f>IF(M206="","",IF(N(J206)=0,1,J206))</f>
        <v/>
      </c>
    </row>
    <row r="207">
      <c r="A207" s="53" t="n">
        <v>187</v>
      </c>
      <c r="B207" s="67" t="n"/>
      <c r="C207" s="55" t="n"/>
      <c r="D207" s="68" t="n"/>
      <c r="E207" s="68" t="n"/>
      <c r="F207" s="59">
        <f>IF(OR(E207="",D207=""),"",MAX(E207-D207,0))</f>
        <v/>
      </c>
      <c r="G207" s="59">
        <f>IF(F207="","",IF(N(C207)=0,1,C207))</f>
        <v/>
      </c>
      <c r="H207" s="53" t="n">
        <v>187</v>
      </c>
      <c r="I207" s="67" t="n"/>
      <c r="J207" s="55" t="n"/>
      <c r="K207" s="68" t="n"/>
      <c r="L207" s="68" t="n"/>
      <c r="M207" s="59">
        <f>IF(OR(L207="",K207=""),"",MAX(L207-K207,0))</f>
        <v/>
      </c>
      <c r="N207" s="59">
        <f>IF(M207="","",IF(N(J207)=0,1,J207))</f>
        <v/>
      </c>
    </row>
    <row r="208">
      <c r="A208" s="53" t="n">
        <v>188</v>
      </c>
      <c r="B208" s="67" t="n"/>
      <c r="C208" s="55" t="n"/>
      <c r="D208" s="68" t="n"/>
      <c r="E208" s="68" t="n"/>
      <c r="F208" s="59">
        <f>IF(OR(E208="",D208=""),"",MAX(E208-D208,0))</f>
        <v/>
      </c>
      <c r="G208" s="59">
        <f>IF(F208="","",IF(N(C208)=0,1,C208))</f>
        <v/>
      </c>
      <c r="H208" s="53" t="n">
        <v>188</v>
      </c>
      <c r="I208" s="67" t="n"/>
      <c r="J208" s="55" t="n"/>
      <c r="K208" s="68" t="n"/>
      <c r="L208" s="68" t="n"/>
      <c r="M208" s="59">
        <f>IF(OR(L208="",K208=""),"",MAX(L208-K208,0))</f>
        <v/>
      </c>
      <c r="N208" s="59">
        <f>IF(M208="","",IF(N(J208)=0,1,J208))</f>
        <v/>
      </c>
    </row>
    <row r="209">
      <c r="A209" s="53" t="n">
        <v>189</v>
      </c>
      <c r="B209" s="67" t="n"/>
      <c r="C209" s="55" t="n"/>
      <c r="D209" s="68" t="n"/>
      <c r="E209" s="68" t="n"/>
      <c r="F209" s="59">
        <f>IF(OR(E209="",D209=""),"",MAX(E209-D209,0))</f>
        <v/>
      </c>
      <c r="G209" s="59">
        <f>IF(F209="","",IF(N(C209)=0,1,C209))</f>
        <v/>
      </c>
      <c r="H209" s="53" t="n">
        <v>189</v>
      </c>
      <c r="I209" s="67" t="n"/>
      <c r="J209" s="55" t="n"/>
      <c r="K209" s="68" t="n"/>
      <c r="L209" s="68" t="n"/>
      <c r="M209" s="59">
        <f>IF(OR(L209="",K209=""),"",MAX(L209-K209,0))</f>
        <v/>
      </c>
      <c r="N209" s="59">
        <f>IF(M209="","",IF(N(J209)=0,1,J209))</f>
        <v/>
      </c>
    </row>
    <row r="210">
      <c r="A210" s="53" t="n">
        <v>190</v>
      </c>
      <c r="B210" s="67" t="n"/>
      <c r="C210" s="55" t="n"/>
      <c r="D210" s="68" t="n"/>
      <c r="E210" s="68" t="n"/>
      <c r="F210" s="59">
        <f>IF(OR(E210="",D210=""),"",MAX(E210-D210,0))</f>
        <v/>
      </c>
      <c r="G210" s="59">
        <f>IF(F210="","",IF(N(C210)=0,1,C210))</f>
        <v/>
      </c>
      <c r="H210" s="53" t="n">
        <v>190</v>
      </c>
      <c r="I210" s="67" t="n"/>
      <c r="J210" s="55" t="n"/>
      <c r="K210" s="68" t="n"/>
      <c r="L210" s="68" t="n"/>
      <c r="M210" s="59">
        <f>IF(OR(L210="",K210=""),"",MAX(L210-K210,0))</f>
        <v/>
      </c>
      <c r="N210" s="59">
        <f>IF(M210="","",IF(N(J210)=0,1,J210))</f>
        <v/>
      </c>
    </row>
    <row r="211">
      <c r="A211" s="53" t="n">
        <v>191</v>
      </c>
      <c r="B211" s="67" t="n"/>
      <c r="C211" s="55" t="n"/>
      <c r="D211" s="68" t="n"/>
      <c r="E211" s="68" t="n"/>
      <c r="F211" s="59">
        <f>IF(OR(E211="",D211=""),"",MAX(E211-D211,0))</f>
        <v/>
      </c>
      <c r="G211" s="59">
        <f>IF(F211="","",IF(N(C211)=0,1,C211))</f>
        <v/>
      </c>
      <c r="H211" s="53" t="n">
        <v>191</v>
      </c>
      <c r="I211" s="67" t="n"/>
      <c r="J211" s="55" t="n"/>
      <c r="K211" s="68" t="n"/>
      <c r="L211" s="68" t="n"/>
      <c r="M211" s="59">
        <f>IF(OR(L211="",K211=""),"",MAX(L211-K211,0))</f>
        <v/>
      </c>
      <c r="N211" s="59">
        <f>IF(M211="","",IF(N(J211)=0,1,J211))</f>
        <v/>
      </c>
    </row>
    <row r="212">
      <c r="A212" s="53" t="n">
        <v>192</v>
      </c>
      <c r="B212" s="67" t="n"/>
      <c r="C212" s="55" t="n"/>
      <c r="D212" s="68" t="n"/>
      <c r="E212" s="68" t="n"/>
      <c r="F212" s="59">
        <f>IF(OR(E212="",D212=""),"",MAX(E212-D212,0))</f>
        <v/>
      </c>
      <c r="G212" s="59">
        <f>IF(F212="","",IF(N(C212)=0,1,C212))</f>
        <v/>
      </c>
      <c r="H212" s="53" t="n">
        <v>192</v>
      </c>
      <c r="I212" s="67" t="n"/>
      <c r="J212" s="55" t="n"/>
      <c r="K212" s="68" t="n"/>
      <c r="L212" s="68" t="n"/>
      <c r="M212" s="59">
        <f>IF(OR(L212="",K212=""),"",MAX(L212-K212,0))</f>
        <v/>
      </c>
      <c r="N212" s="59">
        <f>IF(M212="","",IF(N(J212)=0,1,J212))</f>
        <v/>
      </c>
    </row>
    <row r="213">
      <c r="A213" s="53" t="n">
        <v>193</v>
      </c>
      <c r="B213" s="67" t="n"/>
      <c r="C213" s="55" t="n"/>
      <c r="D213" s="68" t="n"/>
      <c r="E213" s="68" t="n"/>
      <c r="F213" s="59">
        <f>IF(OR(E213="",D213=""),"",MAX(E213-D213,0))</f>
        <v/>
      </c>
      <c r="G213" s="59">
        <f>IF(F213="","",IF(N(C213)=0,1,C213))</f>
        <v/>
      </c>
      <c r="H213" s="53" t="n">
        <v>193</v>
      </c>
      <c r="I213" s="67" t="n"/>
      <c r="J213" s="55" t="n"/>
      <c r="K213" s="68" t="n"/>
      <c r="L213" s="68" t="n"/>
      <c r="M213" s="59">
        <f>IF(OR(L213="",K213=""),"",MAX(L213-K213,0))</f>
        <v/>
      </c>
      <c r="N213" s="59">
        <f>IF(M213="","",IF(N(J213)=0,1,J213))</f>
        <v/>
      </c>
    </row>
    <row r="214">
      <c r="A214" s="53" t="n">
        <v>194</v>
      </c>
      <c r="B214" s="67" t="n"/>
      <c r="C214" s="55" t="n"/>
      <c r="D214" s="68" t="n"/>
      <c r="E214" s="68" t="n"/>
      <c r="F214" s="59">
        <f>IF(OR(E214="",D214=""),"",MAX(E214-D214,0))</f>
        <v/>
      </c>
      <c r="G214" s="59">
        <f>IF(F214="","",IF(N(C214)=0,1,C214))</f>
        <v/>
      </c>
      <c r="H214" s="53" t="n">
        <v>194</v>
      </c>
      <c r="I214" s="67" t="n"/>
      <c r="J214" s="55" t="n"/>
      <c r="K214" s="68" t="n"/>
      <c r="L214" s="68" t="n"/>
      <c r="M214" s="59">
        <f>IF(OR(L214="",K214=""),"",MAX(L214-K214,0))</f>
        <v/>
      </c>
      <c r="N214" s="59">
        <f>IF(M214="","",IF(N(J214)=0,1,J214))</f>
        <v/>
      </c>
    </row>
    <row r="215">
      <c r="A215" s="53" t="n">
        <v>195</v>
      </c>
      <c r="B215" s="67" t="n"/>
      <c r="C215" s="55" t="n"/>
      <c r="D215" s="68" t="n"/>
      <c r="E215" s="68" t="n"/>
      <c r="F215" s="59">
        <f>IF(OR(E215="",D215=""),"",MAX(E215-D215,0))</f>
        <v/>
      </c>
      <c r="G215" s="59">
        <f>IF(F215="","",IF(N(C215)=0,1,C215))</f>
        <v/>
      </c>
      <c r="H215" s="53" t="n">
        <v>195</v>
      </c>
      <c r="I215" s="67" t="n"/>
      <c r="J215" s="55" t="n"/>
      <c r="K215" s="68" t="n"/>
      <c r="L215" s="68" t="n"/>
      <c r="M215" s="59">
        <f>IF(OR(L215="",K215=""),"",MAX(L215-K215,0))</f>
        <v/>
      </c>
      <c r="N215" s="59">
        <f>IF(M215="","",IF(N(J215)=0,1,J215))</f>
        <v/>
      </c>
    </row>
    <row r="216">
      <c r="A216" s="53" t="n">
        <v>196</v>
      </c>
      <c r="B216" s="67" t="n"/>
      <c r="C216" s="55" t="n"/>
      <c r="D216" s="68" t="n"/>
      <c r="E216" s="68" t="n"/>
      <c r="F216" s="59">
        <f>IF(OR(E216="",D216=""),"",MAX(E216-D216,0))</f>
        <v/>
      </c>
      <c r="G216" s="59">
        <f>IF(F216="","",IF(N(C216)=0,1,C216))</f>
        <v/>
      </c>
      <c r="H216" s="53" t="n">
        <v>196</v>
      </c>
      <c r="I216" s="67" t="n"/>
      <c r="J216" s="55" t="n"/>
      <c r="K216" s="68" t="n"/>
      <c r="L216" s="68" t="n"/>
      <c r="M216" s="59">
        <f>IF(OR(L216="",K216=""),"",MAX(L216-K216,0))</f>
        <v/>
      </c>
      <c r="N216" s="59">
        <f>IF(M216="","",IF(N(J216)=0,1,J216))</f>
        <v/>
      </c>
    </row>
    <row r="217">
      <c r="A217" s="53" t="n">
        <v>197</v>
      </c>
      <c r="B217" s="67" t="n"/>
      <c r="C217" s="55" t="n"/>
      <c r="D217" s="68" t="n"/>
      <c r="E217" s="68" t="n"/>
      <c r="F217" s="59">
        <f>IF(OR(E217="",D217=""),"",MAX(E217-D217,0))</f>
        <v/>
      </c>
      <c r="G217" s="59">
        <f>IF(F217="","",IF(N(C217)=0,1,C217))</f>
        <v/>
      </c>
      <c r="H217" s="53" t="n">
        <v>197</v>
      </c>
      <c r="I217" s="67" t="n"/>
      <c r="J217" s="55" t="n"/>
      <c r="K217" s="68" t="n"/>
      <c r="L217" s="68" t="n"/>
      <c r="M217" s="59">
        <f>IF(OR(L217="",K217=""),"",MAX(L217-K217,0))</f>
        <v/>
      </c>
      <c r="N217" s="59">
        <f>IF(M217="","",IF(N(J217)=0,1,J217))</f>
        <v/>
      </c>
    </row>
    <row r="218">
      <c r="A218" s="53" t="n">
        <v>198</v>
      </c>
      <c r="B218" s="67" t="n"/>
      <c r="C218" s="55" t="n"/>
      <c r="D218" s="68" t="n"/>
      <c r="E218" s="68" t="n"/>
      <c r="F218" s="59">
        <f>IF(OR(E218="",D218=""),"",MAX(E218-D218,0))</f>
        <v/>
      </c>
      <c r="G218" s="59">
        <f>IF(F218="","",IF(N(C218)=0,1,C218))</f>
        <v/>
      </c>
      <c r="H218" s="53" t="n">
        <v>198</v>
      </c>
      <c r="I218" s="67" t="n"/>
      <c r="J218" s="55" t="n"/>
      <c r="K218" s="68" t="n"/>
      <c r="L218" s="68" t="n"/>
      <c r="M218" s="59">
        <f>IF(OR(L218="",K218=""),"",MAX(L218-K218,0))</f>
        <v/>
      </c>
      <c r="N218" s="59">
        <f>IF(M218="","",IF(N(J218)=0,1,J218))</f>
        <v/>
      </c>
    </row>
    <row r="219">
      <c r="A219" s="53" t="n">
        <v>199</v>
      </c>
      <c r="B219" s="67" t="n"/>
      <c r="C219" s="55" t="n"/>
      <c r="D219" s="68" t="n"/>
      <c r="E219" s="68" t="n"/>
      <c r="F219" s="59">
        <f>IF(OR(E219="",D219=""),"",MAX(E219-D219,0))</f>
        <v/>
      </c>
      <c r="G219" s="59">
        <f>IF(F219="","",IF(N(C219)=0,1,C219))</f>
        <v/>
      </c>
      <c r="H219" s="53" t="n">
        <v>199</v>
      </c>
      <c r="I219" s="67" t="n"/>
      <c r="J219" s="55" t="n"/>
      <c r="K219" s="68" t="n"/>
      <c r="L219" s="68" t="n"/>
      <c r="M219" s="59">
        <f>IF(OR(L219="",K219=""),"",MAX(L219-K219,0))</f>
        <v/>
      </c>
      <c r="N219" s="59">
        <f>IF(M219="","",IF(N(J219)=0,1,J219))</f>
        <v/>
      </c>
    </row>
    <row r="220">
      <c r="A220" s="53" t="n">
        <v>200</v>
      </c>
      <c r="B220" s="67" t="n"/>
      <c r="C220" s="55" t="n"/>
      <c r="D220" s="68" t="n"/>
      <c r="E220" s="68" t="n"/>
      <c r="F220" s="59">
        <f>IF(OR(E220="",D220=""),"",MAX(E220-D220,0))</f>
        <v/>
      </c>
      <c r="G220" s="59">
        <f>IF(F220="","",IF(N(C220)=0,1,C220))</f>
        <v/>
      </c>
      <c r="H220" s="53" t="n">
        <v>200</v>
      </c>
      <c r="I220" s="67" t="n"/>
      <c r="J220" s="55" t="n"/>
      <c r="K220" s="68" t="n"/>
      <c r="L220" s="68" t="n"/>
      <c r="M220" s="59">
        <f>IF(OR(L220="",K220=""),"",MAX(L220-K220,0))</f>
        <v/>
      </c>
      <c r="N220" s="59">
        <f>IF(M220="","",IF(N(J220)=0,1,J220))</f>
        <v/>
      </c>
    </row>
    <row r="221">
      <c r="A221" s="53" t="n">
        <v>201</v>
      </c>
      <c r="B221" s="67" t="n"/>
      <c r="C221" s="55" t="n"/>
      <c r="D221" s="68" t="n"/>
      <c r="E221" s="68" t="n"/>
      <c r="F221" s="59">
        <f>IF(OR(E221="",D221=""),"",MAX(E221-D221,0))</f>
        <v/>
      </c>
      <c r="G221" s="59">
        <f>IF(F221="","",IF(N(C221)=0,1,C221))</f>
        <v/>
      </c>
      <c r="H221" s="53" t="n">
        <v>201</v>
      </c>
      <c r="I221" s="67" t="n"/>
      <c r="J221" s="55" t="n"/>
      <c r="K221" s="68" t="n"/>
      <c r="L221" s="68" t="n"/>
      <c r="M221" s="59">
        <f>IF(OR(L221="",K221=""),"",MAX(L221-K221,0))</f>
        <v/>
      </c>
      <c r="N221" s="59">
        <f>IF(M221="","",IF(N(J221)=0,1,J221))</f>
        <v/>
      </c>
    </row>
    <row r="222">
      <c r="A222" s="53" t="n">
        <v>202</v>
      </c>
      <c r="B222" s="67" t="n"/>
      <c r="C222" s="55" t="n"/>
      <c r="D222" s="68" t="n"/>
      <c r="E222" s="68" t="n"/>
      <c r="F222" s="59">
        <f>IF(OR(E222="",D222=""),"",MAX(E222-D222,0))</f>
        <v/>
      </c>
      <c r="G222" s="59">
        <f>IF(F222="","",IF(N(C222)=0,1,C222))</f>
        <v/>
      </c>
      <c r="H222" s="53" t="n">
        <v>202</v>
      </c>
      <c r="I222" s="67" t="n"/>
      <c r="J222" s="55" t="n"/>
      <c r="K222" s="68" t="n"/>
      <c r="L222" s="68" t="n"/>
      <c r="M222" s="59">
        <f>IF(OR(L222="",K222=""),"",MAX(L222-K222,0))</f>
        <v/>
      </c>
      <c r="N222" s="59">
        <f>IF(M222="","",IF(N(J222)=0,1,J222))</f>
        <v/>
      </c>
    </row>
    <row r="223">
      <c r="A223" s="53" t="n">
        <v>203</v>
      </c>
      <c r="B223" s="67" t="n"/>
      <c r="C223" s="55" t="n"/>
      <c r="D223" s="68" t="n"/>
      <c r="E223" s="68" t="n"/>
      <c r="F223" s="59">
        <f>IF(OR(E223="",D223=""),"",MAX(E223-D223,0))</f>
        <v/>
      </c>
      <c r="G223" s="59">
        <f>IF(F223="","",IF(N(C223)=0,1,C223))</f>
        <v/>
      </c>
      <c r="H223" s="53" t="n">
        <v>203</v>
      </c>
      <c r="I223" s="67" t="n"/>
      <c r="J223" s="55" t="n"/>
      <c r="K223" s="68" t="n"/>
      <c r="L223" s="68" t="n"/>
      <c r="M223" s="59">
        <f>IF(OR(L223="",K223=""),"",MAX(L223-K223,0))</f>
        <v/>
      </c>
      <c r="N223" s="59">
        <f>IF(M223="","",IF(N(J223)=0,1,J223))</f>
        <v/>
      </c>
    </row>
    <row r="224">
      <c r="A224" s="53" t="n">
        <v>204</v>
      </c>
      <c r="B224" s="67" t="n"/>
      <c r="C224" s="55" t="n"/>
      <c r="D224" s="68" t="n"/>
      <c r="E224" s="68" t="n"/>
      <c r="F224" s="59">
        <f>IF(OR(E224="",D224=""),"",MAX(E224-D224,0))</f>
        <v/>
      </c>
      <c r="G224" s="59">
        <f>IF(F224="","",IF(N(C224)=0,1,C224))</f>
        <v/>
      </c>
      <c r="H224" s="53" t="n">
        <v>204</v>
      </c>
      <c r="I224" s="67" t="n"/>
      <c r="J224" s="55" t="n"/>
      <c r="K224" s="68" t="n"/>
      <c r="L224" s="68" t="n"/>
      <c r="M224" s="59">
        <f>IF(OR(L224="",K224=""),"",MAX(L224-K224,0))</f>
        <v/>
      </c>
      <c r="N224" s="59">
        <f>IF(M224="","",IF(N(J224)=0,1,J224))</f>
        <v/>
      </c>
    </row>
    <row r="225">
      <c r="A225" s="53" t="n">
        <v>205</v>
      </c>
      <c r="B225" s="67" t="n"/>
      <c r="C225" s="55" t="n"/>
      <c r="D225" s="68" t="n"/>
      <c r="E225" s="68" t="n"/>
      <c r="F225" s="59">
        <f>IF(OR(E225="",D225=""),"",MAX(E225-D225,0))</f>
        <v/>
      </c>
      <c r="G225" s="59">
        <f>IF(F225="","",IF(N(C225)=0,1,C225))</f>
        <v/>
      </c>
      <c r="H225" s="53" t="n">
        <v>205</v>
      </c>
      <c r="I225" s="67" t="n"/>
      <c r="J225" s="55" t="n"/>
      <c r="K225" s="68" t="n"/>
      <c r="L225" s="68" t="n"/>
      <c r="M225" s="59">
        <f>IF(OR(L225="",K225=""),"",MAX(L225-K225,0))</f>
        <v/>
      </c>
      <c r="N225" s="59">
        <f>IF(M225="","",IF(N(J225)=0,1,J225))</f>
        <v/>
      </c>
    </row>
    <row r="226">
      <c r="A226" s="53" t="n">
        <v>206</v>
      </c>
      <c r="B226" s="67" t="n"/>
      <c r="C226" s="55" t="n"/>
      <c r="D226" s="68" t="n"/>
      <c r="E226" s="68" t="n"/>
      <c r="F226" s="59">
        <f>IF(OR(E226="",D226=""),"",MAX(E226-D226,0))</f>
        <v/>
      </c>
      <c r="G226" s="59">
        <f>IF(F226="","",IF(N(C226)=0,1,C226))</f>
        <v/>
      </c>
      <c r="H226" s="53" t="n">
        <v>206</v>
      </c>
      <c r="I226" s="67" t="n"/>
      <c r="J226" s="55" t="n"/>
      <c r="K226" s="68" t="n"/>
      <c r="L226" s="68" t="n"/>
      <c r="M226" s="59">
        <f>IF(OR(L226="",K226=""),"",MAX(L226-K226,0))</f>
        <v/>
      </c>
      <c r="N226" s="59">
        <f>IF(M226="","",IF(N(J226)=0,1,J226))</f>
        <v/>
      </c>
    </row>
    <row r="227">
      <c r="A227" s="53" t="n">
        <v>207</v>
      </c>
      <c r="B227" s="67" t="n"/>
      <c r="C227" s="55" t="n"/>
      <c r="D227" s="68" t="n"/>
      <c r="E227" s="68" t="n"/>
      <c r="F227" s="59">
        <f>IF(OR(E227="",D227=""),"",MAX(E227-D227,0))</f>
        <v/>
      </c>
      <c r="G227" s="59">
        <f>IF(F227="","",IF(N(C227)=0,1,C227))</f>
        <v/>
      </c>
      <c r="H227" s="53" t="n">
        <v>207</v>
      </c>
      <c r="I227" s="67" t="n"/>
      <c r="J227" s="55" t="n"/>
      <c r="K227" s="68" t="n"/>
      <c r="L227" s="68" t="n"/>
      <c r="M227" s="59">
        <f>IF(OR(L227="",K227=""),"",MAX(L227-K227,0))</f>
        <v/>
      </c>
      <c r="N227" s="59">
        <f>IF(M227="","",IF(N(J227)=0,1,J227))</f>
        <v/>
      </c>
    </row>
    <row r="228">
      <c r="A228" s="53" t="n">
        <v>208</v>
      </c>
      <c r="B228" s="67" t="n"/>
      <c r="C228" s="55" t="n"/>
      <c r="D228" s="68" t="n"/>
      <c r="E228" s="68" t="n"/>
      <c r="F228" s="59">
        <f>IF(OR(E228="",D228=""),"",MAX(E228-D228,0))</f>
        <v/>
      </c>
      <c r="G228" s="59">
        <f>IF(F228="","",IF(N(C228)=0,1,C228))</f>
        <v/>
      </c>
      <c r="H228" s="53" t="n">
        <v>208</v>
      </c>
      <c r="I228" s="67" t="n"/>
      <c r="J228" s="55" t="n"/>
      <c r="K228" s="68" t="n"/>
      <c r="L228" s="68" t="n"/>
      <c r="M228" s="59">
        <f>IF(OR(L228="",K228=""),"",MAX(L228-K228,0))</f>
        <v/>
      </c>
      <c r="N228" s="59">
        <f>IF(M228="","",IF(N(J228)=0,1,J228))</f>
        <v/>
      </c>
    </row>
    <row r="229">
      <c r="A229" s="53" t="n">
        <v>209</v>
      </c>
      <c r="B229" s="67" t="n"/>
      <c r="C229" s="55" t="n"/>
      <c r="D229" s="68" t="n"/>
      <c r="E229" s="68" t="n"/>
      <c r="F229" s="59">
        <f>IF(OR(E229="",D229=""),"",MAX(E229-D229,0))</f>
        <v/>
      </c>
      <c r="G229" s="59">
        <f>IF(F229="","",IF(N(C229)=0,1,C229))</f>
        <v/>
      </c>
      <c r="H229" s="53" t="n">
        <v>209</v>
      </c>
      <c r="I229" s="67" t="n"/>
      <c r="J229" s="55" t="n"/>
      <c r="K229" s="68" t="n"/>
      <c r="L229" s="68" t="n"/>
      <c r="M229" s="59">
        <f>IF(OR(L229="",K229=""),"",MAX(L229-K229,0))</f>
        <v/>
      </c>
      <c r="N229" s="59">
        <f>IF(M229="","",IF(N(J229)=0,1,J229))</f>
        <v/>
      </c>
    </row>
    <row r="230">
      <c r="A230" s="53" t="n">
        <v>210</v>
      </c>
      <c r="B230" s="67" t="n"/>
      <c r="C230" s="55" t="n"/>
      <c r="D230" s="68" t="n"/>
      <c r="E230" s="68" t="n"/>
      <c r="F230" s="59">
        <f>IF(OR(E230="",D230=""),"",MAX(E230-D230,0))</f>
        <v/>
      </c>
      <c r="G230" s="59">
        <f>IF(F230="","",IF(N(C230)=0,1,C230))</f>
        <v/>
      </c>
      <c r="H230" s="53" t="n">
        <v>210</v>
      </c>
      <c r="I230" s="67" t="n"/>
      <c r="J230" s="55" t="n"/>
      <c r="K230" s="68" t="n"/>
      <c r="L230" s="68" t="n"/>
      <c r="M230" s="59">
        <f>IF(OR(L230="",K230=""),"",MAX(L230-K230,0))</f>
        <v/>
      </c>
      <c r="N230" s="59">
        <f>IF(M230="","",IF(N(J230)=0,1,J230))</f>
        <v/>
      </c>
    </row>
    <row r="231">
      <c r="A231" s="53" t="n">
        <v>211</v>
      </c>
      <c r="B231" s="67" t="n"/>
      <c r="C231" s="55" t="n"/>
      <c r="D231" s="68" t="n"/>
      <c r="E231" s="68" t="n"/>
      <c r="F231" s="59">
        <f>IF(OR(E231="",D231=""),"",MAX(E231-D231,0))</f>
        <v/>
      </c>
      <c r="G231" s="59">
        <f>IF(F231="","",IF(N(C231)=0,1,C231))</f>
        <v/>
      </c>
      <c r="H231" s="53" t="n">
        <v>211</v>
      </c>
      <c r="I231" s="67" t="n"/>
      <c r="J231" s="55" t="n"/>
      <c r="K231" s="68" t="n"/>
      <c r="L231" s="68" t="n"/>
      <c r="M231" s="59">
        <f>IF(OR(L231="",K231=""),"",MAX(L231-K231,0))</f>
        <v/>
      </c>
      <c r="N231" s="59">
        <f>IF(M231="","",IF(N(J231)=0,1,J231))</f>
        <v/>
      </c>
    </row>
    <row r="232">
      <c r="A232" s="53" t="n">
        <v>212</v>
      </c>
      <c r="B232" s="67" t="n"/>
      <c r="C232" s="55" t="n"/>
      <c r="D232" s="68" t="n"/>
      <c r="E232" s="68" t="n"/>
      <c r="F232" s="59">
        <f>IF(OR(E232="",D232=""),"",MAX(E232-D232,0))</f>
        <v/>
      </c>
      <c r="G232" s="59">
        <f>IF(F232="","",IF(N(C232)=0,1,C232))</f>
        <v/>
      </c>
      <c r="H232" s="53" t="n">
        <v>212</v>
      </c>
      <c r="I232" s="67" t="n"/>
      <c r="J232" s="55" t="n"/>
      <c r="K232" s="68" t="n"/>
      <c r="L232" s="68" t="n"/>
      <c r="M232" s="59">
        <f>IF(OR(L232="",K232=""),"",MAX(L232-K232,0))</f>
        <v/>
      </c>
      <c r="N232" s="59">
        <f>IF(M232="","",IF(N(J232)=0,1,J232))</f>
        <v/>
      </c>
    </row>
    <row r="233">
      <c r="A233" s="53" t="n">
        <v>213</v>
      </c>
      <c r="B233" s="67" t="n"/>
      <c r="C233" s="55" t="n"/>
      <c r="D233" s="68" t="n"/>
      <c r="E233" s="68" t="n"/>
      <c r="F233" s="59">
        <f>IF(OR(E233="",D233=""),"",MAX(E233-D233,0))</f>
        <v/>
      </c>
      <c r="G233" s="59">
        <f>IF(F233="","",IF(N(C233)=0,1,C233))</f>
        <v/>
      </c>
      <c r="H233" s="53" t="n">
        <v>213</v>
      </c>
      <c r="I233" s="67" t="n"/>
      <c r="J233" s="55" t="n"/>
      <c r="K233" s="68" t="n"/>
      <c r="L233" s="68" t="n"/>
      <c r="M233" s="59">
        <f>IF(OR(L233="",K233=""),"",MAX(L233-K233,0))</f>
        <v/>
      </c>
      <c r="N233" s="59">
        <f>IF(M233="","",IF(N(J233)=0,1,J233))</f>
        <v/>
      </c>
    </row>
    <row r="234">
      <c r="A234" s="53" t="n">
        <v>214</v>
      </c>
      <c r="B234" s="67" t="n"/>
      <c r="C234" s="55" t="n"/>
      <c r="D234" s="68" t="n"/>
      <c r="E234" s="68" t="n"/>
      <c r="F234" s="59">
        <f>IF(OR(E234="",D234=""),"",MAX(E234-D234,0))</f>
        <v/>
      </c>
      <c r="G234" s="59">
        <f>IF(F234="","",IF(N(C234)=0,1,C234))</f>
        <v/>
      </c>
      <c r="H234" s="53" t="n">
        <v>214</v>
      </c>
      <c r="I234" s="67" t="n"/>
      <c r="J234" s="55" t="n"/>
      <c r="K234" s="68" t="n"/>
      <c r="L234" s="68" t="n"/>
      <c r="M234" s="59">
        <f>IF(OR(L234="",K234=""),"",MAX(L234-K234,0))</f>
        <v/>
      </c>
      <c r="N234" s="59">
        <f>IF(M234="","",IF(N(J234)=0,1,J234))</f>
        <v/>
      </c>
    </row>
    <row r="235">
      <c r="A235" s="53" t="n">
        <v>215</v>
      </c>
      <c r="B235" s="67" t="n"/>
      <c r="C235" s="55" t="n"/>
      <c r="D235" s="68" t="n"/>
      <c r="E235" s="68" t="n"/>
      <c r="F235" s="59">
        <f>IF(OR(E235="",D235=""),"",MAX(E235-D235,0))</f>
        <v/>
      </c>
      <c r="G235" s="59">
        <f>IF(F235="","",IF(N(C235)=0,1,C235))</f>
        <v/>
      </c>
      <c r="H235" s="53" t="n">
        <v>215</v>
      </c>
      <c r="I235" s="67" t="n"/>
      <c r="J235" s="55" t="n"/>
      <c r="K235" s="68" t="n"/>
      <c r="L235" s="68" t="n"/>
      <c r="M235" s="59">
        <f>IF(OR(L235="",K235=""),"",MAX(L235-K235,0))</f>
        <v/>
      </c>
      <c r="N235" s="59">
        <f>IF(M235="","",IF(N(J235)=0,1,J235))</f>
        <v/>
      </c>
    </row>
    <row r="236">
      <c r="A236" s="53" t="n">
        <v>216</v>
      </c>
      <c r="B236" s="67" t="n"/>
      <c r="C236" s="55" t="n"/>
      <c r="D236" s="68" t="n"/>
      <c r="E236" s="68" t="n"/>
      <c r="F236" s="59">
        <f>IF(OR(E236="",D236=""),"",MAX(E236-D236,0))</f>
        <v/>
      </c>
      <c r="G236" s="59">
        <f>IF(F236="","",IF(N(C236)=0,1,C236))</f>
        <v/>
      </c>
      <c r="H236" s="53" t="n">
        <v>216</v>
      </c>
      <c r="I236" s="67" t="n"/>
      <c r="J236" s="55" t="n"/>
      <c r="K236" s="68" t="n"/>
      <c r="L236" s="68" t="n"/>
      <c r="M236" s="59">
        <f>IF(OR(L236="",K236=""),"",MAX(L236-K236,0))</f>
        <v/>
      </c>
      <c r="N236" s="59">
        <f>IF(M236="","",IF(N(J236)=0,1,J236))</f>
        <v/>
      </c>
    </row>
    <row r="237">
      <c r="A237" s="53" t="n">
        <v>217</v>
      </c>
      <c r="B237" s="67" t="n"/>
      <c r="C237" s="55" t="n"/>
      <c r="D237" s="68" t="n"/>
      <c r="E237" s="68" t="n"/>
      <c r="F237" s="59">
        <f>IF(OR(E237="",D237=""),"",MAX(E237-D237,0))</f>
        <v/>
      </c>
      <c r="G237" s="59">
        <f>IF(F237="","",IF(N(C237)=0,1,C237))</f>
        <v/>
      </c>
      <c r="H237" s="53" t="n">
        <v>217</v>
      </c>
      <c r="I237" s="67" t="n"/>
      <c r="J237" s="55" t="n"/>
      <c r="K237" s="68" t="n"/>
      <c r="L237" s="68" t="n"/>
      <c r="M237" s="59">
        <f>IF(OR(L237="",K237=""),"",MAX(L237-K237,0))</f>
        <v/>
      </c>
      <c r="N237" s="59">
        <f>IF(M237="","",IF(N(J237)=0,1,J237))</f>
        <v/>
      </c>
    </row>
    <row r="238">
      <c r="A238" s="53" t="n">
        <v>218</v>
      </c>
      <c r="B238" s="67" t="n"/>
      <c r="C238" s="55" t="n"/>
      <c r="D238" s="68" t="n"/>
      <c r="E238" s="68" t="n"/>
      <c r="F238" s="59">
        <f>IF(OR(E238="",D238=""),"",MAX(E238-D238,0))</f>
        <v/>
      </c>
      <c r="G238" s="59">
        <f>IF(F238="","",IF(N(C238)=0,1,C238))</f>
        <v/>
      </c>
      <c r="H238" s="53" t="n">
        <v>218</v>
      </c>
      <c r="I238" s="67" t="n"/>
      <c r="J238" s="55" t="n"/>
      <c r="K238" s="68" t="n"/>
      <c r="L238" s="68" t="n"/>
      <c r="M238" s="59">
        <f>IF(OR(L238="",K238=""),"",MAX(L238-K238,0))</f>
        <v/>
      </c>
      <c r="N238" s="59">
        <f>IF(M238="","",IF(N(J238)=0,1,J238))</f>
        <v/>
      </c>
    </row>
    <row r="239">
      <c r="A239" s="53" t="n">
        <v>219</v>
      </c>
      <c r="B239" s="67" t="n"/>
      <c r="C239" s="55" t="n"/>
      <c r="D239" s="68" t="n"/>
      <c r="E239" s="68" t="n"/>
      <c r="F239" s="59">
        <f>IF(OR(E239="",D239=""),"",MAX(E239-D239,0))</f>
        <v/>
      </c>
      <c r="G239" s="59">
        <f>IF(F239="","",IF(N(C239)=0,1,C239))</f>
        <v/>
      </c>
      <c r="H239" s="53" t="n">
        <v>219</v>
      </c>
      <c r="I239" s="67" t="n"/>
      <c r="J239" s="55" t="n"/>
      <c r="K239" s="68" t="n"/>
      <c r="L239" s="68" t="n"/>
      <c r="M239" s="59">
        <f>IF(OR(L239="",K239=""),"",MAX(L239-K239,0))</f>
        <v/>
      </c>
      <c r="N239" s="59">
        <f>IF(M239="","",IF(N(J239)=0,1,J239))</f>
        <v/>
      </c>
    </row>
    <row r="240">
      <c r="A240" s="53" t="n">
        <v>220</v>
      </c>
      <c r="B240" s="67" t="n"/>
      <c r="C240" s="55" t="n"/>
      <c r="D240" s="68" t="n"/>
      <c r="E240" s="68" t="n"/>
      <c r="F240" s="59">
        <f>IF(OR(E240="",D240=""),"",MAX(E240-D240,0))</f>
        <v/>
      </c>
      <c r="G240" s="59">
        <f>IF(F240="","",IF(N(C240)=0,1,C240))</f>
        <v/>
      </c>
      <c r="H240" s="53" t="n">
        <v>220</v>
      </c>
      <c r="I240" s="67" t="n"/>
      <c r="J240" s="55" t="n"/>
      <c r="K240" s="68" t="n"/>
      <c r="L240" s="68" t="n"/>
      <c r="M240" s="59">
        <f>IF(OR(L240="",K240=""),"",MAX(L240-K240,0))</f>
        <v/>
      </c>
      <c r="N240" s="59">
        <f>IF(M240="","",IF(N(J240)=0,1,J240))</f>
        <v/>
      </c>
    </row>
    <row r="241">
      <c r="A241" s="53" t="n">
        <v>221</v>
      </c>
      <c r="B241" s="67" t="n"/>
      <c r="C241" s="55" t="n"/>
      <c r="D241" s="68" t="n"/>
      <c r="E241" s="68" t="n"/>
      <c r="F241" s="59">
        <f>IF(OR(E241="",D241=""),"",MAX(E241-D241,0))</f>
        <v/>
      </c>
      <c r="G241" s="59">
        <f>IF(F241="","",IF(N(C241)=0,1,C241))</f>
        <v/>
      </c>
      <c r="H241" s="53" t="n">
        <v>221</v>
      </c>
      <c r="I241" s="67" t="n"/>
      <c r="J241" s="55" t="n"/>
      <c r="K241" s="68" t="n"/>
      <c r="L241" s="68" t="n"/>
      <c r="M241" s="59">
        <f>IF(OR(L241="",K241=""),"",MAX(L241-K241,0))</f>
        <v/>
      </c>
      <c r="N241" s="59">
        <f>IF(M241="","",IF(N(J241)=0,1,J241))</f>
        <v/>
      </c>
    </row>
    <row r="242">
      <c r="A242" s="53" t="n">
        <v>222</v>
      </c>
      <c r="B242" s="67" t="n"/>
      <c r="C242" s="55" t="n"/>
      <c r="D242" s="68" t="n"/>
      <c r="E242" s="68" t="n"/>
      <c r="F242" s="59">
        <f>IF(OR(E242="",D242=""),"",MAX(E242-D242,0))</f>
        <v/>
      </c>
      <c r="G242" s="59">
        <f>IF(F242="","",IF(N(C242)=0,1,C242))</f>
        <v/>
      </c>
      <c r="H242" s="53" t="n">
        <v>222</v>
      </c>
      <c r="I242" s="67" t="n"/>
      <c r="J242" s="55" t="n"/>
      <c r="K242" s="68" t="n"/>
      <c r="L242" s="68" t="n"/>
      <c r="M242" s="59">
        <f>IF(OR(L242="",K242=""),"",MAX(L242-K242,0))</f>
        <v/>
      </c>
      <c r="N242" s="59">
        <f>IF(M242="","",IF(N(J242)=0,1,J242))</f>
        <v/>
      </c>
    </row>
    <row r="243">
      <c r="A243" s="53" t="n">
        <v>223</v>
      </c>
      <c r="B243" s="67" t="n"/>
      <c r="C243" s="55" t="n"/>
      <c r="D243" s="68" t="n"/>
      <c r="E243" s="68" t="n"/>
      <c r="F243" s="59">
        <f>IF(OR(E243="",D243=""),"",MAX(E243-D243,0))</f>
        <v/>
      </c>
      <c r="G243" s="59">
        <f>IF(F243="","",IF(N(C243)=0,1,C243))</f>
        <v/>
      </c>
      <c r="H243" s="53" t="n">
        <v>223</v>
      </c>
      <c r="I243" s="67" t="n"/>
      <c r="J243" s="55" t="n"/>
      <c r="K243" s="68" t="n"/>
      <c r="L243" s="68" t="n"/>
      <c r="M243" s="59">
        <f>IF(OR(L243="",K243=""),"",MAX(L243-K243,0))</f>
        <v/>
      </c>
      <c r="N243" s="59">
        <f>IF(M243="","",IF(N(J243)=0,1,J243))</f>
        <v/>
      </c>
    </row>
    <row r="244">
      <c r="A244" s="53" t="n">
        <v>224</v>
      </c>
      <c r="B244" s="67" t="n"/>
      <c r="C244" s="55" t="n"/>
      <c r="D244" s="68" t="n"/>
      <c r="E244" s="68" t="n"/>
      <c r="F244" s="59">
        <f>IF(OR(E244="",D244=""),"",MAX(E244-D244,0))</f>
        <v/>
      </c>
      <c r="G244" s="59">
        <f>IF(F244="","",IF(N(C244)=0,1,C244))</f>
        <v/>
      </c>
      <c r="H244" s="53" t="n">
        <v>224</v>
      </c>
      <c r="I244" s="67" t="n"/>
      <c r="J244" s="55" t="n"/>
      <c r="K244" s="68" t="n"/>
      <c r="L244" s="68" t="n"/>
      <c r="M244" s="59">
        <f>IF(OR(L244="",K244=""),"",MAX(L244-K244,0))</f>
        <v/>
      </c>
      <c r="N244" s="59">
        <f>IF(M244="","",IF(N(J244)=0,1,J244))</f>
        <v/>
      </c>
    </row>
    <row r="245">
      <c r="A245" s="53" t="n">
        <v>225</v>
      </c>
      <c r="B245" s="67" t="n"/>
      <c r="C245" s="55" t="n"/>
      <c r="D245" s="68" t="n"/>
      <c r="E245" s="68" t="n"/>
      <c r="F245" s="59">
        <f>IF(OR(E245="",D245=""),"",MAX(E245-D245,0))</f>
        <v/>
      </c>
      <c r="G245" s="59">
        <f>IF(F245="","",IF(N(C245)=0,1,C245))</f>
        <v/>
      </c>
      <c r="H245" s="53" t="n">
        <v>225</v>
      </c>
      <c r="I245" s="67" t="n"/>
      <c r="J245" s="55" t="n"/>
      <c r="K245" s="68" t="n"/>
      <c r="L245" s="68" t="n"/>
      <c r="M245" s="59">
        <f>IF(OR(L245="",K245=""),"",MAX(L245-K245,0))</f>
        <v/>
      </c>
      <c r="N245" s="59">
        <f>IF(M245="","",IF(N(J245)=0,1,J245))</f>
        <v/>
      </c>
    </row>
    <row r="246">
      <c r="A246" s="53" t="n">
        <v>226</v>
      </c>
      <c r="B246" s="67" t="n"/>
      <c r="C246" s="55" t="n"/>
      <c r="D246" s="68" t="n"/>
      <c r="E246" s="68" t="n"/>
      <c r="F246" s="59">
        <f>IF(OR(E246="",D246=""),"",MAX(E246-D246,0))</f>
        <v/>
      </c>
      <c r="G246" s="59">
        <f>IF(F246="","",IF(N(C246)=0,1,C246))</f>
        <v/>
      </c>
      <c r="H246" s="53" t="n">
        <v>226</v>
      </c>
      <c r="I246" s="67" t="n"/>
      <c r="J246" s="55" t="n"/>
      <c r="K246" s="68" t="n"/>
      <c r="L246" s="68" t="n"/>
      <c r="M246" s="59">
        <f>IF(OR(L246="",K246=""),"",MAX(L246-K246,0))</f>
        <v/>
      </c>
      <c r="N246" s="59">
        <f>IF(M246="","",IF(N(J246)=0,1,J246))</f>
        <v/>
      </c>
    </row>
    <row r="247">
      <c r="A247" s="53" t="n">
        <v>227</v>
      </c>
      <c r="B247" s="67" t="n"/>
      <c r="C247" s="55" t="n"/>
      <c r="D247" s="68" t="n"/>
      <c r="E247" s="68" t="n"/>
      <c r="F247" s="59">
        <f>IF(OR(E247="",D247=""),"",MAX(E247-D247,0))</f>
        <v/>
      </c>
      <c r="G247" s="59">
        <f>IF(F247="","",IF(N(C247)=0,1,C247))</f>
        <v/>
      </c>
      <c r="H247" s="53" t="n">
        <v>227</v>
      </c>
      <c r="I247" s="67" t="n"/>
      <c r="J247" s="55" t="n"/>
      <c r="K247" s="68" t="n"/>
      <c r="L247" s="68" t="n"/>
      <c r="M247" s="59">
        <f>IF(OR(L247="",K247=""),"",MAX(L247-K247,0))</f>
        <v/>
      </c>
      <c r="N247" s="59">
        <f>IF(M247="","",IF(N(J247)=0,1,J247))</f>
        <v/>
      </c>
    </row>
    <row r="248">
      <c r="A248" s="53" t="n">
        <v>228</v>
      </c>
      <c r="B248" s="67" t="n"/>
      <c r="C248" s="55" t="n"/>
      <c r="D248" s="68" t="n"/>
      <c r="E248" s="68" t="n"/>
      <c r="F248" s="59">
        <f>IF(OR(E248="",D248=""),"",MAX(E248-D248,0))</f>
        <v/>
      </c>
      <c r="G248" s="59">
        <f>IF(F248="","",IF(N(C248)=0,1,C248))</f>
        <v/>
      </c>
      <c r="H248" s="53" t="n">
        <v>228</v>
      </c>
      <c r="I248" s="67" t="n"/>
      <c r="J248" s="55" t="n"/>
      <c r="K248" s="68" t="n"/>
      <c r="L248" s="68" t="n"/>
      <c r="M248" s="59">
        <f>IF(OR(L248="",K248=""),"",MAX(L248-K248,0))</f>
        <v/>
      </c>
      <c r="N248" s="59">
        <f>IF(M248="","",IF(N(J248)=0,1,J248))</f>
        <v/>
      </c>
    </row>
    <row r="249">
      <c r="A249" s="53" t="n">
        <v>229</v>
      </c>
      <c r="B249" s="67" t="n"/>
      <c r="C249" s="55" t="n"/>
      <c r="D249" s="68" t="n"/>
      <c r="E249" s="68" t="n"/>
      <c r="F249" s="59">
        <f>IF(OR(E249="",D249=""),"",MAX(E249-D249,0))</f>
        <v/>
      </c>
      <c r="G249" s="59">
        <f>IF(F249="","",IF(N(C249)=0,1,C249))</f>
        <v/>
      </c>
      <c r="H249" s="53" t="n">
        <v>229</v>
      </c>
      <c r="I249" s="67" t="n"/>
      <c r="J249" s="55" t="n"/>
      <c r="K249" s="68" t="n"/>
      <c r="L249" s="68" t="n"/>
      <c r="M249" s="59">
        <f>IF(OR(L249="",K249=""),"",MAX(L249-K249,0))</f>
        <v/>
      </c>
      <c r="N249" s="59">
        <f>IF(M249="","",IF(N(J249)=0,1,J249))</f>
        <v/>
      </c>
    </row>
    <row r="250">
      <c r="A250" s="53" t="n">
        <v>230</v>
      </c>
      <c r="B250" s="67" t="n"/>
      <c r="C250" s="55" t="n"/>
      <c r="D250" s="68" t="n"/>
      <c r="E250" s="68" t="n"/>
      <c r="F250" s="59">
        <f>IF(OR(E250="",D250=""),"",MAX(E250-D250,0))</f>
        <v/>
      </c>
      <c r="G250" s="59">
        <f>IF(F250="","",IF(N(C250)=0,1,C250))</f>
        <v/>
      </c>
      <c r="H250" s="53" t="n">
        <v>230</v>
      </c>
      <c r="I250" s="67" t="n"/>
      <c r="J250" s="55" t="n"/>
      <c r="K250" s="68" t="n"/>
      <c r="L250" s="68" t="n"/>
      <c r="M250" s="59">
        <f>IF(OR(L250="",K250=""),"",MAX(L250-K250,0))</f>
        <v/>
      </c>
      <c r="N250" s="59">
        <f>IF(M250="","",IF(N(J250)=0,1,J250))</f>
        <v/>
      </c>
    </row>
    <row r="251">
      <c r="A251" s="53" t="n">
        <v>231</v>
      </c>
      <c r="B251" s="67" t="n"/>
      <c r="C251" s="55" t="n"/>
      <c r="D251" s="68" t="n"/>
      <c r="E251" s="68" t="n"/>
      <c r="F251" s="59">
        <f>IF(OR(E251="",D251=""),"",MAX(E251-D251,0))</f>
        <v/>
      </c>
      <c r="G251" s="59">
        <f>IF(F251="","",IF(N(C251)=0,1,C251))</f>
        <v/>
      </c>
      <c r="H251" s="53" t="n">
        <v>231</v>
      </c>
      <c r="I251" s="67" t="n"/>
      <c r="J251" s="55" t="n"/>
      <c r="K251" s="68" t="n"/>
      <c r="L251" s="68" t="n"/>
      <c r="M251" s="59">
        <f>IF(OR(L251="",K251=""),"",MAX(L251-K251,0))</f>
        <v/>
      </c>
      <c r="N251" s="59">
        <f>IF(M251="","",IF(N(J251)=0,1,J251))</f>
        <v/>
      </c>
    </row>
    <row r="252">
      <c r="A252" s="53" t="n">
        <v>232</v>
      </c>
      <c r="B252" s="67" t="n"/>
      <c r="C252" s="55" t="n"/>
      <c r="D252" s="68" t="n"/>
      <c r="E252" s="68" t="n"/>
      <c r="F252" s="59">
        <f>IF(OR(E252="",D252=""),"",MAX(E252-D252,0))</f>
        <v/>
      </c>
      <c r="G252" s="59">
        <f>IF(F252="","",IF(N(C252)=0,1,C252))</f>
        <v/>
      </c>
      <c r="H252" s="53" t="n">
        <v>232</v>
      </c>
      <c r="I252" s="67" t="n"/>
      <c r="J252" s="55" t="n"/>
      <c r="K252" s="68" t="n"/>
      <c r="L252" s="68" t="n"/>
      <c r="M252" s="59">
        <f>IF(OR(L252="",K252=""),"",MAX(L252-K252,0))</f>
        <v/>
      </c>
      <c r="N252" s="59">
        <f>IF(M252="","",IF(N(J252)=0,1,J252))</f>
        <v/>
      </c>
    </row>
    <row r="253">
      <c r="A253" s="53" t="n">
        <v>233</v>
      </c>
      <c r="B253" s="67" t="n"/>
      <c r="C253" s="55" t="n"/>
      <c r="D253" s="68" t="n"/>
      <c r="E253" s="68" t="n"/>
      <c r="F253" s="59">
        <f>IF(OR(E253="",D253=""),"",MAX(E253-D253,0))</f>
        <v/>
      </c>
      <c r="G253" s="59">
        <f>IF(F253="","",IF(N(C253)=0,1,C253))</f>
        <v/>
      </c>
      <c r="H253" s="53" t="n">
        <v>233</v>
      </c>
      <c r="I253" s="67" t="n"/>
      <c r="J253" s="55" t="n"/>
      <c r="K253" s="68" t="n"/>
      <c r="L253" s="68" t="n"/>
      <c r="M253" s="59">
        <f>IF(OR(L253="",K253=""),"",MAX(L253-K253,0))</f>
        <v/>
      </c>
      <c r="N253" s="59">
        <f>IF(M253="","",IF(N(J253)=0,1,J253))</f>
        <v/>
      </c>
    </row>
    <row r="254">
      <c r="A254" s="53" t="n">
        <v>234</v>
      </c>
      <c r="B254" s="67" t="n"/>
      <c r="C254" s="55" t="n"/>
      <c r="D254" s="68" t="n"/>
      <c r="E254" s="68" t="n"/>
      <c r="F254" s="59">
        <f>IF(OR(E254="",D254=""),"",MAX(E254-D254,0))</f>
        <v/>
      </c>
      <c r="G254" s="59">
        <f>IF(F254="","",IF(N(C254)=0,1,C254))</f>
        <v/>
      </c>
      <c r="H254" s="53" t="n">
        <v>234</v>
      </c>
      <c r="I254" s="67" t="n"/>
      <c r="J254" s="55" t="n"/>
      <c r="K254" s="68" t="n"/>
      <c r="L254" s="68" t="n"/>
      <c r="M254" s="59">
        <f>IF(OR(L254="",K254=""),"",MAX(L254-K254,0))</f>
        <v/>
      </c>
      <c r="N254" s="59">
        <f>IF(M254="","",IF(N(J254)=0,1,J254))</f>
        <v/>
      </c>
    </row>
    <row r="255">
      <c r="A255" s="53" t="n">
        <v>235</v>
      </c>
      <c r="B255" s="67" t="n"/>
      <c r="C255" s="55" t="n"/>
      <c r="D255" s="68" t="n"/>
      <c r="E255" s="68" t="n"/>
      <c r="F255" s="59">
        <f>IF(OR(E255="",D255=""),"",MAX(E255-D255,0))</f>
        <v/>
      </c>
      <c r="G255" s="59">
        <f>IF(F255="","",IF(N(C255)=0,1,C255))</f>
        <v/>
      </c>
      <c r="H255" s="53" t="n">
        <v>235</v>
      </c>
      <c r="I255" s="67" t="n"/>
      <c r="J255" s="55" t="n"/>
      <c r="K255" s="68" t="n"/>
      <c r="L255" s="68" t="n"/>
      <c r="M255" s="59">
        <f>IF(OR(L255="",K255=""),"",MAX(L255-K255,0))</f>
        <v/>
      </c>
      <c r="N255" s="59">
        <f>IF(M255="","",IF(N(J255)=0,1,J255))</f>
        <v/>
      </c>
    </row>
    <row r="256">
      <c r="A256" s="53" t="n">
        <v>236</v>
      </c>
      <c r="B256" s="67" t="n"/>
      <c r="C256" s="55" t="n"/>
      <c r="D256" s="68" t="n"/>
      <c r="E256" s="68" t="n"/>
      <c r="F256" s="59">
        <f>IF(OR(E256="",D256=""),"",MAX(E256-D256,0))</f>
        <v/>
      </c>
      <c r="G256" s="59">
        <f>IF(F256="","",IF(N(C256)=0,1,C256))</f>
        <v/>
      </c>
      <c r="H256" s="53" t="n">
        <v>236</v>
      </c>
      <c r="I256" s="67" t="n"/>
      <c r="J256" s="55" t="n"/>
      <c r="K256" s="68" t="n"/>
      <c r="L256" s="68" t="n"/>
      <c r="M256" s="59">
        <f>IF(OR(L256="",K256=""),"",MAX(L256-K256,0))</f>
        <v/>
      </c>
      <c r="N256" s="59">
        <f>IF(M256="","",IF(N(J256)=0,1,J256))</f>
        <v/>
      </c>
    </row>
    <row r="257">
      <c r="A257" s="53" t="n">
        <v>237</v>
      </c>
      <c r="B257" s="67" t="n"/>
      <c r="C257" s="55" t="n"/>
      <c r="D257" s="68" t="n"/>
      <c r="E257" s="68" t="n"/>
      <c r="F257" s="59">
        <f>IF(OR(E257="",D257=""),"",MAX(E257-D257,0))</f>
        <v/>
      </c>
      <c r="G257" s="59">
        <f>IF(F257="","",IF(N(C257)=0,1,C257))</f>
        <v/>
      </c>
      <c r="H257" s="53" t="n">
        <v>237</v>
      </c>
      <c r="I257" s="67" t="n"/>
      <c r="J257" s="55" t="n"/>
      <c r="K257" s="68" t="n"/>
      <c r="L257" s="68" t="n"/>
      <c r="M257" s="59">
        <f>IF(OR(L257="",K257=""),"",MAX(L257-K257,0))</f>
        <v/>
      </c>
      <c r="N257" s="59">
        <f>IF(M257="","",IF(N(J257)=0,1,J257))</f>
        <v/>
      </c>
    </row>
    <row r="258">
      <c r="A258" s="53" t="n">
        <v>238</v>
      </c>
      <c r="B258" s="67" t="n"/>
      <c r="C258" s="55" t="n"/>
      <c r="D258" s="68" t="n"/>
      <c r="E258" s="68" t="n"/>
      <c r="F258" s="59">
        <f>IF(OR(E258="",D258=""),"",MAX(E258-D258,0))</f>
        <v/>
      </c>
      <c r="G258" s="59">
        <f>IF(F258="","",IF(N(C258)=0,1,C258))</f>
        <v/>
      </c>
      <c r="H258" s="53" t="n">
        <v>238</v>
      </c>
      <c r="I258" s="67" t="n"/>
      <c r="J258" s="55" t="n"/>
      <c r="K258" s="68" t="n"/>
      <c r="L258" s="68" t="n"/>
      <c r="M258" s="59">
        <f>IF(OR(L258="",K258=""),"",MAX(L258-K258,0))</f>
        <v/>
      </c>
      <c r="N258" s="59">
        <f>IF(M258="","",IF(N(J258)=0,1,J258))</f>
        <v/>
      </c>
    </row>
    <row r="259">
      <c r="A259" s="53" t="n">
        <v>239</v>
      </c>
      <c r="B259" s="67" t="n"/>
      <c r="C259" s="55" t="n"/>
      <c r="D259" s="68" t="n"/>
      <c r="E259" s="68" t="n"/>
      <c r="F259" s="59">
        <f>IF(OR(E259="",D259=""),"",MAX(E259-D259,0))</f>
        <v/>
      </c>
      <c r="G259" s="59">
        <f>IF(F259="","",IF(N(C259)=0,1,C259))</f>
        <v/>
      </c>
      <c r="H259" s="53" t="n">
        <v>239</v>
      </c>
      <c r="I259" s="67" t="n"/>
      <c r="J259" s="55" t="n"/>
      <c r="K259" s="68" t="n"/>
      <c r="L259" s="68" t="n"/>
      <c r="M259" s="59">
        <f>IF(OR(L259="",K259=""),"",MAX(L259-K259,0))</f>
        <v/>
      </c>
      <c r="N259" s="59">
        <f>IF(M259="","",IF(N(J259)=0,1,J259))</f>
        <v/>
      </c>
    </row>
    <row r="260">
      <c r="A260" s="53" t="n">
        <v>240</v>
      </c>
      <c r="B260" s="67" t="n"/>
      <c r="C260" s="55" t="n"/>
      <c r="D260" s="68" t="n"/>
      <c r="E260" s="68" t="n"/>
      <c r="F260" s="59">
        <f>IF(OR(E260="",D260=""),"",MAX(E260-D260,0))</f>
        <v/>
      </c>
      <c r="G260" s="59">
        <f>IF(F260="","",IF(N(C260)=0,1,C260))</f>
        <v/>
      </c>
      <c r="H260" s="53" t="n">
        <v>240</v>
      </c>
      <c r="I260" s="67" t="n"/>
      <c r="J260" s="55" t="n"/>
      <c r="K260" s="68" t="n"/>
      <c r="L260" s="68" t="n"/>
      <c r="M260" s="59">
        <f>IF(OR(L260="",K260=""),"",MAX(L260-K260,0))</f>
        <v/>
      </c>
      <c r="N260" s="59">
        <f>IF(M260="","",IF(N(J260)=0,1,J260))</f>
        <v/>
      </c>
    </row>
    <row r="261">
      <c r="A261" s="53" t="n">
        <v>241</v>
      </c>
      <c r="B261" s="67" t="n"/>
      <c r="C261" s="55" t="n"/>
      <c r="D261" s="68" t="n"/>
      <c r="E261" s="68" t="n"/>
      <c r="F261" s="59">
        <f>IF(OR(E261="",D261=""),"",MAX(E261-D261,0))</f>
        <v/>
      </c>
      <c r="G261" s="59">
        <f>IF(F261="","",IF(N(C261)=0,1,C261))</f>
        <v/>
      </c>
      <c r="H261" s="53" t="n">
        <v>241</v>
      </c>
      <c r="I261" s="67" t="n"/>
      <c r="J261" s="55" t="n"/>
      <c r="K261" s="68" t="n"/>
      <c r="L261" s="68" t="n"/>
      <c r="M261" s="59">
        <f>IF(OR(L261="",K261=""),"",MAX(L261-K261,0))</f>
        <v/>
      </c>
      <c r="N261" s="59">
        <f>IF(M261="","",IF(N(J261)=0,1,J261))</f>
        <v/>
      </c>
    </row>
    <row r="262">
      <c r="A262" s="53" t="n">
        <v>242</v>
      </c>
      <c r="B262" s="67" t="n"/>
      <c r="C262" s="55" t="n"/>
      <c r="D262" s="68" t="n"/>
      <c r="E262" s="68" t="n"/>
      <c r="F262" s="59">
        <f>IF(OR(E262="",D262=""),"",MAX(E262-D262,0))</f>
        <v/>
      </c>
      <c r="G262" s="59">
        <f>IF(F262="","",IF(N(C262)=0,1,C262))</f>
        <v/>
      </c>
      <c r="H262" s="53" t="n">
        <v>242</v>
      </c>
      <c r="I262" s="67" t="n"/>
      <c r="J262" s="55" t="n"/>
      <c r="K262" s="68" t="n"/>
      <c r="L262" s="68" t="n"/>
      <c r="M262" s="59">
        <f>IF(OR(L262="",K262=""),"",MAX(L262-K262,0))</f>
        <v/>
      </c>
      <c r="N262" s="59">
        <f>IF(M262="","",IF(N(J262)=0,1,J262))</f>
        <v/>
      </c>
    </row>
    <row r="263">
      <c r="A263" s="53" t="n">
        <v>243</v>
      </c>
      <c r="B263" s="67" t="n"/>
      <c r="C263" s="55" t="n"/>
      <c r="D263" s="68" t="n"/>
      <c r="E263" s="68" t="n"/>
      <c r="F263" s="59">
        <f>IF(OR(E263="",D263=""),"",MAX(E263-D263,0))</f>
        <v/>
      </c>
      <c r="G263" s="59">
        <f>IF(F263="","",IF(N(C263)=0,1,C263))</f>
        <v/>
      </c>
      <c r="H263" s="53" t="n">
        <v>243</v>
      </c>
      <c r="I263" s="67" t="n"/>
      <c r="J263" s="55" t="n"/>
      <c r="K263" s="68" t="n"/>
      <c r="L263" s="68" t="n"/>
      <c r="M263" s="59">
        <f>IF(OR(L263="",K263=""),"",MAX(L263-K263,0))</f>
        <v/>
      </c>
      <c r="N263" s="59">
        <f>IF(M263="","",IF(N(J263)=0,1,J263))</f>
        <v/>
      </c>
    </row>
    <row r="264">
      <c r="A264" s="53" t="n">
        <v>244</v>
      </c>
      <c r="B264" s="67" t="n"/>
      <c r="C264" s="55" t="n"/>
      <c r="D264" s="68" t="n"/>
      <c r="E264" s="68" t="n"/>
      <c r="F264" s="59">
        <f>IF(OR(E264="",D264=""),"",MAX(E264-D264,0))</f>
        <v/>
      </c>
      <c r="G264" s="59">
        <f>IF(F264="","",IF(N(C264)=0,1,C264))</f>
        <v/>
      </c>
      <c r="H264" s="53" t="n">
        <v>244</v>
      </c>
      <c r="I264" s="67" t="n"/>
      <c r="J264" s="55" t="n"/>
      <c r="K264" s="68" t="n"/>
      <c r="L264" s="68" t="n"/>
      <c r="M264" s="59">
        <f>IF(OR(L264="",K264=""),"",MAX(L264-K264,0))</f>
        <v/>
      </c>
      <c r="N264" s="59">
        <f>IF(M264="","",IF(N(J264)=0,1,J264))</f>
        <v/>
      </c>
    </row>
    <row r="265">
      <c r="A265" s="53" t="n">
        <v>245</v>
      </c>
      <c r="B265" s="67" t="n"/>
      <c r="C265" s="55" t="n"/>
      <c r="D265" s="68" t="n"/>
      <c r="E265" s="68" t="n"/>
      <c r="F265" s="59">
        <f>IF(OR(E265="",D265=""),"",MAX(E265-D265,0))</f>
        <v/>
      </c>
      <c r="G265" s="59">
        <f>IF(F265="","",IF(N(C265)=0,1,C265))</f>
        <v/>
      </c>
      <c r="H265" s="53" t="n">
        <v>245</v>
      </c>
      <c r="I265" s="67" t="n"/>
      <c r="J265" s="55" t="n"/>
      <c r="K265" s="68" t="n"/>
      <c r="L265" s="68" t="n"/>
      <c r="M265" s="59">
        <f>IF(OR(L265="",K265=""),"",MAX(L265-K265,0))</f>
        <v/>
      </c>
      <c r="N265" s="59">
        <f>IF(M265="","",IF(N(J265)=0,1,J265))</f>
        <v/>
      </c>
    </row>
    <row r="266">
      <c r="A266" s="53" t="n">
        <v>246</v>
      </c>
      <c r="B266" s="67" t="n"/>
      <c r="C266" s="55" t="n"/>
      <c r="D266" s="68" t="n"/>
      <c r="E266" s="68" t="n"/>
      <c r="F266" s="59">
        <f>IF(OR(E266="",D266=""),"",MAX(E266-D266,0))</f>
        <v/>
      </c>
      <c r="G266" s="59">
        <f>IF(F266="","",IF(N(C266)=0,1,C266))</f>
        <v/>
      </c>
      <c r="H266" s="53" t="n">
        <v>246</v>
      </c>
      <c r="I266" s="67" t="n"/>
      <c r="J266" s="55" t="n"/>
      <c r="K266" s="68" t="n"/>
      <c r="L266" s="68" t="n"/>
      <c r="M266" s="59">
        <f>IF(OR(L266="",K266=""),"",MAX(L266-K266,0))</f>
        <v/>
      </c>
      <c r="N266" s="59">
        <f>IF(M266="","",IF(N(J266)=0,1,J266))</f>
        <v/>
      </c>
    </row>
    <row r="267">
      <c r="A267" s="53" t="n">
        <v>247</v>
      </c>
      <c r="B267" s="67" t="n"/>
      <c r="C267" s="55" t="n"/>
      <c r="D267" s="68" t="n"/>
      <c r="E267" s="68" t="n"/>
      <c r="F267" s="59">
        <f>IF(OR(E267="",D267=""),"",MAX(E267-D267,0))</f>
        <v/>
      </c>
      <c r="G267" s="59">
        <f>IF(F267="","",IF(N(C267)=0,1,C267))</f>
        <v/>
      </c>
      <c r="H267" s="53" t="n">
        <v>247</v>
      </c>
      <c r="I267" s="67" t="n"/>
      <c r="J267" s="55" t="n"/>
      <c r="K267" s="68" t="n"/>
      <c r="L267" s="68" t="n"/>
      <c r="M267" s="59">
        <f>IF(OR(L267="",K267=""),"",MAX(L267-K267,0))</f>
        <v/>
      </c>
      <c r="N267" s="59">
        <f>IF(M267="","",IF(N(J267)=0,1,J267))</f>
        <v/>
      </c>
    </row>
    <row r="268">
      <c r="A268" s="53" t="n">
        <v>248</v>
      </c>
      <c r="B268" s="67" t="n"/>
      <c r="C268" s="55" t="n"/>
      <c r="D268" s="68" t="n"/>
      <c r="E268" s="68" t="n"/>
      <c r="F268" s="59">
        <f>IF(OR(E268="",D268=""),"",MAX(E268-D268,0))</f>
        <v/>
      </c>
      <c r="G268" s="59">
        <f>IF(F268="","",IF(N(C268)=0,1,C268))</f>
        <v/>
      </c>
      <c r="H268" s="53" t="n">
        <v>248</v>
      </c>
      <c r="I268" s="67" t="n"/>
      <c r="J268" s="55" t="n"/>
      <c r="K268" s="68" t="n"/>
      <c r="L268" s="68" t="n"/>
      <c r="M268" s="59">
        <f>IF(OR(L268="",K268=""),"",MAX(L268-K268,0))</f>
        <v/>
      </c>
      <c r="N268" s="59">
        <f>IF(M268="","",IF(N(J268)=0,1,J268))</f>
        <v/>
      </c>
    </row>
    <row r="269">
      <c r="A269" s="53" t="n">
        <v>249</v>
      </c>
      <c r="B269" s="67" t="n"/>
      <c r="C269" s="55" t="n"/>
      <c r="D269" s="68" t="n"/>
      <c r="E269" s="68" t="n"/>
      <c r="F269" s="59">
        <f>IF(OR(E269="",D269=""),"",MAX(E269-D269,0))</f>
        <v/>
      </c>
      <c r="G269" s="59">
        <f>IF(F269="","",IF(N(C269)=0,1,C269))</f>
        <v/>
      </c>
      <c r="H269" s="53" t="n">
        <v>249</v>
      </c>
      <c r="I269" s="67" t="n"/>
      <c r="J269" s="55" t="n"/>
      <c r="K269" s="68" t="n"/>
      <c r="L269" s="68" t="n"/>
      <c r="M269" s="59">
        <f>IF(OR(L269="",K269=""),"",MAX(L269-K269,0))</f>
        <v/>
      </c>
      <c r="N269" s="59">
        <f>IF(M269="","",IF(N(J269)=0,1,J269))</f>
        <v/>
      </c>
    </row>
    <row r="270">
      <c r="A270" s="53" t="n">
        <v>250</v>
      </c>
      <c r="B270" s="67" t="n"/>
      <c r="C270" s="55" t="n"/>
      <c r="D270" s="68" t="n"/>
      <c r="E270" s="68" t="n"/>
      <c r="F270" s="59">
        <f>IF(OR(E270="",D270=""),"",MAX(E270-D270,0))</f>
        <v/>
      </c>
      <c r="G270" s="59">
        <f>IF(F270="","",IF(N(C270)=0,1,C270))</f>
        <v/>
      </c>
      <c r="H270" s="53" t="n">
        <v>250</v>
      </c>
      <c r="I270" s="67" t="n"/>
      <c r="J270" s="55" t="n"/>
      <c r="K270" s="68" t="n"/>
      <c r="L270" s="68" t="n"/>
      <c r="M270" s="59">
        <f>IF(OR(L270="",K270=""),"",MAX(L270-K270,0))</f>
        <v/>
      </c>
      <c r="N270" s="59">
        <f>IF(M270="","",IF(N(J270)=0,1,J270))</f>
        <v/>
      </c>
    </row>
    <row r="271">
      <c r="A271" s="53" t="n">
        <v>251</v>
      </c>
      <c r="B271" s="67" t="n"/>
      <c r="C271" s="55" t="n"/>
      <c r="D271" s="68" t="n"/>
      <c r="E271" s="68" t="n"/>
      <c r="F271" s="59">
        <f>IF(OR(E271="",D271=""),"",MAX(E271-D271,0))</f>
        <v/>
      </c>
      <c r="G271" s="59">
        <f>IF(F271="","",IF(N(C271)=0,1,C271))</f>
        <v/>
      </c>
      <c r="H271" s="53" t="n">
        <v>251</v>
      </c>
      <c r="I271" s="67" t="n"/>
      <c r="J271" s="55" t="n"/>
      <c r="K271" s="68" t="n"/>
      <c r="L271" s="68" t="n"/>
      <c r="M271" s="59">
        <f>IF(OR(L271="",K271=""),"",MAX(L271-K271,0))</f>
        <v/>
      </c>
      <c r="N271" s="59">
        <f>IF(M271="","",IF(N(J271)=0,1,J271))</f>
        <v/>
      </c>
    </row>
    <row r="272">
      <c r="A272" s="53" t="n">
        <v>252</v>
      </c>
      <c r="B272" s="67" t="n"/>
      <c r="C272" s="55" t="n"/>
      <c r="D272" s="68" t="n"/>
      <c r="E272" s="68" t="n"/>
      <c r="F272" s="59">
        <f>IF(OR(E272="",D272=""),"",MAX(E272-D272,0))</f>
        <v/>
      </c>
      <c r="G272" s="59">
        <f>IF(F272="","",IF(N(C272)=0,1,C272))</f>
        <v/>
      </c>
      <c r="H272" s="53" t="n">
        <v>252</v>
      </c>
      <c r="I272" s="67" t="n"/>
      <c r="J272" s="55" t="n"/>
      <c r="K272" s="68" t="n"/>
      <c r="L272" s="68" t="n"/>
      <c r="M272" s="59">
        <f>IF(OR(L272="",K272=""),"",MAX(L272-K272,0))</f>
        <v/>
      </c>
      <c r="N272" s="59">
        <f>IF(M272="","",IF(N(J272)=0,1,J272))</f>
        <v/>
      </c>
    </row>
    <row r="273">
      <c r="A273" s="53" t="n">
        <v>253</v>
      </c>
      <c r="B273" s="67" t="n"/>
      <c r="C273" s="55" t="n"/>
      <c r="D273" s="68" t="n"/>
      <c r="E273" s="68" t="n"/>
      <c r="F273" s="59">
        <f>IF(OR(E273="",D273=""),"",MAX(E273-D273,0))</f>
        <v/>
      </c>
      <c r="G273" s="59">
        <f>IF(F273="","",IF(N(C273)=0,1,C273))</f>
        <v/>
      </c>
      <c r="H273" s="53" t="n">
        <v>253</v>
      </c>
      <c r="I273" s="67" t="n"/>
      <c r="J273" s="55" t="n"/>
      <c r="K273" s="68" t="n"/>
      <c r="L273" s="68" t="n"/>
      <c r="M273" s="59">
        <f>IF(OR(L273="",K273=""),"",MAX(L273-K273,0))</f>
        <v/>
      </c>
      <c r="N273" s="59">
        <f>IF(M273="","",IF(N(J273)=0,1,J273))</f>
        <v/>
      </c>
    </row>
    <row r="274">
      <c r="A274" s="53" t="n">
        <v>254</v>
      </c>
      <c r="B274" s="67" t="n"/>
      <c r="C274" s="55" t="n"/>
      <c r="D274" s="68" t="n"/>
      <c r="E274" s="68" t="n"/>
      <c r="F274" s="59">
        <f>IF(OR(E274="",D274=""),"",MAX(E274-D274,0))</f>
        <v/>
      </c>
      <c r="G274" s="59">
        <f>IF(F274="","",IF(N(C274)=0,1,C274))</f>
        <v/>
      </c>
      <c r="H274" s="53" t="n">
        <v>254</v>
      </c>
      <c r="I274" s="67" t="n"/>
      <c r="J274" s="55" t="n"/>
      <c r="K274" s="68" t="n"/>
      <c r="L274" s="68" t="n"/>
      <c r="M274" s="59">
        <f>IF(OR(L274="",K274=""),"",MAX(L274-K274,0))</f>
        <v/>
      </c>
      <c r="N274" s="59">
        <f>IF(M274="","",IF(N(J274)=0,1,J274))</f>
        <v/>
      </c>
    </row>
    <row r="275">
      <c r="A275" s="53" t="n">
        <v>255</v>
      </c>
      <c r="B275" s="67" t="n"/>
      <c r="C275" s="55" t="n"/>
      <c r="D275" s="68" t="n"/>
      <c r="E275" s="68" t="n"/>
      <c r="F275" s="59">
        <f>IF(OR(E275="",D275=""),"",MAX(E275-D275,0))</f>
        <v/>
      </c>
      <c r="G275" s="59">
        <f>IF(F275="","",IF(N(C275)=0,1,C275))</f>
        <v/>
      </c>
      <c r="H275" s="53" t="n">
        <v>255</v>
      </c>
      <c r="I275" s="67" t="n"/>
      <c r="J275" s="55" t="n"/>
      <c r="K275" s="68" t="n"/>
      <c r="L275" s="68" t="n"/>
      <c r="M275" s="59">
        <f>IF(OR(L275="",K275=""),"",MAX(L275-K275,0))</f>
        <v/>
      </c>
      <c r="N275" s="59">
        <f>IF(M275="","",IF(N(J275)=0,1,J275))</f>
        <v/>
      </c>
    </row>
    <row r="276">
      <c r="A276" s="53" t="n">
        <v>256</v>
      </c>
      <c r="B276" s="67" t="n"/>
      <c r="C276" s="55" t="n"/>
      <c r="D276" s="68" t="n"/>
      <c r="E276" s="68" t="n"/>
      <c r="F276" s="59">
        <f>IF(OR(E276="",D276=""),"",MAX(E276-D276,0))</f>
        <v/>
      </c>
      <c r="G276" s="59">
        <f>IF(F276="","",IF(N(C276)=0,1,C276))</f>
        <v/>
      </c>
      <c r="H276" s="53" t="n">
        <v>256</v>
      </c>
      <c r="I276" s="67" t="n"/>
      <c r="J276" s="55" t="n"/>
      <c r="K276" s="68" t="n"/>
      <c r="L276" s="68" t="n"/>
      <c r="M276" s="59">
        <f>IF(OR(L276="",K276=""),"",MAX(L276-K276,0))</f>
        <v/>
      </c>
      <c r="N276" s="59">
        <f>IF(M276="","",IF(N(J276)=0,1,J276))</f>
        <v/>
      </c>
    </row>
    <row r="277">
      <c r="A277" s="53" t="n">
        <v>257</v>
      </c>
      <c r="B277" s="67" t="n"/>
      <c r="C277" s="55" t="n"/>
      <c r="D277" s="68" t="n"/>
      <c r="E277" s="68" t="n"/>
      <c r="F277" s="59">
        <f>IF(OR(E277="",D277=""),"",MAX(E277-D277,0))</f>
        <v/>
      </c>
      <c r="G277" s="59">
        <f>IF(F277="","",IF(N(C277)=0,1,C277))</f>
        <v/>
      </c>
      <c r="H277" s="53" t="n">
        <v>257</v>
      </c>
      <c r="I277" s="67" t="n"/>
      <c r="J277" s="55" t="n"/>
      <c r="K277" s="68" t="n"/>
      <c r="L277" s="68" t="n"/>
      <c r="M277" s="59">
        <f>IF(OR(L277="",K277=""),"",MAX(L277-K277,0))</f>
        <v/>
      </c>
      <c r="N277" s="59">
        <f>IF(M277="","",IF(N(J277)=0,1,J277))</f>
        <v/>
      </c>
    </row>
    <row r="278">
      <c r="A278" s="53" t="n">
        <v>258</v>
      </c>
      <c r="B278" s="67" t="n"/>
      <c r="C278" s="55" t="n"/>
      <c r="D278" s="68" t="n"/>
      <c r="E278" s="68" t="n"/>
      <c r="F278" s="59">
        <f>IF(OR(E278="",D278=""),"",MAX(E278-D278,0))</f>
        <v/>
      </c>
      <c r="G278" s="59">
        <f>IF(F278="","",IF(N(C278)=0,1,C278))</f>
        <v/>
      </c>
      <c r="H278" s="53" t="n">
        <v>258</v>
      </c>
      <c r="I278" s="67" t="n"/>
      <c r="J278" s="55" t="n"/>
      <c r="K278" s="68" t="n"/>
      <c r="L278" s="68" t="n"/>
      <c r="M278" s="59">
        <f>IF(OR(L278="",K278=""),"",MAX(L278-K278,0))</f>
        <v/>
      </c>
      <c r="N278" s="59">
        <f>IF(M278="","",IF(N(J278)=0,1,J278))</f>
        <v/>
      </c>
    </row>
    <row r="279">
      <c r="A279" s="53" t="n">
        <v>259</v>
      </c>
      <c r="B279" s="67" t="n"/>
      <c r="C279" s="55" t="n"/>
      <c r="D279" s="68" t="n"/>
      <c r="E279" s="68" t="n"/>
      <c r="F279" s="59">
        <f>IF(OR(E279="",D279=""),"",MAX(E279-D279,0))</f>
        <v/>
      </c>
      <c r="G279" s="59">
        <f>IF(F279="","",IF(N(C279)=0,1,C279))</f>
        <v/>
      </c>
      <c r="H279" s="53" t="n">
        <v>259</v>
      </c>
      <c r="I279" s="67" t="n"/>
      <c r="J279" s="55" t="n"/>
      <c r="K279" s="68" t="n"/>
      <c r="L279" s="68" t="n"/>
      <c r="M279" s="59">
        <f>IF(OR(L279="",K279=""),"",MAX(L279-K279,0))</f>
        <v/>
      </c>
      <c r="N279" s="59">
        <f>IF(M279="","",IF(N(J279)=0,1,J279))</f>
        <v/>
      </c>
    </row>
    <row r="280">
      <c r="A280" s="53" t="n">
        <v>260</v>
      </c>
      <c r="B280" s="67" t="n"/>
      <c r="C280" s="55" t="n"/>
      <c r="D280" s="68" t="n"/>
      <c r="E280" s="68" t="n"/>
      <c r="F280" s="59">
        <f>IF(OR(E280="",D280=""),"",MAX(E280-D280,0))</f>
        <v/>
      </c>
      <c r="G280" s="59">
        <f>IF(F280="","",IF(N(C280)=0,1,C280))</f>
        <v/>
      </c>
      <c r="H280" s="53" t="n">
        <v>260</v>
      </c>
      <c r="I280" s="67" t="n"/>
      <c r="J280" s="55" t="n"/>
      <c r="K280" s="68" t="n"/>
      <c r="L280" s="68" t="n"/>
      <c r="M280" s="59">
        <f>IF(OR(L280="",K280=""),"",MAX(L280-K280,0))</f>
        <v/>
      </c>
      <c r="N280" s="59">
        <f>IF(M280="","",IF(N(J280)=0,1,J280))</f>
        <v/>
      </c>
    </row>
    <row r="281">
      <c r="A281" s="53" t="n">
        <v>261</v>
      </c>
      <c r="B281" s="67" t="n"/>
      <c r="C281" s="55" t="n"/>
      <c r="D281" s="68" t="n"/>
      <c r="E281" s="68" t="n"/>
      <c r="F281" s="59">
        <f>IF(OR(E281="",D281=""),"",MAX(E281-D281,0))</f>
        <v/>
      </c>
      <c r="G281" s="59">
        <f>IF(F281="","",IF(N(C281)=0,1,C281))</f>
        <v/>
      </c>
      <c r="H281" s="53" t="n">
        <v>261</v>
      </c>
      <c r="I281" s="67" t="n"/>
      <c r="J281" s="55" t="n"/>
      <c r="K281" s="68" t="n"/>
      <c r="L281" s="68" t="n"/>
      <c r="M281" s="59">
        <f>IF(OR(L281="",K281=""),"",MAX(L281-K281,0))</f>
        <v/>
      </c>
      <c r="N281" s="59">
        <f>IF(M281="","",IF(N(J281)=0,1,J281))</f>
        <v/>
      </c>
    </row>
    <row r="282">
      <c r="A282" s="53" t="n">
        <v>262</v>
      </c>
      <c r="B282" s="67" t="n"/>
      <c r="C282" s="55" t="n"/>
      <c r="D282" s="68" t="n"/>
      <c r="E282" s="68" t="n"/>
      <c r="F282" s="59">
        <f>IF(OR(E282="",D282=""),"",MAX(E282-D282,0))</f>
        <v/>
      </c>
      <c r="G282" s="59">
        <f>IF(F282="","",IF(N(C282)=0,1,C282))</f>
        <v/>
      </c>
      <c r="H282" s="53" t="n">
        <v>262</v>
      </c>
      <c r="I282" s="67" t="n"/>
      <c r="J282" s="55" t="n"/>
      <c r="K282" s="68" t="n"/>
      <c r="L282" s="68" t="n"/>
      <c r="M282" s="59">
        <f>IF(OR(L282="",K282=""),"",MAX(L282-K282,0))</f>
        <v/>
      </c>
      <c r="N282" s="59">
        <f>IF(M282="","",IF(N(J282)=0,1,J282))</f>
        <v/>
      </c>
    </row>
    <row r="283">
      <c r="A283" s="53" t="n">
        <v>263</v>
      </c>
      <c r="B283" s="67" t="n"/>
      <c r="C283" s="55" t="n"/>
      <c r="D283" s="68" t="n"/>
      <c r="E283" s="68" t="n"/>
      <c r="F283" s="59">
        <f>IF(OR(E283="",D283=""),"",MAX(E283-D283,0))</f>
        <v/>
      </c>
      <c r="G283" s="59">
        <f>IF(F283="","",IF(N(C283)=0,1,C283))</f>
        <v/>
      </c>
      <c r="H283" s="53" t="n">
        <v>263</v>
      </c>
      <c r="I283" s="67" t="n"/>
      <c r="J283" s="55" t="n"/>
      <c r="K283" s="68" t="n"/>
      <c r="L283" s="68" t="n"/>
      <c r="M283" s="59">
        <f>IF(OR(L283="",K283=""),"",MAX(L283-K283,0))</f>
        <v/>
      </c>
      <c r="N283" s="59">
        <f>IF(M283="","",IF(N(J283)=0,1,J283))</f>
        <v/>
      </c>
    </row>
    <row r="284">
      <c r="A284" s="53" t="n">
        <v>264</v>
      </c>
      <c r="B284" s="67" t="n"/>
      <c r="C284" s="55" t="n"/>
      <c r="D284" s="68" t="n"/>
      <c r="E284" s="68" t="n"/>
      <c r="F284" s="59">
        <f>IF(OR(E284="",D284=""),"",MAX(E284-D284,0))</f>
        <v/>
      </c>
      <c r="G284" s="59">
        <f>IF(F284="","",IF(N(C284)=0,1,C284))</f>
        <v/>
      </c>
      <c r="H284" s="53" t="n">
        <v>264</v>
      </c>
      <c r="I284" s="67" t="n"/>
      <c r="J284" s="55" t="n"/>
      <c r="K284" s="68" t="n"/>
      <c r="L284" s="68" t="n"/>
      <c r="M284" s="59">
        <f>IF(OR(L284="",K284=""),"",MAX(L284-K284,0))</f>
        <v/>
      </c>
      <c r="N284" s="59">
        <f>IF(M284="","",IF(N(J284)=0,1,J284))</f>
        <v/>
      </c>
    </row>
    <row r="285">
      <c r="A285" s="53" t="n">
        <v>265</v>
      </c>
      <c r="B285" s="67" t="n"/>
      <c r="C285" s="55" t="n"/>
      <c r="D285" s="68" t="n"/>
      <c r="E285" s="68" t="n"/>
      <c r="F285" s="59">
        <f>IF(OR(E285="",D285=""),"",MAX(E285-D285,0))</f>
        <v/>
      </c>
      <c r="G285" s="59">
        <f>IF(F285="","",IF(N(C285)=0,1,C285))</f>
        <v/>
      </c>
      <c r="H285" s="53" t="n">
        <v>265</v>
      </c>
      <c r="I285" s="67" t="n"/>
      <c r="J285" s="55" t="n"/>
      <c r="K285" s="68" t="n"/>
      <c r="L285" s="68" t="n"/>
      <c r="M285" s="59">
        <f>IF(OR(L285="",K285=""),"",MAX(L285-K285,0))</f>
        <v/>
      </c>
      <c r="N285" s="59">
        <f>IF(M285="","",IF(N(J285)=0,1,J285))</f>
        <v/>
      </c>
    </row>
    <row r="286">
      <c r="A286" s="53" t="n">
        <v>266</v>
      </c>
      <c r="B286" s="67" t="n"/>
      <c r="C286" s="55" t="n"/>
      <c r="D286" s="68" t="n"/>
      <c r="E286" s="68" t="n"/>
      <c r="F286" s="59">
        <f>IF(OR(E286="",D286=""),"",MAX(E286-D286,0))</f>
        <v/>
      </c>
      <c r="G286" s="59">
        <f>IF(F286="","",IF(N(C286)=0,1,C286))</f>
        <v/>
      </c>
      <c r="H286" s="53" t="n">
        <v>266</v>
      </c>
      <c r="I286" s="67" t="n"/>
      <c r="J286" s="55" t="n"/>
      <c r="K286" s="68" t="n"/>
      <c r="L286" s="68" t="n"/>
      <c r="M286" s="59">
        <f>IF(OR(L286="",K286=""),"",MAX(L286-K286,0))</f>
        <v/>
      </c>
      <c r="N286" s="59">
        <f>IF(M286="","",IF(N(J286)=0,1,J286))</f>
        <v/>
      </c>
    </row>
    <row r="287">
      <c r="A287" s="53" t="n">
        <v>267</v>
      </c>
      <c r="B287" s="67" t="n"/>
      <c r="C287" s="55" t="n"/>
      <c r="D287" s="68" t="n"/>
      <c r="E287" s="68" t="n"/>
      <c r="F287" s="59">
        <f>IF(OR(E287="",D287=""),"",MAX(E287-D287,0))</f>
        <v/>
      </c>
      <c r="G287" s="59">
        <f>IF(F287="","",IF(N(C287)=0,1,C287))</f>
        <v/>
      </c>
      <c r="H287" s="53" t="n">
        <v>267</v>
      </c>
      <c r="I287" s="67" t="n"/>
      <c r="J287" s="55" t="n"/>
      <c r="K287" s="68" t="n"/>
      <c r="L287" s="68" t="n"/>
      <c r="M287" s="59">
        <f>IF(OR(L287="",K287=""),"",MAX(L287-K287,0))</f>
        <v/>
      </c>
      <c r="N287" s="59">
        <f>IF(M287="","",IF(N(J287)=0,1,J287))</f>
        <v/>
      </c>
    </row>
    <row r="288">
      <c r="A288" s="53" t="n">
        <v>268</v>
      </c>
      <c r="B288" s="67" t="n"/>
      <c r="C288" s="55" t="n"/>
      <c r="D288" s="68" t="n"/>
      <c r="E288" s="68" t="n"/>
      <c r="F288" s="59">
        <f>IF(OR(E288="",D288=""),"",MAX(E288-D288,0))</f>
        <v/>
      </c>
      <c r="G288" s="59">
        <f>IF(F288="","",IF(N(C288)=0,1,C288))</f>
        <v/>
      </c>
      <c r="H288" s="53" t="n">
        <v>268</v>
      </c>
      <c r="I288" s="67" t="n"/>
      <c r="J288" s="55" t="n"/>
      <c r="K288" s="68" t="n"/>
      <c r="L288" s="68" t="n"/>
      <c r="M288" s="59">
        <f>IF(OR(L288="",K288=""),"",MAX(L288-K288,0))</f>
        <v/>
      </c>
      <c r="N288" s="59">
        <f>IF(M288="","",IF(N(J288)=0,1,J288))</f>
        <v/>
      </c>
    </row>
    <row r="289">
      <c r="A289" s="53" t="n">
        <v>269</v>
      </c>
      <c r="B289" s="67" t="n"/>
      <c r="C289" s="55" t="n"/>
      <c r="D289" s="68" t="n"/>
      <c r="E289" s="68" t="n"/>
      <c r="F289" s="59">
        <f>IF(OR(E289="",D289=""),"",MAX(E289-D289,0))</f>
        <v/>
      </c>
      <c r="G289" s="59">
        <f>IF(F289="","",IF(N(C289)=0,1,C289))</f>
        <v/>
      </c>
      <c r="H289" s="53" t="n">
        <v>269</v>
      </c>
      <c r="I289" s="67" t="n"/>
      <c r="J289" s="55" t="n"/>
      <c r="K289" s="68" t="n"/>
      <c r="L289" s="68" t="n"/>
      <c r="M289" s="59">
        <f>IF(OR(L289="",K289=""),"",MAX(L289-K289,0))</f>
        <v/>
      </c>
      <c r="N289" s="59">
        <f>IF(M289="","",IF(N(J289)=0,1,J289))</f>
        <v/>
      </c>
    </row>
    <row r="290">
      <c r="A290" s="53" t="n">
        <v>270</v>
      </c>
      <c r="B290" s="67" t="n"/>
      <c r="C290" s="55" t="n"/>
      <c r="D290" s="68" t="n"/>
      <c r="E290" s="68" t="n"/>
      <c r="F290" s="59">
        <f>IF(OR(E290="",D290=""),"",MAX(E290-D290,0))</f>
        <v/>
      </c>
      <c r="G290" s="59">
        <f>IF(F290="","",IF(N(C290)=0,1,C290))</f>
        <v/>
      </c>
      <c r="H290" s="53" t="n">
        <v>270</v>
      </c>
      <c r="I290" s="67" t="n"/>
      <c r="J290" s="55" t="n"/>
      <c r="K290" s="68" t="n"/>
      <c r="L290" s="68" t="n"/>
      <c r="M290" s="59">
        <f>IF(OR(L290="",K290=""),"",MAX(L290-K290,0))</f>
        <v/>
      </c>
      <c r="N290" s="59">
        <f>IF(M290="","",IF(N(J290)=0,1,J290))</f>
        <v/>
      </c>
    </row>
    <row r="291">
      <c r="A291" s="53" t="n">
        <v>271</v>
      </c>
      <c r="B291" s="67" t="n"/>
      <c r="C291" s="55" t="n"/>
      <c r="D291" s="68" t="n"/>
      <c r="E291" s="68" t="n"/>
      <c r="F291" s="59">
        <f>IF(OR(E291="",D291=""),"",MAX(E291-D291,0))</f>
        <v/>
      </c>
      <c r="G291" s="59">
        <f>IF(F291="","",IF(N(C291)=0,1,C291))</f>
        <v/>
      </c>
      <c r="H291" s="53" t="n">
        <v>271</v>
      </c>
      <c r="I291" s="67" t="n"/>
      <c r="J291" s="55" t="n"/>
      <c r="K291" s="68" t="n"/>
      <c r="L291" s="68" t="n"/>
      <c r="M291" s="59">
        <f>IF(OR(L291="",K291=""),"",MAX(L291-K291,0))</f>
        <v/>
      </c>
      <c r="N291" s="59">
        <f>IF(M291="","",IF(N(J291)=0,1,J291))</f>
        <v/>
      </c>
    </row>
    <row r="292">
      <c r="A292" s="53" t="n">
        <v>272</v>
      </c>
      <c r="B292" s="67" t="n"/>
      <c r="C292" s="55" t="n"/>
      <c r="D292" s="68" t="n"/>
      <c r="E292" s="68" t="n"/>
      <c r="F292" s="59">
        <f>IF(OR(E292="",D292=""),"",MAX(E292-D292,0))</f>
        <v/>
      </c>
      <c r="G292" s="59">
        <f>IF(F292="","",IF(N(C292)=0,1,C292))</f>
        <v/>
      </c>
      <c r="H292" s="53" t="n">
        <v>272</v>
      </c>
      <c r="I292" s="67" t="n"/>
      <c r="J292" s="55" t="n"/>
      <c r="K292" s="68" t="n"/>
      <c r="L292" s="68" t="n"/>
      <c r="M292" s="59">
        <f>IF(OR(L292="",K292=""),"",MAX(L292-K292,0))</f>
        <v/>
      </c>
      <c r="N292" s="59">
        <f>IF(M292="","",IF(N(J292)=0,1,J292))</f>
        <v/>
      </c>
    </row>
    <row r="293">
      <c r="A293" s="53" t="n">
        <v>273</v>
      </c>
      <c r="B293" s="67" t="n"/>
      <c r="C293" s="55" t="n"/>
      <c r="D293" s="68" t="n"/>
      <c r="E293" s="68" t="n"/>
      <c r="F293" s="59">
        <f>IF(OR(E293="",D293=""),"",MAX(E293-D293,0))</f>
        <v/>
      </c>
      <c r="G293" s="59">
        <f>IF(F293="","",IF(N(C293)=0,1,C293))</f>
        <v/>
      </c>
      <c r="H293" s="53" t="n">
        <v>273</v>
      </c>
      <c r="I293" s="67" t="n"/>
      <c r="J293" s="55" t="n"/>
      <c r="K293" s="68" t="n"/>
      <c r="L293" s="68" t="n"/>
      <c r="M293" s="59">
        <f>IF(OR(L293="",K293=""),"",MAX(L293-K293,0))</f>
        <v/>
      </c>
      <c r="N293" s="59">
        <f>IF(M293="","",IF(N(J293)=0,1,J293))</f>
        <v/>
      </c>
    </row>
    <row r="294">
      <c r="A294" s="53" t="n">
        <v>274</v>
      </c>
      <c r="B294" s="67" t="n"/>
      <c r="C294" s="55" t="n"/>
      <c r="D294" s="68" t="n"/>
      <c r="E294" s="68" t="n"/>
      <c r="F294" s="59">
        <f>IF(OR(E294="",D294=""),"",MAX(E294-D294,0))</f>
        <v/>
      </c>
      <c r="G294" s="59">
        <f>IF(F294="","",IF(N(C294)=0,1,C294))</f>
        <v/>
      </c>
      <c r="H294" s="53" t="n">
        <v>274</v>
      </c>
      <c r="I294" s="67" t="n"/>
      <c r="J294" s="55" t="n"/>
      <c r="K294" s="68" t="n"/>
      <c r="L294" s="68" t="n"/>
      <c r="M294" s="59">
        <f>IF(OR(L294="",K294=""),"",MAX(L294-K294,0))</f>
        <v/>
      </c>
      <c r="N294" s="59">
        <f>IF(M294="","",IF(N(J294)=0,1,J294))</f>
        <v/>
      </c>
    </row>
    <row r="295">
      <c r="A295" s="53" t="n">
        <v>275</v>
      </c>
      <c r="B295" s="67" t="n"/>
      <c r="C295" s="55" t="n"/>
      <c r="D295" s="68" t="n"/>
      <c r="E295" s="68" t="n"/>
      <c r="F295" s="59">
        <f>IF(OR(E295="",D295=""),"",MAX(E295-D295,0))</f>
        <v/>
      </c>
      <c r="G295" s="59">
        <f>IF(F295="","",IF(N(C295)=0,1,C295))</f>
        <v/>
      </c>
      <c r="H295" s="53" t="n">
        <v>275</v>
      </c>
      <c r="I295" s="67" t="n"/>
      <c r="J295" s="55" t="n"/>
      <c r="K295" s="68" t="n"/>
      <c r="L295" s="68" t="n"/>
      <c r="M295" s="59">
        <f>IF(OR(L295="",K295=""),"",MAX(L295-K295,0))</f>
        <v/>
      </c>
      <c r="N295" s="59">
        <f>IF(M295="","",IF(N(J295)=0,1,J295))</f>
        <v/>
      </c>
    </row>
    <row r="296">
      <c r="A296" s="53" t="n">
        <v>276</v>
      </c>
      <c r="B296" s="67" t="n"/>
      <c r="C296" s="55" t="n"/>
      <c r="D296" s="68" t="n"/>
      <c r="E296" s="68" t="n"/>
      <c r="F296" s="59">
        <f>IF(OR(E296="",D296=""),"",MAX(E296-D296,0))</f>
        <v/>
      </c>
      <c r="G296" s="59">
        <f>IF(F296="","",IF(N(C296)=0,1,C296))</f>
        <v/>
      </c>
      <c r="H296" s="53" t="n">
        <v>276</v>
      </c>
      <c r="I296" s="67" t="n"/>
      <c r="J296" s="55" t="n"/>
      <c r="K296" s="68" t="n"/>
      <c r="L296" s="68" t="n"/>
      <c r="M296" s="59">
        <f>IF(OR(L296="",K296=""),"",MAX(L296-K296,0))</f>
        <v/>
      </c>
      <c r="N296" s="59">
        <f>IF(M296="","",IF(N(J296)=0,1,J296))</f>
        <v/>
      </c>
    </row>
    <row r="297">
      <c r="A297" s="53" t="n">
        <v>277</v>
      </c>
      <c r="B297" s="67" t="n"/>
      <c r="C297" s="55" t="n"/>
      <c r="D297" s="68" t="n"/>
      <c r="E297" s="68" t="n"/>
      <c r="F297" s="59">
        <f>IF(OR(E297="",D297=""),"",MAX(E297-D297,0))</f>
        <v/>
      </c>
      <c r="G297" s="59">
        <f>IF(F297="","",IF(N(C297)=0,1,C297))</f>
        <v/>
      </c>
      <c r="H297" s="53" t="n">
        <v>277</v>
      </c>
      <c r="I297" s="67" t="n"/>
      <c r="J297" s="55" t="n"/>
      <c r="K297" s="68" t="n"/>
      <c r="L297" s="68" t="n"/>
      <c r="M297" s="59">
        <f>IF(OR(L297="",K297=""),"",MAX(L297-K297,0))</f>
        <v/>
      </c>
      <c r="N297" s="59">
        <f>IF(M297="","",IF(N(J297)=0,1,J297))</f>
        <v/>
      </c>
    </row>
    <row r="298">
      <c r="A298" s="53" t="n">
        <v>278</v>
      </c>
      <c r="B298" s="67" t="n"/>
      <c r="C298" s="55" t="n"/>
      <c r="D298" s="68" t="n"/>
      <c r="E298" s="68" t="n"/>
      <c r="F298" s="59">
        <f>IF(OR(E298="",D298=""),"",MAX(E298-D298,0))</f>
        <v/>
      </c>
      <c r="G298" s="59">
        <f>IF(F298="","",IF(N(C298)=0,1,C298))</f>
        <v/>
      </c>
      <c r="H298" s="53" t="n">
        <v>278</v>
      </c>
      <c r="I298" s="67" t="n"/>
      <c r="J298" s="55" t="n"/>
      <c r="K298" s="68" t="n"/>
      <c r="L298" s="68" t="n"/>
      <c r="M298" s="59">
        <f>IF(OR(L298="",K298=""),"",MAX(L298-K298,0))</f>
        <v/>
      </c>
      <c r="N298" s="59">
        <f>IF(M298="","",IF(N(J298)=0,1,J298))</f>
        <v/>
      </c>
    </row>
    <row r="299">
      <c r="A299" s="53" t="n">
        <v>279</v>
      </c>
      <c r="B299" s="67" t="n"/>
      <c r="C299" s="55" t="n"/>
      <c r="D299" s="68" t="n"/>
      <c r="E299" s="68" t="n"/>
      <c r="F299" s="59">
        <f>IF(OR(E299="",D299=""),"",MAX(E299-D299,0))</f>
        <v/>
      </c>
      <c r="G299" s="59">
        <f>IF(F299="","",IF(N(C299)=0,1,C299))</f>
        <v/>
      </c>
      <c r="H299" s="53" t="n">
        <v>279</v>
      </c>
      <c r="I299" s="67" t="n"/>
      <c r="J299" s="55" t="n"/>
      <c r="K299" s="68" t="n"/>
      <c r="L299" s="68" t="n"/>
      <c r="M299" s="59">
        <f>IF(OR(L299="",K299=""),"",MAX(L299-K299,0))</f>
        <v/>
      </c>
      <c r="N299" s="59">
        <f>IF(M299="","",IF(N(J299)=0,1,J299))</f>
        <v/>
      </c>
    </row>
    <row r="300">
      <c r="A300" s="53" t="n">
        <v>280</v>
      </c>
      <c r="B300" s="67" t="n"/>
      <c r="C300" s="55" t="n"/>
      <c r="D300" s="68" t="n"/>
      <c r="E300" s="68" t="n"/>
      <c r="F300" s="59">
        <f>IF(OR(E300="",D300=""),"",MAX(E300-D300,0))</f>
        <v/>
      </c>
      <c r="G300" s="59">
        <f>IF(F300="","",IF(N(C300)=0,1,C300))</f>
        <v/>
      </c>
      <c r="H300" s="53" t="n">
        <v>280</v>
      </c>
      <c r="I300" s="67" t="n"/>
      <c r="J300" s="55" t="n"/>
      <c r="K300" s="68" t="n"/>
      <c r="L300" s="68" t="n"/>
      <c r="M300" s="59">
        <f>IF(OR(L300="",K300=""),"",MAX(L300-K300,0))</f>
        <v/>
      </c>
      <c r="N300" s="59">
        <f>IF(M300="","",IF(N(J300)=0,1,J300))</f>
        <v/>
      </c>
    </row>
    <row r="301">
      <c r="A301" s="53" t="n">
        <v>281</v>
      </c>
      <c r="B301" s="67" t="n"/>
      <c r="C301" s="55" t="n"/>
      <c r="D301" s="68" t="n"/>
      <c r="E301" s="68" t="n"/>
      <c r="F301" s="59">
        <f>IF(OR(E301="",D301=""),"",MAX(E301-D301,0))</f>
        <v/>
      </c>
      <c r="G301" s="59">
        <f>IF(F301="","",IF(N(C301)=0,1,C301))</f>
        <v/>
      </c>
      <c r="H301" s="53" t="n">
        <v>281</v>
      </c>
      <c r="I301" s="67" t="n"/>
      <c r="J301" s="55" t="n"/>
      <c r="K301" s="68" t="n"/>
      <c r="L301" s="68" t="n"/>
      <c r="M301" s="59">
        <f>IF(OR(L301="",K301=""),"",MAX(L301-K301,0))</f>
        <v/>
      </c>
      <c r="N301" s="59">
        <f>IF(M301="","",IF(N(J301)=0,1,J301))</f>
        <v/>
      </c>
    </row>
    <row r="302">
      <c r="A302" s="53" t="n">
        <v>282</v>
      </c>
      <c r="B302" s="67" t="n"/>
      <c r="C302" s="55" t="n"/>
      <c r="D302" s="68" t="n"/>
      <c r="E302" s="68" t="n"/>
      <c r="F302" s="59">
        <f>IF(OR(E302="",D302=""),"",MAX(E302-D302,0))</f>
        <v/>
      </c>
      <c r="G302" s="59">
        <f>IF(F302="","",IF(N(C302)=0,1,C302))</f>
        <v/>
      </c>
      <c r="H302" s="53" t="n">
        <v>282</v>
      </c>
      <c r="I302" s="67" t="n"/>
      <c r="J302" s="55" t="n"/>
      <c r="K302" s="68" t="n"/>
      <c r="L302" s="68" t="n"/>
      <c r="M302" s="59">
        <f>IF(OR(L302="",K302=""),"",MAX(L302-K302,0))</f>
        <v/>
      </c>
      <c r="N302" s="59">
        <f>IF(M302="","",IF(N(J302)=0,1,J302))</f>
        <v/>
      </c>
    </row>
    <row r="303">
      <c r="A303" s="53" t="n">
        <v>283</v>
      </c>
      <c r="B303" s="67" t="n"/>
      <c r="C303" s="55" t="n"/>
      <c r="D303" s="68" t="n"/>
      <c r="E303" s="68" t="n"/>
      <c r="F303" s="59">
        <f>IF(OR(E303="",D303=""),"",MAX(E303-D303,0))</f>
        <v/>
      </c>
      <c r="G303" s="59">
        <f>IF(F303="","",IF(N(C303)=0,1,C303))</f>
        <v/>
      </c>
      <c r="H303" s="53" t="n">
        <v>283</v>
      </c>
      <c r="I303" s="67" t="n"/>
      <c r="J303" s="55" t="n"/>
      <c r="K303" s="68" t="n"/>
      <c r="L303" s="68" t="n"/>
      <c r="M303" s="59">
        <f>IF(OR(L303="",K303=""),"",MAX(L303-K303,0))</f>
        <v/>
      </c>
      <c r="N303" s="59">
        <f>IF(M303="","",IF(N(J303)=0,1,J303))</f>
        <v/>
      </c>
    </row>
    <row r="304">
      <c r="A304" s="53" t="n">
        <v>284</v>
      </c>
      <c r="B304" s="67" t="n"/>
      <c r="C304" s="55" t="n"/>
      <c r="D304" s="68" t="n"/>
      <c r="E304" s="68" t="n"/>
      <c r="F304" s="59">
        <f>IF(OR(E304="",D304=""),"",MAX(E304-D304,0))</f>
        <v/>
      </c>
      <c r="G304" s="59">
        <f>IF(F304="","",IF(N(C304)=0,1,C304))</f>
        <v/>
      </c>
      <c r="H304" s="53" t="n">
        <v>284</v>
      </c>
      <c r="I304" s="67" t="n"/>
      <c r="J304" s="55" t="n"/>
      <c r="K304" s="68" t="n"/>
      <c r="L304" s="68" t="n"/>
      <c r="M304" s="59">
        <f>IF(OR(L304="",K304=""),"",MAX(L304-K304,0))</f>
        <v/>
      </c>
      <c r="N304" s="59">
        <f>IF(M304="","",IF(N(J304)=0,1,J304))</f>
        <v/>
      </c>
    </row>
    <row r="305">
      <c r="A305" s="53" t="n">
        <v>285</v>
      </c>
      <c r="B305" s="67" t="n"/>
      <c r="C305" s="55" t="n"/>
      <c r="D305" s="68" t="n"/>
      <c r="E305" s="68" t="n"/>
      <c r="F305" s="59">
        <f>IF(OR(E305="",D305=""),"",MAX(E305-D305,0))</f>
        <v/>
      </c>
      <c r="G305" s="59">
        <f>IF(F305="","",IF(N(C305)=0,1,C305))</f>
        <v/>
      </c>
      <c r="H305" s="53" t="n">
        <v>285</v>
      </c>
      <c r="I305" s="67" t="n"/>
      <c r="J305" s="55" t="n"/>
      <c r="K305" s="68" t="n"/>
      <c r="L305" s="68" t="n"/>
      <c r="M305" s="59">
        <f>IF(OR(L305="",K305=""),"",MAX(L305-K305,0))</f>
        <v/>
      </c>
      <c r="N305" s="59">
        <f>IF(M305="","",IF(N(J305)=0,1,J305))</f>
        <v/>
      </c>
    </row>
    <row r="306">
      <c r="A306" s="53" t="n">
        <v>286</v>
      </c>
      <c r="B306" s="67" t="n"/>
      <c r="C306" s="55" t="n"/>
      <c r="D306" s="68" t="n"/>
      <c r="E306" s="68" t="n"/>
      <c r="F306" s="59">
        <f>IF(OR(E306="",D306=""),"",MAX(E306-D306,0))</f>
        <v/>
      </c>
      <c r="G306" s="59">
        <f>IF(F306="","",IF(N(C306)=0,1,C306))</f>
        <v/>
      </c>
      <c r="H306" s="53" t="n">
        <v>286</v>
      </c>
      <c r="I306" s="67" t="n"/>
      <c r="J306" s="55" t="n"/>
      <c r="K306" s="68" t="n"/>
      <c r="L306" s="68" t="n"/>
      <c r="M306" s="59">
        <f>IF(OR(L306="",K306=""),"",MAX(L306-K306,0))</f>
        <v/>
      </c>
      <c r="N306" s="59">
        <f>IF(M306="","",IF(N(J306)=0,1,J306))</f>
        <v/>
      </c>
    </row>
    <row r="307">
      <c r="A307" s="53" t="n">
        <v>287</v>
      </c>
      <c r="B307" s="67" t="n"/>
      <c r="C307" s="55" t="n"/>
      <c r="D307" s="68" t="n"/>
      <c r="E307" s="68" t="n"/>
      <c r="F307" s="59">
        <f>IF(OR(E307="",D307=""),"",MAX(E307-D307,0))</f>
        <v/>
      </c>
      <c r="G307" s="59">
        <f>IF(F307="","",IF(N(C307)=0,1,C307))</f>
        <v/>
      </c>
      <c r="H307" s="53" t="n">
        <v>287</v>
      </c>
      <c r="I307" s="67" t="n"/>
      <c r="J307" s="55" t="n"/>
      <c r="K307" s="68" t="n"/>
      <c r="L307" s="68" t="n"/>
      <c r="M307" s="59">
        <f>IF(OR(L307="",K307=""),"",MAX(L307-K307,0))</f>
        <v/>
      </c>
      <c r="N307" s="59">
        <f>IF(M307="","",IF(N(J307)=0,1,J307))</f>
        <v/>
      </c>
    </row>
    <row r="308">
      <c r="A308" s="53" t="n">
        <v>288</v>
      </c>
      <c r="B308" s="67" t="n"/>
      <c r="C308" s="55" t="n"/>
      <c r="D308" s="68" t="n"/>
      <c r="E308" s="68" t="n"/>
      <c r="F308" s="59">
        <f>IF(OR(E308="",D308=""),"",MAX(E308-D308,0))</f>
        <v/>
      </c>
      <c r="G308" s="59">
        <f>IF(F308="","",IF(N(C308)=0,1,C308))</f>
        <v/>
      </c>
      <c r="H308" s="53" t="n">
        <v>288</v>
      </c>
      <c r="I308" s="67" t="n"/>
      <c r="J308" s="55" t="n"/>
      <c r="K308" s="68" t="n"/>
      <c r="L308" s="68" t="n"/>
      <c r="M308" s="59">
        <f>IF(OR(L308="",K308=""),"",MAX(L308-K308,0))</f>
        <v/>
      </c>
      <c r="N308" s="59">
        <f>IF(M308="","",IF(N(J308)=0,1,J308))</f>
        <v/>
      </c>
    </row>
    <row r="309">
      <c r="A309" s="53" t="n">
        <v>289</v>
      </c>
      <c r="B309" s="67" t="n"/>
      <c r="C309" s="55" t="n"/>
      <c r="D309" s="68" t="n"/>
      <c r="E309" s="68" t="n"/>
      <c r="F309" s="59">
        <f>IF(OR(E309="",D309=""),"",MAX(E309-D309,0))</f>
        <v/>
      </c>
      <c r="G309" s="59">
        <f>IF(F309="","",IF(N(C309)=0,1,C309))</f>
        <v/>
      </c>
      <c r="H309" s="53" t="n">
        <v>289</v>
      </c>
      <c r="I309" s="67" t="n"/>
      <c r="J309" s="55" t="n"/>
      <c r="K309" s="68" t="n"/>
      <c r="L309" s="68" t="n"/>
      <c r="M309" s="59">
        <f>IF(OR(L309="",K309=""),"",MAX(L309-K309,0))</f>
        <v/>
      </c>
      <c r="N309" s="59">
        <f>IF(M309="","",IF(N(J309)=0,1,J309))</f>
        <v/>
      </c>
    </row>
    <row r="310">
      <c r="A310" s="53" t="n">
        <v>290</v>
      </c>
      <c r="B310" s="67" t="n"/>
      <c r="C310" s="55" t="n"/>
      <c r="D310" s="68" t="n"/>
      <c r="E310" s="68" t="n"/>
      <c r="F310" s="59">
        <f>IF(OR(E310="",D310=""),"",MAX(E310-D310,0))</f>
        <v/>
      </c>
      <c r="G310" s="59">
        <f>IF(F310="","",IF(N(C310)=0,1,C310))</f>
        <v/>
      </c>
      <c r="H310" s="53" t="n">
        <v>290</v>
      </c>
      <c r="I310" s="67" t="n"/>
      <c r="J310" s="55" t="n"/>
      <c r="K310" s="68" t="n"/>
      <c r="L310" s="68" t="n"/>
      <c r="M310" s="59">
        <f>IF(OR(L310="",K310=""),"",MAX(L310-K310,0))</f>
        <v/>
      </c>
      <c r="N310" s="59">
        <f>IF(M310="","",IF(N(J310)=0,1,J310))</f>
        <v/>
      </c>
    </row>
    <row r="311">
      <c r="A311" s="53" t="n">
        <v>291</v>
      </c>
      <c r="B311" s="67" t="n"/>
      <c r="C311" s="55" t="n"/>
      <c r="D311" s="68" t="n"/>
      <c r="E311" s="68" t="n"/>
      <c r="F311" s="59">
        <f>IF(OR(E311="",D311=""),"",MAX(E311-D311,0))</f>
        <v/>
      </c>
      <c r="G311" s="59">
        <f>IF(F311="","",IF(N(C311)=0,1,C311))</f>
        <v/>
      </c>
      <c r="H311" s="53" t="n">
        <v>291</v>
      </c>
      <c r="I311" s="67" t="n"/>
      <c r="J311" s="55" t="n"/>
      <c r="K311" s="68" t="n"/>
      <c r="L311" s="68" t="n"/>
      <c r="M311" s="59">
        <f>IF(OR(L311="",K311=""),"",MAX(L311-K311,0))</f>
        <v/>
      </c>
      <c r="N311" s="59">
        <f>IF(M311="","",IF(N(J311)=0,1,J311))</f>
        <v/>
      </c>
    </row>
    <row r="312">
      <c r="A312" s="53" t="n">
        <v>292</v>
      </c>
      <c r="B312" s="67" t="n"/>
      <c r="C312" s="55" t="n"/>
      <c r="D312" s="68" t="n"/>
      <c r="E312" s="68" t="n"/>
      <c r="F312" s="59">
        <f>IF(OR(E312="",D312=""),"",MAX(E312-D312,0))</f>
        <v/>
      </c>
      <c r="G312" s="59">
        <f>IF(F312="","",IF(N(C312)=0,1,C312))</f>
        <v/>
      </c>
      <c r="H312" s="53" t="n">
        <v>292</v>
      </c>
      <c r="I312" s="67" t="n"/>
      <c r="J312" s="55" t="n"/>
      <c r="K312" s="68" t="n"/>
      <c r="L312" s="68" t="n"/>
      <c r="M312" s="59">
        <f>IF(OR(L312="",K312=""),"",MAX(L312-K312,0))</f>
        <v/>
      </c>
      <c r="N312" s="59">
        <f>IF(M312="","",IF(N(J312)=0,1,J312))</f>
        <v/>
      </c>
    </row>
    <row r="313">
      <c r="A313" s="53" t="n">
        <v>293</v>
      </c>
      <c r="B313" s="67" t="n"/>
      <c r="C313" s="55" t="n"/>
      <c r="D313" s="68" t="n"/>
      <c r="E313" s="68" t="n"/>
      <c r="F313" s="59">
        <f>IF(OR(E313="",D313=""),"",MAX(E313-D313,0))</f>
        <v/>
      </c>
      <c r="G313" s="59">
        <f>IF(F313="","",IF(N(C313)=0,1,C313))</f>
        <v/>
      </c>
      <c r="H313" s="53" t="n">
        <v>293</v>
      </c>
      <c r="I313" s="67" t="n"/>
      <c r="J313" s="55" t="n"/>
      <c r="K313" s="68" t="n"/>
      <c r="L313" s="68" t="n"/>
      <c r="M313" s="59">
        <f>IF(OR(L313="",K313=""),"",MAX(L313-K313,0))</f>
        <v/>
      </c>
      <c r="N313" s="59">
        <f>IF(M313="","",IF(N(J313)=0,1,J313))</f>
        <v/>
      </c>
    </row>
    <row r="314">
      <c r="A314" s="53" t="n">
        <v>294</v>
      </c>
      <c r="B314" s="67" t="n"/>
      <c r="C314" s="55" t="n"/>
      <c r="D314" s="68" t="n"/>
      <c r="E314" s="68" t="n"/>
      <c r="F314" s="59">
        <f>IF(OR(E314="",D314=""),"",MAX(E314-D314,0))</f>
        <v/>
      </c>
      <c r="G314" s="59">
        <f>IF(F314="","",IF(N(C314)=0,1,C314))</f>
        <v/>
      </c>
      <c r="H314" s="53" t="n">
        <v>294</v>
      </c>
      <c r="I314" s="67" t="n"/>
      <c r="J314" s="55" t="n"/>
      <c r="K314" s="68" t="n"/>
      <c r="L314" s="68" t="n"/>
      <c r="M314" s="59">
        <f>IF(OR(L314="",K314=""),"",MAX(L314-K314,0))</f>
        <v/>
      </c>
      <c r="N314" s="59">
        <f>IF(M314="","",IF(N(J314)=0,1,J314))</f>
        <v/>
      </c>
    </row>
    <row r="315">
      <c r="A315" s="53" t="n">
        <v>295</v>
      </c>
      <c r="B315" s="67" t="n"/>
      <c r="C315" s="55" t="n"/>
      <c r="D315" s="68" t="n"/>
      <c r="E315" s="68" t="n"/>
      <c r="F315" s="59">
        <f>IF(OR(E315="",D315=""),"",MAX(E315-D315,0))</f>
        <v/>
      </c>
      <c r="G315" s="59">
        <f>IF(F315="","",IF(N(C315)=0,1,C315))</f>
        <v/>
      </c>
      <c r="H315" s="53" t="n">
        <v>295</v>
      </c>
      <c r="I315" s="67" t="n"/>
      <c r="J315" s="55" t="n"/>
      <c r="K315" s="68" t="n"/>
      <c r="L315" s="68" t="n"/>
      <c r="M315" s="59">
        <f>IF(OR(L315="",K315=""),"",MAX(L315-K315,0))</f>
        <v/>
      </c>
      <c r="N315" s="59">
        <f>IF(M315="","",IF(N(J315)=0,1,J315))</f>
        <v/>
      </c>
    </row>
    <row r="316">
      <c r="A316" s="53" t="n">
        <v>296</v>
      </c>
      <c r="B316" s="67" t="n"/>
      <c r="C316" s="55" t="n"/>
      <c r="D316" s="68" t="n"/>
      <c r="E316" s="68" t="n"/>
      <c r="F316" s="59">
        <f>IF(OR(E316="",D316=""),"",MAX(E316-D316,0))</f>
        <v/>
      </c>
      <c r="G316" s="59">
        <f>IF(F316="","",IF(N(C316)=0,1,C316))</f>
        <v/>
      </c>
      <c r="H316" s="53" t="n">
        <v>296</v>
      </c>
      <c r="I316" s="67" t="n"/>
      <c r="J316" s="55" t="n"/>
      <c r="K316" s="68" t="n"/>
      <c r="L316" s="68" t="n"/>
      <c r="M316" s="59">
        <f>IF(OR(L316="",K316=""),"",MAX(L316-K316,0))</f>
        <v/>
      </c>
      <c r="N316" s="59">
        <f>IF(M316="","",IF(N(J316)=0,1,J316))</f>
        <v/>
      </c>
    </row>
    <row r="317">
      <c r="A317" s="53" t="n">
        <v>297</v>
      </c>
      <c r="B317" s="67" t="n"/>
      <c r="C317" s="55" t="n"/>
      <c r="D317" s="68" t="n"/>
      <c r="E317" s="68" t="n"/>
      <c r="F317" s="59">
        <f>IF(OR(E317="",D317=""),"",MAX(E317-D317,0))</f>
        <v/>
      </c>
      <c r="G317" s="59">
        <f>IF(F317="","",IF(N(C317)=0,1,C317))</f>
        <v/>
      </c>
      <c r="H317" s="53" t="n">
        <v>297</v>
      </c>
      <c r="I317" s="67" t="n"/>
      <c r="J317" s="55" t="n"/>
      <c r="K317" s="68" t="n"/>
      <c r="L317" s="68" t="n"/>
      <c r="M317" s="59">
        <f>IF(OR(L317="",K317=""),"",MAX(L317-K317,0))</f>
        <v/>
      </c>
      <c r="N317" s="59">
        <f>IF(M317="","",IF(N(J317)=0,1,J317))</f>
        <v/>
      </c>
    </row>
    <row r="318">
      <c r="A318" s="53" t="n">
        <v>298</v>
      </c>
      <c r="B318" s="67" t="n"/>
      <c r="C318" s="55" t="n"/>
      <c r="D318" s="68" t="n"/>
      <c r="E318" s="68" t="n"/>
      <c r="F318" s="59">
        <f>IF(OR(E318="",D318=""),"",MAX(E318-D318,0))</f>
        <v/>
      </c>
      <c r="G318" s="59">
        <f>IF(F318="","",IF(N(C318)=0,1,C318))</f>
        <v/>
      </c>
      <c r="H318" s="53" t="n">
        <v>298</v>
      </c>
      <c r="I318" s="67" t="n"/>
      <c r="J318" s="55" t="n"/>
      <c r="K318" s="68" t="n"/>
      <c r="L318" s="68" t="n"/>
      <c r="M318" s="59">
        <f>IF(OR(L318="",K318=""),"",MAX(L318-K318,0))</f>
        <v/>
      </c>
      <c r="N318" s="59">
        <f>IF(M318="","",IF(N(J318)=0,1,J318))</f>
        <v/>
      </c>
    </row>
    <row r="319">
      <c r="A319" s="53" t="n">
        <v>299</v>
      </c>
      <c r="B319" s="67" t="n"/>
      <c r="C319" s="55" t="n"/>
      <c r="D319" s="68" t="n"/>
      <c r="E319" s="68" t="n"/>
      <c r="F319" s="59">
        <f>IF(OR(E319="",D319=""),"",MAX(E319-D319,0))</f>
        <v/>
      </c>
      <c r="G319" s="59">
        <f>IF(F319="","",IF(N(C319)=0,1,C319))</f>
        <v/>
      </c>
      <c r="H319" s="53" t="n">
        <v>299</v>
      </c>
      <c r="I319" s="67" t="n"/>
      <c r="J319" s="55" t="n"/>
      <c r="K319" s="68" t="n"/>
      <c r="L319" s="68" t="n"/>
      <c r="M319" s="59">
        <f>IF(OR(L319="",K319=""),"",MAX(L319-K319,0))</f>
        <v/>
      </c>
      <c r="N319" s="59">
        <f>IF(M319="","",IF(N(J319)=0,1,J319))</f>
        <v/>
      </c>
    </row>
    <row r="320">
      <c r="A320" s="53" t="n">
        <v>300</v>
      </c>
      <c r="B320" s="67" t="n"/>
      <c r="C320" s="55" t="n"/>
      <c r="D320" s="68" t="n"/>
      <c r="E320" s="68" t="n"/>
      <c r="F320" s="59">
        <f>IF(OR(E320="",D320=""),"",MAX(E320-D320,0))</f>
        <v/>
      </c>
      <c r="G320" s="59">
        <f>IF(F320="","",IF(N(C320)=0,1,C320))</f>
        <v/>
      </c>
      <c r="H320" s="53" t="n">
        <v>300</v>
      </c>
      <c r="I320" s="67" t="n"/>
      <c r="J320" s="55" t="n"/>
      <c r="K320" s="68" t="n"/>
      <c r="L320" s="68" t="n"/>
      <c r="M320" s="59">
        <f>IF(OR(L320="",K320=""),"",MAX(L320-K320,0))</f>
        <v/>
      </c>
      <c r="N320" s="59">
        <f>IF(M320="","",IF(N(J320)=0,1,J320))</f>
        <v/>
      </c>
    </row>
    <row r="321">
      <c r="A321" s="53" t="n">
        <v>301</v>
      </c>
      <c r="B321" s="67" t="n"/>
      <c r="C321" s="55" t="n"/>
      <c r="D321" s="68" t="n"/>
      <c r="E321" s="68" t="n"/>
      <c r="F321" s="59">
        <f>IF(OR(E321="",D321=""),"",MAX(E321-D321,0))</f>
        <v/>
      </c>
      <c r="G321" s="59">
        <f>IF(F321="","",IF(N(C321)=0,1,C321))</f>
        <v/>
      </c>
      <c r="H321" s="53" t="n">
        <v>301</v>
      </c>
      <c r="I321" s="67" t="n"/>
      <c r="J321" s="55" t="n"/>
      <c r="K321" s="68" t="n"/>
      <c r="L321" s="68" t="n"/>
      <c r="M321" s="59">
        <f>IF(OR(L321="",K321=""),"",MAX(L321-K321,0))</f>
        <v/>
      </c>
      <c r="N321" s="59">
        <f>IF(M321="","",IF(N(J321)=0,1,J321))</f>
        <v/>
      </c>
    </row>
    <row r="322">
      <c r="A322" s="53" t="n">
        <v>302</v>
      </c>
      <c r="B322" s="67" t="n"/>
      <c r="C322" s="55" t="n"/>
      <c r="D322" s="68" t="n"/>
      <c r="E322" s="68" t="n"/>
      <c r="F322" s="59">
        <f>IF(OR(E322="",D322=""),"",MAX(E322-D322,0))</f>
        <v/>
      </c>
      <c r="G322" s="59">
        <f>IF(F322="","",IF(N(C322)=0,1,C322))</f>
        <v/>
      </c>
      <c r="H322" s="53" t="n">
        <v>302</v>
      </c>
      <c r="I322" s="67" t="n"/>
      <c r="J322" s="55" t="n"/>
      <c r="K322" s="68" t="n"/>
      <c r="L322" s="68" t="n"/>
      <c r="M322" s="59">
        <f>IF(OR(L322="",K322=""),"",MAX(L322-K322,0))</f>
        <v/>
      </c>
      <c r="N322" s="59">
        <f>IF(M322="","",IF(N(J322)=0,1,J322))</f>
        <v/>
      </c>
    </row>
    <row r="323">
      <c r="A323" s="53" t="n">
        <v>303</v>
      </c>
      <c r="B323" s="67" t="n"/>
      <c r="C323" s="55" t="n"/>
      <c r="D323" s="68" t="n"/>
      <c r="E323" s="68" t="n"/>
      <c r="F323" s="59">
        <f>IF(OR(E323="",D323=""),"",MAX(E323-D323,0))</f>
        <v/>
      </c>
      <c r="G323" s="59">
        <f>IF(F323="","",IF(N(C323)=0,1,C323))</f>
        <v/>
      </c>
      <c r="H323" s="53" t="n">
        <v>303</v>
      </c>
      <c r="I323" s="67" t="n"/>
      <c r="J323" s="55" t="n"/>
      <c r="K323" s="68" t="n"/>
      <c r="L323" s="68" t="n"/>
      <c r="M323" s="59">
        <f>IF(OR(L323="",K323=""),"",MAX(L323-K323,0))</f>
        <v/>
      </c>
      <c r="N323" s="59">
        <f>IF(M323="","",IF(N(J323)=0,1,J323))</f>
        <v/>
      </c>
    </row>
    <row r="324">
      <c r="A324" s="53" t="n">
        <v>304</v>
      </c>
      <c r="B324" s="67" t="n"/>
      <c r="C324" s="55" t="n"/>
      <c r="D324" s="68" t="n"/>
      <c r="E324" s="68" t="n"/>
      <c r="F324" s="59">
        <f>IF(OR(E324="",D324=""),"",MAX(E324-D324,0))</f>
        <v/>
      </c>
      <c r="G324" s="59">
        <f>IF(F324="","",IF(N(C324)=0,1,C324))</f>
        <v/>
      </c>
      <c r="H324" s="53" t="n">
        <v>304</v>
      </c>
      <c r="I324" s="67" t="n"/>
      <c r="J324" s="55" t="n"/>
      <c r="K324" s="68" t="n"/>
      <c r="L324" s="68" t="n"/>
      <c r="M324" s="59">
        <f>IF(OR(L324="",K324=""),"",MAX(L324-K324,0))</f>
        <v/>
      </c>
      <c r="N324" s="59">
        <f>IF(M324="","",IF(N(J324)=0,1,J324))</f>
        <v/>
      </c>
    </row>
    <row r="325">
      <c r="A325" s="53" t="n">
        <v>305</v>
      </c>
      <c r="B325" s="67" t="n"/>
      <c r="C325" s="55" t="n"/>
      <c r="D325" s="68" t="n"/>
      <c r="E325" s="68" t="n"/>
      <c r="F325" s="59">
        <f>IF(OR(E325="",D325=""),"",MAX(E325-D325,0))</f>
        <v/>
      </c>
      <c r="G325" s="59">
        <f>IF(F325="","",IF(N(C325)=0,1,C325))</f>
        <v/>
      </c>
      <c r="H325" s="53" t="n">
        <v>305</v>
      </c>
      <c r="I325" s="67" t="n"/>
      <c r="J325" s="55" t="n"/>
      <c r="K325" s="68" t="n"/>
      <c r="L325" s="68" t="n"/>
      <c r="M325" s="59">
        <f>IF(OR(L325="",K325=""),"",MAX(L325-K325,0))</f>
        <v/>
      </c>
      <c r="N325" s="59">
        <f>IF(M325="","",IF(N(J325)=0,1,J325))</f>
        <v/>
      </c>
    </row>
    <row r="326">
      <c r="A326" s="53" t="n">
        <v>306</v>
      </c>
      <c r="B326" s="67" t="n"/>
      <c r="C326" s="55" t="n"/>
      <c r="D326" s="68" t="n"/>
      <c r="E326" s="68" t="n"/>
      <c r="F326" s="59">
        <f>IF(OR(E326="",D326=""),"",MAX(E326-D326,0))</f>
        <v/>
      </c>
      <c r="G326" s="59">
        <f>IF(F326="","",IF(N(C326)=0,1,C326))</f>
        <v/>
      </c>
      <c r="H326" s="53" t="n">
        <v>306</v>
      </c>
      <c r="I326" s="67" t="n"/>
      <c r="J326" s="55" t="n"/>
      <c r="K326" s="68" t="n"/>
      <c r="L326" s="68" t="n"/>
      <c r="M326" s="59">
        <f>IF(OR(L326="",K326=""),"",MAX(L326-K326,0))</f>
        <v/>
      </c>
      <c r="N326" s="59">
        <f>IF(M326="","",IF(N(J326)=0,1,J326))</f>
        <v/>
      </c>
    </row>
    <row r="327">
      <c r="A327" s="53" t="n">
        <v>307</v>
      </c>
      <c r="B327" s="67" t="n"/>
      <c r="C327" s="55" t="n"/>
      <c r="D327" s="68" t="n"/>
      <c r="E327" s="68" t="n"/>
      <c r="F327" s="59">
        <f>IF(OR(E327="",D327=""),"",MAX(E327-D327,0))</f>
        <v/>
      </c>
      <c r="G327" s="59">
        <f>IF(F327="","",IF(N(C327)=0,1,C327))</f>
        <v/>
      </c>
      <c r="H327" s="53" t="n">
        <v>307</v>
      </c>
      <c r="I327" s="67" t="n"/>
      <c r="J327" s="55" t="n"/>
      <c r="K327" s="68" t="n"/>
      <c r="L327" s="68" t="n"/>
      <c r="M327" s="59">
        <f>IF(OR(L327="",K327=""),"",MAX(L327-K327,0))</f>
        <v/>
      </c>
      <c r="N327" s="59">
        <f>IF(M327="","",IF(N(J327)=0,1,J327))</f>
        <v/>
      </c>
    </row>
    <row r="328">
      <c r="A328" s="53" t="n">
        <v>308</v>
      </c>
      <c r="B328" s="67" t="n"/>
      <c r="C328" s="55" t="n"/>
      <c r="D328" s="68" t="n"/>
      <c r="E328" s="68" t="n"/>
      <c r="F328" s="59">
        <f>IF(OR(E328="",D328=""),"",MAX(E328-D328,0))</f>
        <v/>
      </c>
      <c r="G328" s="59">
        <f>IF(F328="","",IF(N(C328)=0,1,C328))</f>
        <v/>
      </c>
      <c r="H328" s="53" t="n">
        <v>308</v>
      </c>
      <c r="I328" s="67" t="n"/>
      <c r="J328" s="55" t="n"/>
      <c r="K328" s="68" t="n"/>
      <c r="L328" s="68" t="n"/>
      <c r="M328" s="59">
        <f>IF(OR(L328="",K328=""),"",MAX(L328-K328,0))</f>
        <v/>
      </c>
      <c r="N328" s="59">
        <f>IF(M328="","",IF(N(J328)=0,1,J328))</f>
        <v/>
      </c>
    </row>
    <row r="329">
      <c r="A329" s="53" t="n">
        <v>309</v>
      </c>
      <c r="B329" s="67" t="n"/>
      <c r="C329" s="55" t="n"/>
      <c r="D329" s="68" t="n"/>
      <c r="E329" s="68" t="n"/>
      <c r="F329" s="59">
        <f>IF(OR(E329="",D329=""),"",MAX(E329-D329,0))</f>
        <v/>
      </c>
      <c r="G329" s="59">
        <f>IF(F329="","",IF(N(C329)=0,1,C329))</f>
        <v/>
      </c>
      <c r="H329" s="53" t="n">
        <v>309</v>
      </c>
      <c r="I329" s="67" t="n"/>
      <c r="J329" s="55" t="n"/>
      <c r="K329" s="68" t="n"/>
      <c r="L329" s="68" t="n"/>
      <c r="M329" s="59">
        <f>IF(OR(L329="",K329=""),"",MAX(L329-K329,0))</f>
        <v/>
      </c>
      <c r="N329" s="59">
        <f>IF(M329="","",IF(N(J329)=0,1,J329))</f>
        <v/>
      </c>
    </row>
    <row r="330">
      <c r="A330" s="53" t="n">
        <v>310</v>
      </c>
      <c r="B330" s="67" t="n"/>
      <c r="C330" s="55" t="n"/>
      <c r="D330" s="68" t="n"/>
      <c r="E330" s="68" t="n"/>
      <c r="F330" s="59">
        <f>IF(OR(E330="",D330=""),"",MAX(E330-D330,0))</f>
        <v/>
      </c>
      <c r="G330" s="59">
        <f>IF(F330="","",IF(N(C330)=0,1,C330))</f>
        <v/>
      </c>
      <c r="H330" s="53" t="n">
        <v>310</v>
      </c>
      <c r="I330" s="67" t="n"/>
      <c r="J330" s="55" t="n"/>
      <c r="K330" s="68" t="n"/>
      <c r="L330" s="68" t="n"/>
      <c r="M330" s="59">
        <f>IF(OR(L330="",K330=""),"",MAX(L330-K330,0))</f>
        <v/>
      </c>
      <c r="N330" s="59">
        <f>IF(M330="","",IF(N(J330)=0,1,J330))</f>
        <v/>
      </c>
    </row>
    <row r="331">
      <c r="A331" s="53" t="n">
        <v>311</v>
      </c>
      <c r="B331" s="67" t="n"/>
      <c r="C331" s="55" t="n"/>
      <c r="D331" s="68" t="n"/>
      <c r="E331" s="68" t="n"/>
      <c r="F331" s="59">
        <f>IF(OR(E331="",D331=""),"",MAX(E331-D331,0))</f>
        <v/>
      </c>
      <c r="G331" s="59">
        <f>IF(F331="","",IF(N(C331)=0,1,C331))</f>
        <v/>
      </c>
      <c r="H331" s="53" t="n">
        <v>311</v>
      </c>
      <c r="I331" s="67" t="n"/>
      <c r="J331" s="55" t="n"/>
      <c r="K331" s="68" t="n"/>
      <c r="L331" s="68" t="n"/>
      <c r="M331" s="59">
        <f>IF(OR(L331="",K331=""),"",MAX(L331-K331,0))</f>
        <v/>
      </c>
      <c r="N331" s="59">
        <f>IF(M331="","",IF(N(J331)=0,1,J331))</f>
        <v/>
      </c>
    </row>
    <row r="332">
      <c r="A332" s="53" t="n">
        <v>312</v>
      </c>
      <c r="B332" s="67" t="n"/>
      <c r="C332" s="55" t="n"/>
      <c r="D332" s="68" t="n"/>
      <c r="E332" s="68" t="n"/>
      <c r="F332" s="59">
        <f>IF(OR(E332="",D332=""),"",MAX(E332-D332,0))</f>
        <v/>
      </c>
      <c r="G332" s="59">
        <f>IF(F332="","",IF(N(C332)=0,1,C332))</f>
        <v/>
      </c>
      <c r="H332" s="53" t="n">
        <v>312</v>
      </c>
      <c r="I332" s="67" t="n"/>
      <c r="J332" s="55" t="n"/>
      <c r="K332" s="68" t="n"/>
      <c r="L332" s="68" t="n"/>
      <c r="M332" s="59">
        <f>IF(OR(L332="",K332=""),"",MAX(L332-K332,0))</f>
        <v/>
      </c>
      <c r="N332" s="59">
        <f>IF(M332="","",IF(N(J332)=0,1,J332))</f>
        <v/>
      </c>
    </row>
    <row r="333">
      <c r="A333" s="53" t="n">
        <v>313</v>
      </c>
      <c r="B333" s="67" t="n"/>
      <c r="C333" s="55" t="n"/>
      <c r="D333" s="68" t="n"/>
      <c r="E333" s="68" t="n"/>
      <c r="F333" s="59">
        <f>IF(OR(E333="",D333=""),"",MAX(E333-D333,0))</f>
        <v/>
      </c>
      <c r="G333" s="59">
        <f>IF(F333="","",IF(N(C333)=0,1,C333))</f>
        <v/>
      </c>
      <c r="H333" s="53" t="n">
        <v>313</v>
      </c>
      <c r="I333" s="67" t="n"/>
      <c r="J333" s="55" t="n"/>
      <c r="K333" s="68" t="n"/>
      <c r="L333" s="68" t="n"/>
      <c r="M333" s="59">
        <f>IF(OR(L333="",K333=""),"",MAX(L333-K333,0))</f>
        <v/>
      </c>
      <c r="N333" s="59">
        <f>IF(M333="","",IF(N(J333)=0,1,J333))</f>
        <v/>
      </c>
    </row>
    <row r="334">
      <c r="A334" s="53" t="n">
        <v>314</v>
      </c>
      <c r="B334" s="67" t="n"/>
      <c r="C334" s="55" t="n"/>
      <c r="D334" s="68" t="n"/>
      <c r="E334" s="68" t="n"/>
      <c r="F334" s="59">
        <f>IF(OR(E334="",D334=""),"",MAX(E334-D334,0))</f>
        <v/>
      </c>
      <c r="G334" s="59">
        <f>IF(F334="","",IF(N(C334)=0,1,C334))</f>
        <v/>
      </c>
      <c r="H334" s="53" t="n">
        <v>314</v>
      </c>
      <c r="I334" s="67" t="n"/>
      <c r="J334" s="55" t="n"/>
      <c r="K334" s="68" t="n"/>
      <c r="L334" s="68" t="n"/>
      <c r="M334" s="59">
        <f>IF(OR(L334="",K334=""),"",MAX(L334-K334,0))</f>
        <v/>
      </c>
      <c r="N334" s="59">
        <f>IF(M334="","",IF(N(J334)=0,1,J334))</f>
        <v/>
      </c>
    </row>
    <row r="335">
      <c r="A335" s="53" t="n">
        <v>315</v>
      </c>
      <c r="B335" s="67" t="n"/>
      <c r="C335" s="55" t="n"/>
      <c r="D335" s="68" t="n"/>
      <c r="E335" s="68" t="n"/>
      <c r="F335" s="59">
        <f>IF(OR(E335="",D335=""),"",MAX(E335-D335,0))</f>
        <v/>
      </c>
      <c r="G335" s="59">
        <f>IF(F335="","",IF(N(C335)=0,1,C335))</f>
        <v/>
      </c>
      <c r="H335" s="53" t="n">
        <v>315</v>
      </c>
      <c r="I335" s="67" t="n"/>
      <c r="J335" s="55" t="n"/>
      <c r="K335" s="68" t="n"/>
      <c r="L335" s="68" t="n"/>
      <c r="M335" s="59">
        <f>IF(OR(L335="",K335=""),"",MAX(L335-K335,0))</f>
        <v/>
      </c>
      <c r="N335" s="59">
        <f>IF(M335="","",IF(N(J335)=0,1,J335))</f>
        <v/>
      </c>
    </row>
    <row r="336">
      <c r="A336" s="53" t="n">
        <v>316</v>
      </c>
      <c r="B336" s="67" t="n"/>
      <c r="C336" s="55" t="n"/>
      <c r="D336" s="68" t="n"/>
      <c r="E336" s="68" t="n"/>
      <c r="F336" s="59">
        <f>IF(OR(E336="",D336=""),"",MAX(E336-D336,0))</f>
        <v/>
      </c>
      <c r="G336" s="59">
        <f>IF(F336="","",IF(N(C336)=0,1,C336))</f>
        <v/>
      </c>
      <c r="H336" s="53" t="n">
        <v>316</v>
      </c>
      <c r="I336" s="67" t="n"/>
      <c r="J336" s="55" t="n"/>
      <c r="K336" s="68" t="n"/>
      <c r="L336" s="68" t="n"/>
      <c r="M336" s="59">
        <f>IF(OR(L336="",K336=""),"",MAX(L336-K336,0))</f>
        <v/>
      </c>
      <c r="N336" s="59">
        <f>IF(M336="","",IF(N(J336)=0,1,J336))</f>
        <v/>
      </c>
    </row>
    <row r="337">
      <c r="A337" s="53" t="n">
        <v>317</v>
      </c>
      <c r="B337" s="67" t="n"/>
      <c r="C337" s="55" t="n"/>
      <c r="D337" s="68" t="n"/>
      <c r="E337" s="68" t="n"/>
      <c r="F337" s="59">
        <f>IF(OR(E337="",D337=""),"",MAX(E337-D337,0))</f>
        <v/>
      </c>
      <c r="G337" s="59">
        <f>IF(F337="","",IF(N(C337)=0,1,C337))</f>
        <v/>
      </c>
      <c r="H337" s="53" t="n">
        <v>317</v>
      </c>
      <c r="I337" s="67" t="n"/>
      <c r="J337" s="55" t="n"/>
      <c r="K337" s="68" t="n"/>
      <c r="L337" s="68" t="n"/>
      <c r="M337" s="59">
        <f>IF(OR(L337="",K337=""),"",MAX(L337-K337,0))</f>
        <v/>
      </c>
      <c r="N337" s="59">
        <f>IF(M337="","",IF(N(J337)=0,1,J337))</f>
        <v/>
      </c>
    </row>
    <row r="338">
      <c r="A338" s="53" t="n">
        <v>318</v>
      </c>
      <c r="B338" s="67" t="n"/>
      <c r="C338" s="55" t="n"/>
      <c r="D338" s="68" t="n"/>
      <c r="E338" s="68" t="n"/>
      <c r="F338" s="59">
        <f>IF(OR(E338="",D338=""),"",MAX(E338-D338,0))</f>
        <v/>
      </c>
      <c r="G338" s="59">
        <f>IF(F338="","",IF(N(C338)=0,1,C338))</f>
        <v/>
      </c>
      <c r="H338" s="53" t="n">
        <v>318</v>
      </c>
      <c r="I338" s="67" t="n"/>
      <c r="J338" s="55" t="n"/>
      <c r="K338" s="68" t="n"/>
      <c r="L338" s="68" t="n"/>
      <c r="M338" s="59">
        <f>IF(OR(L338="",K338=""),"",MAX(L338-K338,0))</f>
        <v/>
      </c>
      <c r="N338" s="59">
        <f>IF(M338="","",IF(N(J338)=0,1,J338))</f>
        <v/>
      </c>
    </row>
    <row r="339">
      <c r="A339" s="53" t="n">
        <v>319</v>
      </c>
      <c r="B339" s="67" t="n"/>
      <c r="C339" s="55" t="n"/>
      <c r="D339" s="68" t="n"/>
      <c r="E339" s="68" t="n"/>
      <c r="F339" s="59">
        <f>IF(OR(E339="",D339=""),"",MAX(E339-D339,0))</f>
        <v/>
      </c>
      <c r="G339" s="59">
        <f>IF(F339="","",IF(N(C339)=0,1,C339))</f>
        <v/>
      </c>
      <c r="H339" s="53" t="n">
        <v>319</v>
      </c>
      <c r="I339" s="67" t="n"/>
      <c r="J339" s="55" t="n"/>
      <c r="K339" s="68" t="n"/>
      <c r="L339" s="68" t="n"/>
      <c r="M339" s="59">
        <f>IF(OR(L339="",K339=""),"",MAX(L339-K339,0))</f>
        <v/>
      </c>
      <c r="N339" s="59">
        <f>IF(M339="","",IF(N(J339)=0,1,J339))</f>
        <v/>
      </c>
    </row>
    <row r="340">
      <c r="A340" s="53" t="n">
        <v>320</v>
      </c>
      <c r="B340" s="67" t="n"/>
      <c r="C340" s="55" t="n"/>
      <c r="D340" s="68" t="n"/>
      <c r="E340" s="68" t="n"/>
      <c r="F340" s="59">
        <f>IF(OR(E340="",D340=""),"",MAX(E340-D340,0))</f>
        <v/>
      </c>
      <c r="G340" s="59">
        <f>IF(F340="","",IF(N(C340)=0,1,C340))</f>
        <v/>
      </c>
      <c r="H340" s="53" t="n">
        <v>320</v>
      </c>
      <c r="I340" s="67" t="n"/>
      <c r="J340" s="55" t="n"/>
      <c r="K340" s="68" t="n"/>
      <c r="L340" s="68" t="n"/>
      <c r="M340" s="59">
        <f>IF(OR(L340="",K340=""),"",MAX(L340-K340,0))</f>
        <v/>
      </c>
      <c r="N340" s="59">
        <f>IF(M340="","",IF(N(J340)=0,1,J340))</f>
        <v/>
      </c>
    </row>
    <row r="341">
      <c r="A341" s="53" t="n">
        <v>321</v>
      </c>
      <c r="B341" s="67" t="n"/>
      <c r="C341" s="55" t="n"/>
      <c r="D341" s="68" t="n"/>
      <c r="E341" s="68" t="n"/>
      <c r="F341" s="59">
        <f>IF(OR(E341="",D341=""),"",MAX(E341-D341,0))</f>
        <v/>
      </c>
      <c r="G341" s="59">
        <f>IF(F341="","",IF(N(C341)=0,1,C341))</f>
        <v/>
      </c>
      <c r="H341" s="53" t="n">
        <v>321</v>
      </c>
      <c r="I341" s="67" t="n"/>
      <c r="J341" s="55" t="n"/>
      <c r="K341" s="68" t="n"/>
      <c r="L341" s="68" t="n"/>
      <c r="M341" s="59">
        <f>IF(OR(L341="",K341=""),"",MAX(L341-K341,0))</f>
        <v/>
      </c>
      <c r="N341" s="59">
        <f>IF(M341="","",IF(N(J341)=0,1,J341))</f>
        <v/>
      </c>
    </row>
    <row r="342">
      <c r="A342" s="53" t="n">
        <v>322</v>
      </c>
      <c r="B342" s="67" t="n"/>
      <c r="C342" s="55" t="n"/>
      <c r="D342" s="68" t="n"/>
      <c r="E342" s="68" t="n"/>
      <c r="F342" s="59">
        <f>IF(OR(E342="",D342=""),"",MAX(E342-D342,0))</f>
        <v/>
      </c>
      <c r="G342" s="59">
        <f>IF(F342="","",IF(N(C342)=0,1,C342))</f>
        <v/>
      </c>
      <c r="H342" s="53" t="n">
        <v>322</v>
      </c>
      <c r="I342" s="67" t="n"/>
      <c r="J342" s="55" t="n"/>
      <c r="K342" s="68" t="n"/>
      <c r="L342" s="68" t="n"/>
      <c r="M342" s="59">
        <f>IF(OR(L342="",K342=""),"",MAX(L342-K342,0))</f>
        <v/>
      </c>
      <c r="N342" s="59">
        <f>IF(M342="","",IF(N(J342)=0,1,J342))</f>
        <v/>
      </c>
    </row>
    <row r="343">
      <c r="A343" s="53" t="n">
        <v>323</v>
      </c>
      <c r="B343" s="67" t="n"/>
      <c r="C343" s="55" t="n"/>
      <c r="D343" s="68" t="n"/>
      <c r="E343" s="68" t="n"/>
      <c r="F343" s="59">
        <f>IF(OR(E343="",D343=""),"",MAX(E343-D343,0))</f>
        <v/>
      </c>
      <c r="G343" s="59">
        <f>IF(F343="","",IF(N(C343)=0,1,C343))</f>
        <v/>
      </c>
      <c r="H343" s="53" t="n">
        <v>323</v>
      </c>
      <c r="I343" s="67" t="n"/>
      <c r="J343" s="55" t="n"/>
      <c r="K343" s="68" t="n"/>
      <c r="L343" s="68" t="n"/>
      <c r="M343" s="59">
        <f>IF(OR(L343="",K343=""),"",MAX(L343-K343,0))</f>
        <v/>
      </c>
      <c r="N343" s="59">
        <f>IF(M343="","",IF(N(J343)=0,1,J343))</f>
        <v/>
      </c>
    </row>
    <row r="344">
      <c r="A344" s="53" t="n">
        <v>324</v>
      </c>
      <c r="B344" s="67" t="n"/>
      <c r="C344" s="55" t="n"/>
      <c r="D344" s="68" t="n"/>
      <c r="E344" s="68" t="n"/>
      <c r="F344" s="59">
        <f>IF(OR(E344="",D344=""),"",MAX(E344-D344,0))</f>
        <v/>
      </c>
      <c r="G344" s="59">
        <f>IF(F344="","",IF(N(C344)=0,1,C344))</f>
        <v/>
      </c>
      <c r="H344" s="53" t="n">
        <v>324</v>
      </c>
      <c r="I344" s="67" t="n"/>
      <c r="J344" s="55" t="n"/>
      <c r="K344" s="68" t="n"/>
      <c r="L344" s="68" t="n"/>
      <c r="M344" s="59">
        <f>IF(OR(L344="",K344=""),"",MAX(L344-K344,0))</f>
        <v/>
      </c>
      <c r="N344" s="59">
        <f>IF(M344="","",IF(N(J344)=0,1,J344))</f>
        <v/>
      </c>
    </row>
    <row r="345">
      <c r="A345" s="53" t="n">
        <v>325</v>
      </c>
      <c r="B345" s="67" t="n"/>
      <c r="C345" s="55" t="n"/>
      <c r="D345" s="68" t="n"/>
      <c r="E345" s="68" t="n"/>
      <c r="F345" s="59">
        <f>IF(OR(E345="",D345=""),"",MAX(E345-D345,0))</f>
        <v/>
      </c>
      <c r="G345" s="59">
        <f>IF(F345="","",IF(N(C345)=0,1,C345))</f>
        <v/>
      </c>
      <c r="H345" s="53" t="n">
        <v>325</v>
      </c>
      <c r="I345" s="67" t="n"/>
      <c r="J345" s="55" t="n"/>
      <c r="K345" s="68" t="n"/>
      <c r="L345" s="68" t="n"/>
      <c r="M345" s="59">
        <f>IF(OR(L345="",K345=""),"",MAX(L345-K345,0))</f>
        <v/>
      </c>
      <c r="N345" s="59">
        <f>IF(M345="","",IF(N(J345)=0,1,J345))</f>
        <v/>
      </c>
    </row>
    <row r="346">
      <c r="A346" s="53" t="n">
        <v>326</v>
      </c>
      <c r="B346" s="67" t="n"/>
      <c r="C346" s="55" t="n"/>
      <c r="D346" s="68" t="n"/>
      <c r="E346" s="68" t="n"/>
      <c r="F346" s="59">
        <f>IF(OR(E346="",D346=""),"",MAX(E346-D346,0))</f>
        <v/>
      </c>
      <c r="G346" s="59">
        <f>IF(F346="","",IF(N(C346)=0,1,C346))</f>
        <v/>
      </c>
      <c r="H346" s="53" t="n">
        <v>326</v>
      </c>
      <c r="I346" s="67" t="n"/>
      <c r="J346" s="55" t="n"/>
      <c r="K346" s="68" t="n"/>
      <c r="L346" s="68" t="n"/>
      <c r="M346" s="59">
        <f>IF(OR(L346="",K346=""),"",MAX(L346-K346,0))</f>
        <v/>
      </c>
      <c r="N346" s="59">
        <f>IF(M346="","",IF(N(J346)=0,1,J346))</f>
        <v/>
      </c>
    </row>
    <row r="347">
      <c r="A347" s="53" t="n">
        <v>327</v>
      </c>
      <c r="B347" s="67" t="n"/>
      <c r="C347" s="55" t="n"/>
      <c r="D347" s="68" t="n"/>
      <c r="E347" s="68" t="n"/>
      <c r="F347" s="59">
        <f>IF(OR(E347="",D347=""),"",MAX(E347-D347,0))</f>
        <v/>
      </c>
      <c r="G347" s="59">
        <f>IF(F347="","",IF(N(C347)=0,1,C347))</f>
        <v/>
      </c>
      <c r="H347" s="53" t="n">
        <v>327</v>
      </c>
      <c r="I347" s="67" t="n"/>
      <c r="J347" s="55" t="n"/>
      <c r="K347" s="68" t="n"/>
      <c r="L347" s="68" t="n"/>
      <c r="M347" s="59">
        <f>IF(OR(L347="",K347=""),"",MAX(L347-K347,0))</f>
        <v/>
      </c>
      <c r="N347" s="59">
        <f>IF(M347="","",IF(N(J347)=0,1,J347))</f>
        <v/>
      </c>
    </row>
    <row r="348">
      <c r="A348" s="53" t="n">
        <v>328</v>
      </c>
      <c r="B348" s="67" t="n"/>
      <c r="C348" s="55" t="n"/>
      <c r="D348" s="68" t="n"/>
      <c r="E348" s="68" t="n"/>
      <c r="F348" s="59">
        <f>IF(OR(E348="",D348=""),"",MAX(E348-D348,0))</f>
        <v/>
      </c>
      <c r="G348" s="59">
        <f>IF(F348="","",IF(N(C348)=0,1,C348))</f>
        <v/>
      </c>
      <c r="H348" s="53" t="n">
        <v>328</v>
      </c>
      <c r="I348" s="67" t="n"/>
      <c r="J348" s="55" t="n"/>
      <c r="K348" s="68" t="n"/>
      <c r="L348" s="68" t="n"/>
      <c r="M348" s="59">
        <f>IF(OR(L348="",K348=""),"",MAX(L348-K348,0))</f>
        <v/>
      </c>
      <c r="N348" s="59">
        <f>IF(M348="","",IF(N(J348)=0,1,J348))</f>
        <v/>
      </c>
    </row>
    <row r="349">
      <c r="A349" s="53" t="n">
        <v>329</v>
      </c>
      <c r="B349" s="67" t="n"/>
      <c r="C349" s="55" t="n"/>
      <c r="D349" s="68" t="n"/>
      <c r="E349" s="68" t="n"/>
      <c r="F349" s="59">
        <f>IF(OR(E349="",D349=""),"",MAX(E349-D349,0))</f>
        <v/>
      </c>
      <c r="G349" s="59">
        <f>IF(F349="","",IF(N(C349)=0,1,C349))</f>
        <v/>
      </c>
      <c r="H349" s="53" t="n">
        <v>329</v>
      </c>
      <c r="I349" s="67" t="n"/>
      <c r="J349" s="55" t="n"/>
      <c r="K349" s="68" t="n"/>
      <c r="L349" s="68" t="n"/>
      <c r="M349" s="59">
        <f>IF(OR(L349="",K349=""),"",MAX(L349-K349,0))</f>
        <v/>
      </c>
      <c r="N349" s="59">
        <f>IF(M349="","",IF(N(J349)=0,1,J349))</f>
        <v/>
      </c>
    </row>
    <row r="350">
      <c r="A350" s="53" t="n">
        <v>330</v>
      </c>
      <c r="B350" s="67" t="n"/>
      <c r="C350" s="55" t="n"/>
      <c r="D350" s="68" t="n"/>
      <c r="E350" s="68" t="n"/>
      <c r="F350" s="59">
        <f>IF(OR(E350="",D350=""),"",MAX(E350-D350,0))</f>
        <v/>
      </c>
      <c r="G350" s="59">
        <f>IF(F350="","",IF(N(C350)=0,1,C350))</f>
        <v/>
      </c>
      <c r="H350" s="53" t="n">
        <v>330</v>
      </c>
      <c r="I350" s="67" t="n"/>
      <c r="J350" s="55" t="n"/>
      <c r="K350" s="68" t="n"/>
      <c r="L350" s="68" t="n"/>
      <c r="M350" s="59">
        <f>IF(OR(L350="",K350=""),"",MAX(L350-K350,0))</f>
        <v/>
      </c>
      <c r="N350" s="59">
        <f>IF(M350="","",IF(N(J350)=0,1,J350))</f>
        <v/>
      </c>
    </row>
    <row r="351">
      <c r="A351" s="53" t="n">
        <v>331</v>
      </c>
      <c r="B351" s="67" t="n"/>
      <c r="C351" s="55" t="n"/>
      <c r="D351" s="68" t="n"/>
      <c r="E351" s="68" t="n"/>
      <c r="F351" s="59">
        <f>IF(OR(E351="",D351=""),"",MAX(E351-D351,0))</f>
        <v/>
      </c>
      <c r="G351" s="59">
        <f>IF(F351="","",IF(N(C351)=0,1,C351))</f>
        <v/>
      </c>
      <c r="H351" s="53" t="n">
        <v>331</v>
      </c>
      <c r="I351" s="67" t="n"/>
      <c r="J351" s="55" t="n"/>
      <c r="K351" s="68" t="n"/>
      <c r="L351" s="68" t="n"/>
      <c r="M351" s="59">
        <f>IF(OR(L351="",K351=""),"",MAX(L351-K351,0))</f>
        <v/>
      </c>
      <c r="N351" s="59">
        <f>IF(M351="","",IF(N(J351)=0,1,J351))</f>
        <v/>
      </c>
    </row>
    <row r="352">
      <c r="A352" s="53" t="n">
        <v>332</v>
      </c>
      <c r="B352" s="67" t="n"/>
      <c r="C352" s="55" t="n"/>
      <c r="D352" s="68" t="n"/>
      <c r="E352" s="68" t="n"/>
      <c r="F352" s="59">
        <f>IF(OR(E352="",D352=""),"",MAX(E352-D352,0))</f>
        <v/>
      </c>
      <c r="G352" s="59">
        <f>IF(F352="","",IF(N(C352)=0,1,C352))</f>
        <v/>
      </c>
      <c r="H352" s="53" t="n">
        <v>332</v>
      </c>
      <c r="I352" s="67" t="n"/>
      <c r="J352" s="55" t="n"/>
      <c r="K352" s="68" t="n"/>
      <c r="L352" s="68" t="n"/>
      <c r="M352" s="59">
        <f>IF(OR(L352="",K352=""),"",MAX(L352-K352,0))</f>
        <v/>
      </c>
      <c r="N352" s="59">
        <f>IF(M352="","",IF(N(J352)=0,1,J352))</f>
        <v/>
      </c>
    </row>
    <row r="353">
      <c r="A353" s="53" t="n">
        <v>333</v>
      </c>
      <c r="B353" s="67" t="n"/>
      <c r="C353" s="55" t="n"/>
      <c r="D353" s="68" t="n"/>
      <c r="E353" s="68" t="n"/>
      <c r="F353" s="59">
        <f>IF(OR(E353="",D353=""),"",MAX(E353-D353,0))</f>
        <v/>
      </c>
      <c r="G353" s="59">
        <f>IF(F353="","",IF(N(C353)=0,1,C353))</f>
        <v/>
      </c>
      <c r="H353" s="53" t="n">
        <v>333</v>
      </c>
      <c r="I353" s="67" t="n"/>
      <c r="J353" s="55" t="n"/>
      <c r="K353" s="68" t="n"/>
      <c r="L353" s="68" t="n"/>
      <c r="M353" s="59">
        <f>IF(OR(L353="",K353=""),"",MAX(L353-K353,0))</f>
        <v/>
      </c>
      <c r="N353" s="59">
        <f>IF(M353="","",IF(N(J353)=0,1,J353))</f>
        <v/>
      </c>
    </row>
    <row r="354">
      <c r="A354" s="53" t="n">
        <v>334</v>
      </c>
      <c r="B354" s="67" t="n"/>
      <c r="C354" s="55" t="n"/>
      <c r="D354" s="68" t="n"/>
      <c r="E354" s="68" t="n"/>
      <c r="F354" s="59">
        <f>IF(OR(E354="",D354=""),"",MAX(E354-D354,0))</f>
        <v/>
      </c>
      <c r="G354" s="59">
        <f>IF(F354="","",IF(N(C354)=0,1,C354))</f>
        <v/>
      </c>
      <c r="H354" s="53" t="n">
        <v>334</v>
      </c>
      <c r="I354" s="67" t="n"/>
      <c r="J354" s="55" t="n"/>
      <c r="K354" s="68" t="n"/>
      <c r="L354" s="68" t="n"/>
      <c r="M354" s="59">
        <f>IF(OR(L354="",K354=""),"",MAX(L354-K354,0))</f>
        <v/>
      </c>
      <c r="N354" s="59">
        <f>IF(M354="","",IF(N(J354)=0,1,J354))</f>
        <v/>
      </c>
    </row>
    <row r="355">
      <c r="A355" s="53" t="n">
        <v>335</v>
      </c>
      <c r="B355" s="67" t="n"/>
      <c r="C355" s="55" t="n"/>
      <c r="D355" s="68" t="n"/>
      <c r="E355" s="68" t="n"/>
      <c r="F355" s="59">
        <f>IF(OR(E355="",D355=""),"",MAX(E355-D355,0))</f>
        <v/>
      </c>
      <c r="G355" s="59">
        <f>IF(F355="","",IF(N(C355)=0,1,C355))</f>
        <v/>
      </c>
      <c r="H355" s="53" t="n">
        <v>335</v>
      </c>
      <c r="I355" s="67" t="n"/>
      <c r="J355" s="55" t="n"/>
      <c r="K355" s="68" t="n"/>
      <c r="L355" s="68" t="n"/>
      <c r="M355" s="59">
        <f>IF(OR(L355="",K355=""),"",MAX(L355-K355,0))</f>
        <v/>
      </c>
      <c r="N355" s="59">
        <f>IF(M355="","",IF(N(J355)=0,1,J355))</f>
        <v/>
      </c>
    </row>
    <row r="356">
      <c r="A356" s="53" t="n">
        <v>336</v>
      </c>
      <c r="B356" s="67" t="n"/>
      <c r="C356" s="55" t="n"/>
      <c r="D356" s="68" t="n"/>
      <c r="E356" s="68" t="n"/>
      <c r="F356" s="59">
        <f>IF(OR(E356="",D356=""),"",MAX(E356-D356,0))</f>
        <v/>
      </c>
      <c r="G356" s="59">
        <f>IF(F356="","",IF(N(C356)=0,1,C356))</f>
        <v/>
      </c>
      <c r="H356" s="53" t="n">
        <v>336</v>
      </c>
      <c r="I356" s="67" t="n"/>
      <c r="J356" s="55" t="n"/>
      <c r="K356" s="68" t="n"/>
      <c r="L356" s="68" t="n"/>
      <c r="M356" s="59">
        <f>IF(OR(L356="",K356=""),"",MAX(L356-K356,0))</f>
        <v/>
      </c>
      <c r="N356" s="59">
        <f>IF(M356="","",IF(N(J356)=0,1,J356))</f>
        <v/>
      </c>
    </row>
    <row r="357">
      <c r="A357" s="53" t="n">
        <v>337</v>
      </c>
      <c r="B357" s="67" t="n"/>
      <c r="C357" s="55" t="n"/>
      <c r="D357" s="68" t="n"/>
      <c r="E357" s="68" t="n"/>
      <c r="F357" s="59">
        <f>IF(OR(E357="",D357=""),"",MAX(E357-D357,0))</f>
        <v/>
      </c>
      <c r="G357" s="59">
        <f>IF(F357="","",IF(N(C357)=0,1,C357))</f>
        <v/>
      </c>
      <c r="H357" s="53" t="n">
        <v>337</v>
      </c>
      <c r="I357" s="67" t="n"/>
      <c r="J357" s="55" t="n"/>
      <c r="K357" s="68" t="n"/>
      <c r="L357" s="68" t="n"/>
      <c r="M357" s="59">
        <f>IF(OR(L357="",K357=""),"",MAX(L357-K357,0))</f>
        <v/>
      </c>
      <c r="N357" s="59">
        <f>IF(M357="","",IF(N(J357)=0,1,J357))</f>
        <v/>
      </c>
    </row>
    <row r="358">
      <c r="A358" s="53" t="n">
        <v>338</v>
      </c>
      <c r="B358" s="67" t="n"/>
      <c r="C358" s="55" t="n"/>
      <c r="D358" s="68" t="n"/>
      <c r="E358" s="68" t="n"/>
      <c r="F358" s="59">
        <f>IF(OR(E358="",D358=""),"",MAX(E358-D358,0))</f>
        <v/>
      </c>
      <c r="G358" s="59">
        <f>IF(F358="","",IF(N(C358)=0,1,C358))</f>
        <v/>
      </c>
      <c r="H358" s="53" t="n">
        <v>338</v>
      </c>
      <c r="I358" s="67" t="n"/>
      <c r="J358" s="55" t="n"/>
      <c r="K358" s="68" t="n"/>
      <c r="L358" s="68" t="n"/>
      <c r="M358" s="59">
        <f>IF(OR(L358="",K358=""),"",MAX(L358-K358,0))</f>
        <v/>
      </c>
      <c r="N358" s="59">
        <f>IF(M358="","",IF(N(J358)=0,1,J358))</f>
        <v/>
      </c>
    </row>
    <row r="359">
      <c r="A359" s="53" t="n">
        <v>339</v>
      </c>
      <c r="B359" s="67" t="n"/>
      <c r="C359" s="55" t="n"/>
      <c r="D359" s="68" t="n"/>
      <c r="E359" s="68" t="n"/>
      <c r="F359" s="59">
        <f>IF(OR(E359="",D359=""),"",MAX(E359-D359,0))</f>
        <v/>
      </c>
      <c r="G359" s="59">
        <f>IF(F359="","",IF(N(C359)=0,1,C359))</f>
        <v/>
      </c>
      <c r="H359" s="53" t="n">
        <v>339</v>
      </c>
      <c r="I359" s="67" t="n"/>
      <c r="J359" s="55" t="n"/>
      <c r="K359" s="68" t="n"/>
      <c r="L359" s="68" t="n"/>
      <c r="M359" s="59">
        <f>IF(OR(L359="",K359=""),"",MAX(L359-K359,0))</f>
        <v/>
      </c>
      <c r="N359" s="59">
        <f>IF(M359="","",IF(N(J359)=0,1,J359))</f>
        <v/>
      </c>
    </row>
    <row r="360">
      <c r="A360" s="53" t="n">
        <v>340</v>
      </c>
      <c r="B360" s="67" t="n"/>
      <c r="C360" s="55" t="n"/>
      <c r="D360" s="68" t="n"/>
      <c r="E360" s="68" t="n"/>
      <c r="F360" s="59">
        <f>IF(OR(E360="",D360=""),"",MAX(E360-D360,0))</f>
        <v/>
      </c>
      <c r="G360" s="59">
        <f>IF(F360="","",IF(N(C360)=0,1,C360))</f>
        <v/>
      </c>
      <c r="H360" s="53" t="n">
        <v>340</v>
      </c>
      <c r="I360" s="67" t="n"/>
      <c r="J360" s="55" t="n"/>
      <c r="K360" s="68" t="n"/>
      <c r="L360" s="68" t="n"/>
      <c r="M360" s="59">
        <f>IF(OR(L360="",K360=""),"",MAX(L360-K360,0))</f>
        <v/>
      </c>
      <c r="N360" s="59">
        <f>IF(M360="","",IF(N(J360)=0,1,J360))</f>
        <v/>
      </c>
    </row>
    <row r="361">
      <c r="A361" s="53" t="n">
        <v>341</v>
      </c>
      <c r="B361" s="67" t="n"/>
      <c r="C361" s="55" t="n"/>
      <c r="D361" s="68" t="n"/>
      <c r="E361" s="68" t="n"/>
      <c r="F361" s="59">
        <f>IF(OR(E361="",D361=""),"",MAX(E361-D361,0))</f>
        <v/>
      </c>
      <c r="G361" s="59">
        <f>IF(F361="","",IF(N(C361)=0,1,C361))</f>
        <v/>
      </c>
      <c r="H361" s="53" t="n">
        <v>341</v>
      </c>
      <c r="I361" s="67" t="n"/>
      <c r="J361" s="55" t="n"/>
      <c r="K361" s="68" t="n"/>
      <c r="L361" s="68" t="n"/>
      <c r="M361" s="59">
        <f>IF(OR(L361="",K361=""),"",MAX(L361-K361,0))</f>
        <v/>
      </c>
      <c r="N361" s="59">
        <f>IF(M361="","",IF(N(J361)=0,1,J361))</f>
        <v/>
      </c>
    </row>
    <row r="362">
      <c r="A362" s="53" t="n">
        <v>342</v>
      </c>
      <c r="B362" s="67" t="n"/>
      <c r="C362" s="55" t="n"/>
      <c r="D362" s="68" t="n"/>
      <c r="E362" s="68" t="n"/>
      <c r="F362" s="59">
        <f>IF(OR(E362="",D362=""),"",MAX(E362-D362,0))</f>
        <v/>
      </c>
      <c r="G362" s="59">
        <f>IF(F362="","",IF(N(C362)=0,1,C362))</f>
        <v/>
      </c>
      <c r="H362" s="53" t="n">
        <v>342</v>
      </c>
      <c r="I362" s="67" t="n"/>
      <c r="J362" s="55" t="n"/>
      <c r="K362" s="68" t="n"/>
      <c r="L362" s="68" t="n"/>
      <c r="M362" s="59">
        <f>IF(OR(L362="",K362=""),"",MAX(L362-K362,0))</f>
        <v/>
      </c>
      <c r="N362" s="59">
        <f>IF(M362="","",IF(N(J362)=0,1,J362))</f>
        <v/>
      </c>
    </row>
    <row r="363">
      <c r="A363" s="53" t="n">
        <v>343</v>
      </c>
      <c r="B363" s="67" t="n"/>
      <c r="C363" s="55" t="n"/>
      <c r="D363" s="68" t="n"/>
      <c r="E363" s="68" t="n"/>
      <c r="F363" s="59">
        <f>IF(OR(E363="",D363=""),"",MAX(E363-D363,0))</f>
        <v/>
      </c>
      <c r="G363" s="59">
        <f>IF(F363="","",IF(N(C363)=0,1,C363))</f>
        <v/>
      </c>
      <c r="H363" s="53" t="n">
        <v>343</v>
      </c>
      <c r="I363" s="67" t="n"/>
      <c r="J363" s="55" t="n"/>
      <c r="K363" s="68" t="n"/>
      <c r="L363" s="68" t="n"/>
      <c r="M363" s="59">
        <f>IF(OR(L363="",K363=""),"",MAX(L363-K363,0))</f>
        <v/>
      </c>
      <c r="N363" s="59">
        <f>IF(M363="","",IF(N(J363)=0,1,J363))</f>
        <v/>
      </c>
    </row>
    <row r="364">
      <c r="A364" s="53" t="n">
        <v>344</v>
      </c>
      <c r="B364" s="67" t="n"/>
      <c r="C364" s="55" t="n"/>
      <c r="D364" s="68" t="n"/>
      <c r="E364" s="68" t="n"/>
      <c r="F364" s="59">
        <f>IF(OR(E364="",D364=""),"",MAX(E364-D364,0))</f>
        <v/>
      </c>
      <c r="G364" s="59">
        <f>IF(F364="","",IF(N(C364)=0,1,C364))</f>
        <v/>
      </c>
      <c r="H364" s="53" t="n">
        <v>344</v>
      </c>
      <c r="I364" s="67" t="n"/>
      <c r="J364" s="55" t="n"/>
      <c r="K364" s="68" t="n"/>
      <c r="L364" s="68" t="n"/>
      <c r="M364" s="59">
        <f>IF(OR(L364="",K364=""),"",MAX(L364-K364,0))</f>
        <v/>
      </c>
      <c r="N364" s="59">
        <f>IF(M364="","",IF(N(J364)=0,1,J364))</f>
        <v/>
      </c>
    </row>
    <row r="365">
      <c r="A365" s="53" t="n">
        <v>345</v>
      </c>
      <c r="B365" s="67" t="n"/>
      <c r="C365" s="55" t="n"/>
      <c r="D365" s="68" t="n"/>
      <c r="E365" s="68" t="n"/>
      <c r="F365" s="59">
        <f>IF(OR(E365="",D365=""),"",MAX(E365-D365,0))</f>
        <v/>
      </c>
      <c r="G365" s="59">
        <f>IF(F365="","",IF(N(C365)=0,1,C365))</f>
        <v/>
      </c>
      <c r="H365" s="53" t="n">
        <v>345</v>
      </c>
      <c r="I365" s="67" t="n"/>
      <c r="J365" s="55" t="n"/>
      <c r="K365" s="68" t="n"/>
      <c r="L365" s="68" t="n"/>
      <c r="M365" s="59">
        <f>IF(OR(L365="",K365=""),"",MAX(L365-K365,0))</f>
        <v/>
      </c>
      <c r="N365" s="59">
        <f>IF(M365="","",IF(N(J365)=0,1,J365))</f>
        <v/>
      </c>
    </row>
    <row r="366">
      <c r="A366" s="53" t="n">
        <v>346</v>
      </c>
      <c r="B366" s="67" t="n"/>
      <c r="C366" s="55" t="n"/>
      <c r="D366" s="68" t="n"/>
      <c r="E366" s="68" t="n"/>
      <c r="F366" s="59">
        <f>IF(OR(E366="",D366=""),"",MAX(E366-D366,0))</f>
        <v/>
      </c>
      <c r="G366" s="59">
        <f>IF(F366="","",IF(N(C366)=0,1,C366))</f>
        <v/>
      </c>
      <c r="H366" s="53" t="n">
        <v>346</v>
      </c>
      <c r="I366" s="67" t="n"/>
      <c r="J366" s="55" t="n"/>
      <c r="K366" s="68" t="n"/>
      <c r="L366" s="68" t="n"/>
      <c r="M366" s="59">
        <f>IF(OR(L366="",K366=""),"",MAX(L366-K366,0))</f>
        <v/>
      </c>
      <c r="N366" s="59">
        <f>IF(M366="","",IF(N(J366)=0,1,J366))</f>
        <v/>
      </c>
    </row>
    <row r="367">
      <c r="A367" s="53" t="n">
        <v>347</v>
      </c>
      <c r="B367" s="67" t="n"/>
      <c r="C367" s="55" t="n"/>
      <c r="D367" s="68" t="n"/>
      <c r="E367" s="68" t="n"/>
      <c r="F367" s="59">
        <f>IF(OR(E367="",D367=""),"",MAX(E367-D367,0))</f>
        <v/>
      </c>
      <c r="G367" s="59">
        <f>IF(F367="","",IF(N(C367)=0,1,C367))</f>
        <v/>
      </c>
      <c r="H367" s="53" t="n">
        <v>347</v>
      </c>
      <c r="I367" s="67" t="n"/>
      <c r="J367" s="55" t="n"/>
      <c r="K367" s="68" t="n"/>
      <c r="L367" s="68" t="n"/>
      <c r="M367" s="59">
        <f>IF(OR(L367="",K367=""),"",MAX(L367-K367,0))</f>
        <v/>
      </c>
      <c r="N367" s="59">
        <f>IF(M367="","",IF(N(J367)=0,1,J367))</f>
        <v/>
      </c>
    </row>
    <row r="368">
      <c r="A368" s="53" t="n">
        <v>348</v>
      </c>
      <c r="B368" s="67" t="n"/>
      <c r="C368" s="55" t="n"/>
      <c r="D368" s="68" t="n"/>
      <c r="E368" s="68" t="n"/>
      <c r="F368" s="59">
        <f>IF(OR(E368="",D368=""),"",MAX(E368-D368,0))</f>
        <v/>
      </c>
      <c r="G368" s="59">
        <f>IF(F368="","",IF(N(C368)=0,1,C368))</f>
        <v/>
      </c>
      <c r="H368" s="53" t="n">
        <v>348</v>
      </c>
      <c r="I368" s="67" t="n"/>
      <c r="J368" s="55" t="n"/>
      <c r="K368" s="68" t="n"/>
      <c r="L368" s="68" t="n"/>
      <c r="M368" s="59">
        <f>IF(OR(L368="",K368=""),"",MAX(L368-K368,0))</f>
        <v/>
      </c>
      <c r="N368" s="59">
        <f>IF(M368="","",IF(N(J368)=0,1,J368))</f>
        <v/>
      </c>
    </row>
    <row r="369">
      <c r="A369" s="53" t="n">
        <v>349</v>
      </c>
      <c r="B369" s="67" t="n"/>
      <c r="C369" s="55" t="n"/>
      <c r="D369" s="68" t="n"/>
      <c r="E369" s="68" t="n"/>
      <c r="F369" s="59">
        <f>IF(OR(E369="",D369=""),"",MAX(E369-D369,0))</f>
        <v/>
      </c>
      <c r="G369" s="59">
        <f>IF(F369="","",IF(N(C369)=0,1,C369))</f>
        <v/>
      </c>
      <c r="H369" s="53" t="n">
        <v>349</v>
      </c>
      <c r="I369" s="67" t="n"/>
      <c r="J369" s="55" t="n"/>
      <c r="K369" s="68" t="n"/>
      <c r="L369" s="68" t="n"/>
      <c r="M369" s="59">
        <f>IF(OR(L369="",K369=""),"",MAX(L369-K369,0))</f>
        <v/>
      </c>
      <c r="N369" s="59">
        <f>IF(M369="","",IF(N(J369)=0,1,J369))</f>
        <v/>
      </c>
    </row>
    <row r="370">
      <c r="A370" s="53" t="n">
        <v>350</v>
      </c>
      <c r="B370" s="67" t="n"/>
      <c r="C370" s="55" t="n"/>
      <c r="D370" s="68" t="n"/>
      <c r="E370" s="68" t="n"/>
      <c r="F370" s="59">
        <f>IF(OR(E370="",D370=""),"",MAX(E370-D370,0))</f>
        <v/>
      </c>
      <c r="G370" s="59">
        <f>IF(F370="","",IF(N(C370)=0,1,C370))</f>
        <v/>
      </c>
      <c r="H370" s="53" t="n">
        <v>350</v>
      </c>
      <c r="I370" s="67" t="n"/>
      <c r="J370" s="55" t="n"/>
      <c r="K370" s="68" t="n"/>
      <c r="L370" s="68" t="n"/>
      <c r="M370" s="59">
        <f>IF(OR(L370="",K370=""),"",MAX(L370-K370,0))</f>
        <v/>
      </c>
      <c r="N370" s="59">
        <f>IF(M370="","",IF(N(J370)=0,1,J370))</f>
        <v/>
      </c>
    </row>
    <row r="371">
      <c r="A371" s="53" t="n">
        <v>351</v>
      </c>
      <c r="B371" s="67" t="n"/>
      <c r="C371" s="55" t="n"/>
      <c r="D371" s="68" t="n"/>
      <c r="E371" s="68" t="n"/>
      <c r="F371" s="59">
        <f>IF(OR(E371="",D371=""),"",MAX(E371-D371,0))</f>
        <v/>
      </c>
      <c r="G371" s="59">
        <f>IF(F371="","",IF(N(C371)=0,1,C371))</f>
        <v/>
      </c>
      <c r="H371" s="53" t="n">
        <v>351</v>
      </c>
      <c r="I371" s="67" t="n"/>
      <c r="J371" s="55" t="n"/>
      <c r="K371" s="68" t="n"/>
      <c r="L371" s="68" t="n"/>
      <c r="M371" s="59">
        <f>IF(OR(L371="",K371=""),"",MAX(L371-K371,0))</f>
        <v/>
      </c>
      <c r="N371" s="59">
        <f>IF(M371="","",IF(N(J371)=0,1,J371))</f>
        <v/>
      </c>
    </row>
    <row r="372">
      <c r="A372" s="53" t="n">
        <v>352</v>
      </c>
      <c r="B372" s="67" t="n"/>
      <c r="C372" s="55" t="n"/>
      <c r="D372" s="68" t="n"/>
      <c r="E372" s="68" t="n"/>
      <c r="F372" s="59">
        <f>IF(OR(E372="",D372=""),"",MAX(E372-D372,0))</f>
        <v/>
      </c>
      <c r="G372" s="59">
        <f>IF(F372="","",IF(N(C372)=0,1,C372))</f>
        <v/>
      </c>
      <c r="H372" s="53" t="n">
        <v>352</v>
      </c>
      <c r="I372" s="67" t="n"/>
      <c r="J372" s="55" t="n"/>
      <c r="K372" s="68" t="n"/>
      <c r="L372" s="68" t="n"/>
      <c r="M372" s="59">
        <f>IF(OR(L372="",K372=""),"",MAX(L372-K372,0))</f>
        <v/>
      </c>
      <c r="N372" s="59">
        <f>IF(M372="","",IF(N(J372)=0,1,J372))</f>
        <v/>
      </c>
    </row>
    <row r="373">
      <c r="A373" s="53" t="n">
        <v>353</v>
      </c>
      <c r="B373" s="67" t="n"/>
      <c r="C373" s="55" t="n"/>
      <c r="D373" s="68" t="n"/>
      <c r="E373" s="68" t="n"/>
      <c r="F373" s="59">
        <f>IF(OR(E373="",D373=""),"",MAX(E373-D373,0))</f>
        <v/>
      </c>
      <c r="G373" s="59">
        <f>IF(F373="","",IF(N(C373)=0,1,C373))</f>
        <v/>
      </c>
      <c r="H373" s="53" t="n">
        <v>353</v>
      </c>
      <c r="I373" s="67" t="n"/>
      <c r="J373" s="55" t="n"/>
      <c r="K373" s="68" t="n"/>
      <c r="L373" s="68" t="n"/>
      <c r="M373" s="59">
        <f>IF(OR(L373="",K373=""),"",MAX(L373-K373,0))</f>
        <v/>
      </c>
      <c r="N373" s="59">
        <f>IF(M373="","",IF(N(J373)=0,1,J373))</f>
        <v/>
      </c>
    </row>
    <row r="374">
      <c r="A374" s="53" t="n">
        <v>354</v>
      </c>
      <c r="B374" s="67" t="n"/>
      <c r="C374" s="55" t="n"/>
      <c r="D374" s="68" t="n"/>
      <c r="E374" s="68" t="n"/>
      <c r="F374" s="59">
        <f>IF(OR(E374="",D374=""),"",MAX(E374-D374,0))</f>
        <v/>
      </c>
      <c r="G374" s="59">
        <f>IF(F374="","",IF(N(C374)=0,1,C374))</f>
        <v/>
      </c>
      <c r="H374" s="53" t="n">
        <v>354</v>
      </c>
      <c r="I374" s="67" t="n"/>
      <c r="J374" s="55" t="n"/>
      <c r="K374" s="68" t="n"/>
      <c r="L374" s="68" t="n"/>
      <c r="M374" s="59">
        <f>IF(OR(L374="",K374=""),"",MAX(L374-K374,0))</f>
        <v/>
      </c>
      <c r="N374" s="59">
        <f>IF(M374="","",IF(N(J374)=0,1,J374))</f>
        <v/>
      </c>
    </row>
    <row r="375">
      <c r="A375" s="53" t="n">
        <v>355</v>
      </c>
      <c r="B375" s="67" t="n"/>
      <c r="C375" s="55" t="n"/>
      <c r="D375" s="68" t="n"/>
      <c r="E375" s="68" t="n"/>
      <c r="F375" s="59">
        <f>IF(OR(E375="",D375=""),"",MAX(E375-D375,0))</f>
        <v/>
      </c>
      <c r="G375" s="59">
        <f>IF(F375="","",IF(N(C375)=0,1,C375))</f>
        <v/>
      </c>
      <c r="H375" s="53" t="n">
        <v>355</v>
      </c>
      <c r="I375" s="67" t="n"/>
      <c r="J375" s="55" t="n"/>
      <c r="K375" s="68" t="n"/>
      <c r="L375" s="68" t="n"/>
      <c r="M375" s="59">
        <f>IF(OR(L375="",K375=""),"",MAX(L375-K375,0))</f>
        <v/>
      </c>
      <c r="N375" s="59">
        <f>IF(M375="","",IF(N(J375)=0,1,J375))</f>
        <v/>
      </c>
    </row>
    <row r="376">
      <c r="A376" s="53" t="n">
        <v>356</v>
      </c>
      <c r="B376" s="67" t="n"/>
      <c r="C376" s="55" t="n"/>
      <c r="D376" s="68" t="n"/>
      <c r="E376" s="68" t="n"/>
      <c r="F376" s="59">
        <f>IF(OR(E376="",D376=""),"",MAX(E376-D376,0))</f>
        <v/>
      </c>
      <c r="G376" s="59">
        <f>IF(F376="","",IF(N(C376)=0,1,C376))</f>
        <v/>
      </c>
      <c r="H376" s="53" t="n">
        <v>356</v>
      </c>
      <c r="I376" s="67" t="n"/>
      <c r="J376" s="55" t="n"/>
      <c r="K376" s="68" t="n"/>
      <c r="L376" s="68" t="n"/>
      <c r="M376" s="59">
        <f>IF(OR(L376="",K376=""),"",MAX(L376-K376,0))</f>
        <v/>
      </c>
      <c r="N376" s="59">
        <f>IF(M376="","",IF(N(J376)=0,1,J376))</f>
        <v/>
      </c>
    </row>
    <row r="377">
      <c r="A377" s="53" t="n">
        <v>357</v>
      </c>
      <c r="B377" s="67" t="n"/>
      <c r="C377" s="55" t="n"/>
      <c r="D377" s="68" t="n"/>
      <c r="E377" s="68" t="n"/>
      <c r="F377" s="59">
        <f>IF(OR(E377="",D377=""),"",MAX(E377-D377,0))</f>
        <v/>
      </c>
      <c r="G377" s="59">
        <f>IF(F377="","",IF(N(C377)=0,1,C377))</f>
        <v/>
      </c>
      <c r="H377" s="53" t="n">
        <v>357</v>
      </c>
      <c r="I377" s="67" t="n"/>
      <c r="J377" s="55" t="n"/>
      <c r="K377" s="68" t="n"/>
      <c r="L377" s="68" t="n"/>
      <c r="M377" s="59">
        <f>IF(OR(L377="",K377=""),"",MAX(L377-K377,0))</f>
        <v/>
      </c>
      <c r="N377" s="59">
        <f>IF(M377="","",IF(N(J377)=0,1,J377))</f>
        <v/>
      </c>
    </row>
    <row r="378">
      <c r="A378" s="53" t="n">
        <v>358</v>
      </c>
      <c r="B378" s="67" t="n"/>
      <c r="C378" s="55" t="n"/>
      <c r="D378" s="68" t="n"/>
      <c r="E378" s="68" t="n"/>
      <c r="F378" s="59">
        <f>IF(OR(E378="",D378=""),"",MAX(E378-D378,0))</f>
        <v/>
      </c>
      <c r="G378" s="59">
        <f>IF(F378="","",IF(N(C378)=0,1,C378))</f>
        <v/>
      </c>
      <c r="H378" s="53" t="n">
        <v>358</v>
      </c>
      <c r="I378" s="67" t="n"/>
      <c r="J378" s="55" t="n"/>
      <c r="K378" s="68" t="n"/>
      <c r="L378" s="68" t="n"/>
      <c r="M378" s="59">
        <f>IF(OR(L378="",K378=""),"",MAX(L378-K378,0))</f>
        <v/>
      </c>
      <c r="N378" s="59">
        <f>IF(M378="","",IF(N(J378)=0,1,J378))</f>
        <v/>
      </c>
    </row>
    <row r="379">
      <c r="A379" s="53" t="n">
        <v>359</v>
      </c>
      <c r="B379" s="67" t="n"/>
      <c r="C379" s="55" t="n"/>
      <c r="D379" s="68" t="n"/>
      <c r="E379" s="68" t="n"/>
      <c r="F379" s="59">
        <f>IF(OR(E379="",D379=""),"",MAX(E379-D379,0))</f>
        <v/>
      </c>
      <c r="G379" s="59">
        <f>IF(F379="","",IF(N(C379)=0,1,C379))</f>
        <v/>
      </c>
      <c r="H379" s="53" t="n">
        <v>359</v>
      </c>
      <c r="I379" s="67" t="n"/>
      <c r="J379" s="55" t="n"/>
      <c r="K379" s="68" t="n"/>
      <c r="L379" s="68" t="n"/>
      <c r="M379" s="59">
        <f>IF(OR(L379="",K379=""),"",MAX(L379-K379,0))</f>
        <v/>
      </c>
      <c r="N379" s="59">
        <f>IF(M379="","",IF(N(J379)=0,1,J379))</f>
        <v/>
      </c>
    </row>
    <row r="380">
      <c r="A380" s="53" t="n">
        <v>360</v>
      </c>
      <c r="B380" s="67" t="n"/>
      <c r="C380" s="55" t="n"/>
      <c r="D380" s="68" t="n"/>
      <c r="E380" s="68" t="n"/>
      <c r="F380" s="59">
        <f>IF(OR(E380="",D380=""),"",MAX(E380-D380,0))</f>
        <v/>
      </c>
      <c r="G380" s="59">
        <f>IF(F380="","",IF(N(C380)=0,1,C380))</f>
        <v/>
      </c>
      <c r="H380" s="53" t="n">
        <v>360</v>
      </c>
      <c r="I380" s="67" t="n"/>
      <c r="J380" s="55" t="n"/>
      <c r="K380" s="68" t="n"/>
      <c r="L380" s="68" t="n"/>
      <c r="M380" s="59">
        <f>IF(OR(L380="",K380=""),"",MAX(L380-K380,0))</f>
        <v/>
      </c>
      <c r="N380" s="59">
        <f>IF(M380="","",IF(N(J380)=0,1,J380))</f>
        <v/>
      </c>
    </row>
    <row r="381">
      <c r="A381" s="53" t="n">
        <v>361</v>
      </c>
      <c r="B381" s="67" t="n"/>
      <c r="C381" s="55" t="n"/>
      <c r="D381" s="68" t="n"/>
      <c r="E381" s="68" t="n"/>
      <c r="F381" s="59">
        <f>IF(OR(E381="",D381=""),"",MAX(E381-D381,0))</f>
        <v/>
      </c>
      <c r="G381" s="59">
        <f>IF(F381="","",IF(N(C381)=0,1,C381))</f>
        <v/>
      </c>
      <c r="H381" s="53" t="n">
        <v>361</v>
      </c>
      <c r="I381" s="67" t="n"/>
      <c r="J381" s="55" t="n"/>
      <c r="K381" s="68" t="n"/>
      <c r="L381" s="68" t="n"/>
      <c r="M381" s="59">
        <f>IF(OR(L381="",K381=""),"",MAX(L381-K381,0))</f>
        <v/>
      </c>
      <c r="N381" s="59">
        <f>IF(M381="","",IF(N(J381)=0,1,J381))</f>
        <v/>
      </c>
    </row>
    <row r="382">
      <c r="A382" s="53" t="n">
        <v>362</v>
      </c>
      <c r="B382" s="67" t="n"/>
      <c r="C382" s="55" t="n"/>
      <c r="D382" s="68" t="n"/>
      <c r="E382" s="68" t="n"/>
      <c r="F382" s="59">
        <f>IF(OR(E382="",D382=""),"",MAX(E382-D382,0))</f>
        <v/>
      </c>
      <c r="G382" s="59">
        <f>IF(F382="","",IF(N(C382)=0,1,C382))</f>
        <v/>
      </c>
      <c r="H382" s="53" t="n">
        <v>362</v>
      </c>
      <c r="I382" s="67" t="n"/>
      <c r="J382" s="55" t="n"/>
      <c r="K382" s="68" t="n"/>
      <c r="L382" s="68" t="n"/>
      <c r="M382" s="59">
        <f>IF(OR(L382="",K382=""),"",MAX(L382-K382,0))</f>
        <v/>
      </c>
      <c r="N382" s="59">
        <f>IF(M382="","",IF(N(J382)=0,1,J382))</f>
        <v/>
      </c>
    </row>
    <row r="383">
      <c r="A383" s="53" t="n">
        <v>363</v>
      </c>
      <c r="B383" s="67" t="n"/>
      <c r="C383" s="55" t="n"/>
      <c r="D383" s="68" t="n"/>
      <c r="E383" s="68" t="n"/>
      <c r="F383" s="59">
        <f>IF(OR(E383="",D383=""),"",MAX(E383-D383,0))</f>
        <v/>
      </c>
      <c r="G383" s="59">
        <f>IF(F383="","",IF(N(C383)=0,1,C383))</f>
        <v/>
      </c>
      <c r="H383" s="53" t="n">
        <v>363</v>
      </c>
      <c r="I383" s="67" t="n"/>
      <c r="J383" s="55" t="n"/>
      <c r="K383" s="68" t="n"/>
      <c r="L383" s="68" t="n"/>
      <c r="M383" s="59">
        <f>IF(OR(L383="",K383=""),"",MAX(L383-K383,0))</f>
        <v/>
      </c>
      <c r="N383" s="59">
        <f>IF(M383="","",IF(N(J383)=0,1,J383))</f>
        <v/>
      </c>
    </row>
    <row r="384">
      <c r="A384" s="53" t="n">
        <v>364</v>
      </c>
      <c r="B384" s="67" t="n"/>
      <c r="C384" s="55" t="n"/>
      <c r="D384" s="68" t="n"/>
      <c r="E384" s="68" t="n"/>
      <c r="F384" s="59">
        <f>IF(OR(E384="",D384=""),"",MAX(E384-D384,0))</f>
        <v/>
      </c>
      <c r="G384" s="59">
        <f>IF(F384="","",IF(N(C384)=0,1,C384))</f>
        <v/>
      </c>
      <c r="H384" s="53" t="n">
        <v>364</v>
      </c>
      <c r="I384" s="67" t="n"/>
      <c r="J384" s="55" t="n"/>
      <c r="K384" s="68" t="n"/>
      <c r="L384" s="68" t="n"/>
      <c r="M384" s="59">
        <f>IF(OR(L384="",K384=""),"",MAX(L384-K384,0))</f>
        <v/>
      </c>
      <c r="N384" s="59">
        <f>IF(M384="","",IF(N(J384)=0,1,J384))</f>
        <v/>
      </c>
    </row>
    <row r="385">
      <c r="A385" s="53" t="n">
        <v>365</v>
      </c>
      <c r="B385" s="67" t="n"/>
      <c r="C385" s="55" t="n"/>
      <c r="D385" s="68" t="n"/>
      <c r="E385" s="68" t="n"/>
      <c r="F385" s="59">
        <f>IF(OR(E385="",D385=""),"",MAX(E385-D385,0))</f>
        <v/>
      </c>
      <c r="G385" s="59">
        <f>IF(F385="","",IF(N(C385)=0,1,C385))</f>
        <v/>
      </c>
      <c r="H385" s="53" t="n">
        <v>365</v>
      </c>
      <c r="I385" s="67" t="n"/>
      <c r="J385" s="55" t="n"/>
      <c r="K385" s="68" t="n"/>
      <c r="L385" s="68" t="n"/>
      <c r="M385" s="59">
        <f>IF(OR(L385="",K385=""),"",MAX(L385-K385,0))</f>
        <v/>
      </c>
      <c r="N385" s="59">
        <f>IF(M385="","",IF(N(J385)=0,1,J385))</f>
        <v/>
      </c>
    </row>
    <row r="386">
      <c r="A386" s="53" t="n">
        <v>366</v>
      </c>
      <c r="B386" s="67" t="n"/>
      <c r="C386" s="55" t="n"/>
      <c r="D386" s="68" t="n"/>
      <c r="E386" s="68" t="n"/>
      <c r="F386" s="59">
        <f>IF(OR(E386="",D386=""),"",MAX(E386-D386,0))</f>
        <v/>
      </c>
      <c r="G386" s="59">
        <f>IF(F386="","",IF(N(C386)=0,1,C386))</f>
        <v/>
      </c>
      <c r="H386" s="53" t="n">
        <v>366</v>
      </c>
      <c r="I386" s="67" t="n"/>
      <c r="J386" s="55" t="n"/>
      <c r="K386" s="68" t="n"/>
      <c r="L386" s="68" t="n"/>
      <c r="M386" s="59">
        <f>IF(OR(L386="",K386=""),"",MAX(L386-K386,0))</f>
        <v/>
      </c>
      <c r="N386" s="59">
        <f>IF(M386="","",IF(N(J386)=0,1,J386))</f>
        <v/>
      </c>
    </row>
    <row r="387">
      <c r="A387" s="53" t="n">
        <v>367</v>
      </c>
      <c r="B387" s="67" t="n"/>
      <c r="C387" s="55" t="n"/>
      <c r="D387" s="68" t="n"/>
      <c r="E387" s="68" t="n"/>
      <c r="F387" s="59">
        <f>IF(OR(E387="",D387=""),"",MAX(E387-D387,0))</f>
        <v/>
      </c>
      <c r="G387" s="59">
        <f>IF(F387="","",IF(N(C387)=0,1,C387))</f>
        <v/>
      </c>
      <c r="H387" s="53" t="n">
        <v>367</v>
      </c>
      <c r="I387" s="67" t="n"/>
      <c r="J387" s="55" t="n"/>
      <c r="K387" s="68" t="n"/>
      <c r="L387" s="68" t="n"/>
      <c r="M387" s="59">
        <f>IF(OR(L387="",K387=""),"",MAX(L387-K387,0))</f>
        <v/>
      </c>
      <c r="N387" s="59">
        <f>IF(M387="","",IF(N(J387)=0,1,J387))</f>
        <v/>
      </c>
    </row>
    <row r="388">
      <c r="A388" s="53" t="n">
        <v>368</v>
      </c>
      <c r="B388" s="67" t="n"/>
      <c r="C388" s="55" t="n"/>
      <c r="D388" s="68" t="n"/>
      <c r="E388" s="68" t="n"/>
      <c r="F388" s="59">
        <f>IF(OR(E388="",D388=""),"",MAX(E388-D388,0))</f>
        <v/>
      </c>
      <c r="G388" s="59">
        <f>IF(F388="","",IF(N(C388)=0,1,C388))</f>
        <v/>
      </c>
      <c r="H388" s="53" t="n">
        <v>368</v>
      </c>
      <c r="I388" s="67" t="n"/>
      <c r="J388" s="55" t="n"/>
      <c r="K388" s="68" t="n"/>
      <c r="L388" s="68" t="n"/>
      <c r="M388" s="59">
        <f>IF(OR(L388="",K388=""),"",MAX(L388-K388,0))</f>
        <v/>
      </c>
      <c r="N388" s="59">
        <f>IF(M388="","",IF(N(J388)=0,1,J388))</f>
        <v/>
      </c>
    </row>
    <row r="389">
      <c r="A389" s="53" t="n">
        <v>369</v>
      </c>
      <c r="B389" s="67" t="n"/>
      <c r="C389" s="55" t="n"/>
      <c r="D389" s="68" t="n"/>
      <c r="E389" s="68" t="n"/>
      <c r="F389" s="59">
        <f>IF(OR(E389="",D389=""),"",MAX(E389-D389,0))</f>
        <v/>
      </c>
      <c r="G389" s="59">
        <f>IF(F389="","",IF(N(C389)=0,1,C389))</f>
        <v/>
      </c>
      <c r="H389" s="53" t="n">
        <v>369</v>
      </c>
      <c r="I389" s="67" t="n"/>
      <c r="J389" s="55" t="n"/>
      <c r="K389" s="68" t="n"/>
      <c r="L389" s="68" t="n"/>
      <c r="M389" s="59">
        <f>IF(OR(L389="",K389=""),"",MAX(L389-K389,0))</f>
        <v/>
      </c>
      <c r="N389" s="59">
        <f>IF(M389="","",IF(N(J389)=0,1,J389))</f>
        <v/>
      </c>
    </row>
    <row r="390">
      <c r="A390" s="53" t="n">
        <v>370</v>
      </c>
      <c r="B390" s="67" t="n"/>
      <c r="C390" s="55" t="n"/>
      <c r="D390" s="68" t="n"/>
      <c r="E390" s="68" t="n"/>
      <c r="F390" s="59">
        <f>IF(OR(E390="",D390=""),"",MAX(E390-D390,0))</f>
        <v/>
      </c>
      <c r="G390" s="59">
        <f>IF(F390="","",IF(N(C390)=0,1,C390))</f>
        <v/>
      </c>
      <c r="H390" s="53" t="n">
        <v>370</v>
      </c>
      <c r="I390" s="67" t="n"/>
      <c r="J390" s="55" t="n"/>
      <c r="K390" s="68" t="n"/>
      <c r="L390" s="68" t="n"/>
      <c r="M390" s="59">
        <f>IF(OR(L390="",K390=""),"",MAX(L390-K390,0))</f>
        <v/>
      </c>
      <c r="N390" s="59">
        <f>IF(M390="","",IF(N(J390)=0,1,J390))</f>
        <v/>
      </c>
    </row>
    <row r="391">
      <c r="A391" s="53" t="n">
        <v>371</v>
      </c>
      <c r="B391" s="67" t="n"/>
      <c r="C391" s="55" t="n"/>
      <c r="D391" s="68" t="n"/>
      <c r="E391" s="68" t="n"/>
      <c r="F391" s="59">
        <f>IF(OR(E391="",D391=""),"",MAX(E391-D391,0))</f>
        <v/>
      </c>
      <c r="G391" s="59">
        <f>IF(F391="","",IF(N(C391)=0,1,C391))</f>
        <v/>
      </c>
      <c r="H391" s="53" t="n">
        <v>371</v>
      </c>
      <c r="I391" s="67" t="n"/>
      <c r="J391" s="55" t="n"/>
      <c r="K391" s="68" t="n"/>
      <c r="L391" s="68" t="n"/>
      <c r="M391" s="59">
        <f>IF(OR(L391="",K391=""),"",MAX(L391-K391,0))</f>
        <v/>
      </c>
      <c r="N391" s="59">
        <f>IF(M391="","",IF(N(J391)=0,1,J391))</f>
        <v/>
      </c>
    </row>
    <row r="392">
      <c r="A392" s="53" t="n">
        <v>372</v>
      </c>
      <c r="B392" s="67" t="n"/>
      <c r="C392" s="55" t="n"/>
      <c r="D392" s="68" t="n"/>
      <c r="E392" s="68" t="n"/>
      <c r="F392" s="59">
        <f>IF(OR(E392="",D392=""),"",MAX(E392-D392,0))</f>
        <v/>
      </c>
      <c r="G392" s="59">
        <f>IF(F392="","",IF(N(C392)=0,1,C392))</f>
        <v/>
      </c>
      <c r="H392" s="53" t="n">
        <v>372</v>
      </c>
      <c r="I392" s="67" t="n"/>
      <c r="J392" s="55" t="n"/>
      <c r="K392" s="68" t="n"/>
      <c r="L392" s="68" t="n"/>
      <c r="M392" s="59">
        <f>IF(OR(L392="",K392=""),"",MAX(L392-K392,0))</f>
        <v/>
      </c>
      <c r="N392" s="59">
        <f>IF(M392="","",IF(N(J392)=0,1,J392))</f>
        <v/>
      </c>
    </row>
    <row r="393">
      <c r="A393" s="53" t="n">
        <v>373</v>
      </c>
      <c r="B393" s="67" t="n"/>
      <c r="C393" s="55" t="n"/>
      <c r="D393" s="68" t="n"/>
      <c r="E393" s="68" t="n"/>
      <c r="F393" s="59">
        <f>IF(OR(E393="",D393=""),"",MAX(E393-D393,0))</f>
        <v/>
      </c>
      <c r="G393" s="59">
        <f>IF(F393="","",IF(N(C393)=0,1,C393))</f>
        <v/>
      </c>
      <c r="H393" s="53" t="n">
        <v>373</v>
      </c>
      <c r="I393" s="67" t="n"/>
      <c r="J393" s="55" t="n"/>
      <c r="K393" s="68" t="n"/>
      <c r="L393" s="68" t="n"/>
      <c r="M393" s="59">
        <f>IF(OR(L393="",K393=""),"",MAX(L393-K393,0))</f>
        <v/>
      </c>
      <c r="N393" s="59">
        <f>IF(M393="","",IF(N(J393)=0,1,J393))</f>
        <v/>
      </c>
    </row>
    <row r="394">
      <c r="A394" s="53" t="n">
        <v>374</v>
      </c>
      <c r="B394" s="67" t="n"/>
      <c r="C394" s="55" t="n"/>
      <c r="D394" s="68" t="n"/>
      <c r="E394" s="68" t="n"/>
      <c r="F394" s="59">
        <f>IF(OR(E394="",D394=""),"",MAX(E394-D394,0))</f>
        <v/>
      </c>
      <c r="G394" s="59">
        <f>IF(F394="","",IF(N(C394)=0,1,C394))</f>
        <v/>
      </c>
      <c r="H394" s="53" t="n">
        <v>374</v>
      </c>
      <c r="I394" s="67" t="n"/>
      <c r="J394" s="55" t="n"/>
      <c r="K394" s="68" t="n"/>
      <c r="L394" s="68" t="n"/>
      <c r="M394" s="59">
        <f>IF(OR(L394="",K394=""),"",MAX(L394-K394,0))</f>
        <v/>
      </c>
      <c r="N394" s="59">
        <f>IF(M394="","",IF(N(J394)=0,1,J394))</f>
        <v/>
      </c>
    </row>
    <row r="395">
      <c r="A395" s="53" t="n">
        <v>375</v>
      </c>
      <c r="B395" s="67" t="n"/>
      <c r="C395" s="55" t="n"/>
      <c r="D395" s="68" t="n"/>
      <c r="E395" s="68" t="n"/>
      <c r="F395" s="59">
        <f>IF(OR(E395="",D395=""),"",MAX(E395-D395,0))</f>
        <v/>
      </c>
      <c r="G395" s="59">
        <f>IF(F395="","",IF(N(C395)=0,1,C395))</f>
        <v/>
      </c>
      <c r="H395" s="53" t="n">
        <v>375</v>
      </c>
      <c r="I395" s="67" t="n"/>
      <c r="J395" s="55" t="n"/>
      <c r="K395" s="68" t="n"/>
      <c r="L395" s="68" t="n"/>
      <c r="M395" s="59">
        <f>IF(OR(L395="",K395=""),"",MAX(L395-K395,0))</f>
        <v/>
      </c>
      <c r="N395" s="59">
        <f>IF(M395="","",IF(N(J395)=0,1,J395))</f>
        <v/>
      </c>
    </row>
    <row r="396">
      <c r="A396" s="53" t="n">
        <v>376</v>
      </c>
      <c r="B396" s="67" t="n"/>
      <c r="C396" s="55" t="n"/>
      <c r="D396" s="68" t="n"/>
      <c r="E396" s="68" t="n"/>
      <c r="F396" s="59">
        <f>IF(OR(E396="",D396=""),"",MAX(E396-D396,0))</f>
        <v/>
      </c>
      <c r="G396" s="59">
        <f>IF(F396="","",IF(N(C396)=0,1,C396))</f>
        <v/>
      </c>
      <c r="H396" s="53" t="n">
        <v>376</v>
      </c>
      <c r="I396" s="67" t="n"/>
      <c r="J396" s="55" t="n"/>
      <c r="K396" s="68" t="n"/>
      <c r="L396" s="68" t="n"/>
      <c r="M396" s="59">
        <f>IF(OR(L396="",K396=""),"",MAX(L396-K396,0))</f>
        <v/>
      </c>
      <c r="N396" s="59">
        <f>IF(M396="","",IF(N(J396)=0,1,J396))</f>
        <v/>
      </c>
    </row>
    <row r="397">
      <c r="A397" s="53" t="n">
        <v>377</v>
      </c>
      <c r="B397" s="67" t="n"/>
      <c r="C397" s="55" t="n"/>
      <c r="D397" s="68" t="n"/>
      <c r="E397" s="68" t="n"/>
      <c r="F397" s="59">
        <f>IF(OR(E397="",D397=""),"",MAX(E397-D397,0))</f>
        <v/>
      </c>
      <c r="G397" s="59">
        <f>IF(F397="","",IF(N(C397)=0,1,C397))</f>
        <v/>
      </c>
      <c r="H397" s="53" t="n">
        <v>377</v>
      </c>
      <c r="I397" s="67" t="n"/>
      <c r="J397" s="55" t="n"/>
      <c r="K397" s="68" t="n"/>
      <c r="L397" s="68" t="n"/>
      <c r="M397" s="59">
        <f>IF(OR(L397="",K397=""),"",MAX(L397-K397,0))</f>
        <v/>
      </c>
      <c r="N397" s="59">
        <f>IF(M397="","",IF(N(J397)=0,1,J397))</f>
        <v/>
      </c>
    </row>
    <row r="398">
      <c r="A398" s="53" t="n">
        <v>378</v>
      </c>
      <c r="B398" s="67" t="n"/>
      <c r="C398" s="55" t="n"/>
      <c r="D398" s="68" t="n"/>
      <c r="E398" s="68" t="n"/>
      <c r="F398" s="59">
        <f>IF(OR(E398="",D398=""),"",MAX(E398-D398,0))</f>
        <v/>
      </c>
      <c r="G398" s="59">
        <f>IF(F398="","",IF(N(C398)=0,1,C398))</f>
        <v/>
      </c>
      <c r="H398" s="53" t="n">
        <v>378</v>
      </c>
      <c r="I398" s="67" t="n"/>
      <c r="J398" s="55" t="n"/>
      <c r="K398" s="68" t="n"/>
      <c r="L398" s="68" t="n"/>
      <c r="M398" s="59">
        <f>IF(OR(L398="",K398=""),"",MAX(L398-K398,0))</f>
        <v/>
      </c>
      <c r="N398" s="59">
        <f>IF(M398="","",IF(N(J398)=0,1,J398))</f>
        <v/>
      </c>
    </row>
    <row r="399">
      <c r="A399" s="53" t="n">
        <v>379</v>
      </c>
      <c r="B399" s="67" t="n"/>
      <c r="C399" s="55" t="n"/>
      <c r="D399" s="68" t="n"/>
      <c r="E399" s="68" t="n"/>
      <c r="F399" s="59">
        <f>IF(OR(E399="",D399=""),"",MAX(E399-D399,0))</f>
        <v/>
      </c>
      <c r="G399" s="59">
        <f>IF(F399="","",IF(N(C399)=0,1,C399))</f>
        <v/>
      </c>
      <c r="H399" s="53" t="n">
        <v>379</v>
      </c>
      <c r="I399" s="67" t="n"/>
      <c r="J399" s="55" t="n"/>
      <c r="K399" s="68" t="n"/>
      <c r="L399" s="68" t="n"/>
      <c r="M399" s="59">
        <f>IF(OR(L399="",K399=""),"",MAX(L399-K399,0))</f>
        <v/>
      </c>
      <c r="N399" s="59">
        <f>IF(M399="","",IF(N(J399)=0,1,J399))</f>
        <v/>
      </c>
    </row>
    <row r="400">
      <c r="A400" s="53" t="n">
        <v>380</v>
      </c>
      <c r="B400" s="67" t="n"/>
      <c r="C400" s="55" t="n"/>
      <c r="D400" s="68" t="n"/>
      <c r="E400" s="68" t="n"/>
      <c r="F400" s="59">
        <f>IF(OR(E400="",D400=""),"",MAX(E400-D400,0))</f>
        <v/>
      </c>
      <c r="G400" s="59">
        <f>IF(F400="","",IF(N(C400)=0,1,C400))</f>
        <v/>
      </c>
      <c r="H400" s="53" t="n">
        <v>380</v>
      </c>
      <c r="I400" s="67" t="n"/>
      <c r="J400" s="55" t="n"/>
      <c r="K400" s="68" t="n"/>
      <c r="L400" s="68" t="n"/>
      <c r="M400" s="59">
        <f>IF(OR(L400="",K400=""),"",MAX(L400-K400,0))</f>
        <v/>
      </c>
      <c r="N400" s="59">
        <f>IF(M400="","",IF(N(J400)=0,1,J400))</f>
        <v/>
      </c>
    </row>
    <row r="401">
      <c r="A401" s="53" t="n">
        <v>381</v>
      </c>
      <c r="B401" s="67" t="n"/>
      <c r="C401" s="55" t="n"/>
      <c r="D401" s="68" t="n"/>
      <c r="E401" s="68" t="n"/>
      <c r="F401" s="59">
        <f>IF(OR(E401="",D401=""),"",MAX(E401-D401,0))</f>
        <v/>
      </c>
      <c r="G401" s="59">
        <f>IF(F401="","",IF(N(C401)=0,1,C401))</f>
        <v/>
      </c>
      <c r="H401" s="53" t="n">
        <v>381</v>
      </c>
      <c r="I401" s="67" t="n"/>
      <c r="J401" s="55" t="n"/>
      <c r="K401" s="68" t="n"/>
      <c r="L401" s="68" t="n"/>
      <c r="M401" s="59">
        <f>IF(OR(L401="",K401=""),"",MAX(L401-K401,0))</f>
        <v/>
      </c>
      <c r="N401" s="59">
        <f>IF(M401="","",IF(N(J401)=0,1,J401))</f>
        <v/>
      </c>
    </row>
    <row r="402">
      <c r="A402" s="53" t="n">
        <v>382</v>
      </c>
      <c r="B402" s="67" t="n"/>
      <c r="C402" s="55" t="n"/>
      <c r="D402" s="68" t="n"/>
      <c r="E402" s="68" t="n"/>
      <c r="F402" s="59">
        <f>IF(OR(E402="",D402=""),"",MAX(E402-D402,0))</f>
        <v/>
      </c>
      <c r="G402" s="59">
        <f>IF(F402="","",IF(N(C402)=0,1,C402))</f>
        <v/>
      </c>
      <c r="H402" s="53" t="n">
        <v>382</v>
      </c>
      <c r="I402" s="67" t="n"/>
      <c r="J402" s="55" t="n"/>
      <c r="K402" s="68" t="n"/>
      <c r="L402" s="68" t="n"/>
      <c r="M402" s="59">
        <f>IF(OR(L402="",K402=""),"",MAX(L402-K402,0))</f>
        <v/>
      </c>
      <c r="N402" s="59">
        <f>IF(M402="","",IF(N(J402)=0,1,J402))</f>
        <v/>
      </c>
    </row>
    <row r="403">
      <c r="A403" s="53" t="n">
        <v>383</v>
      </c>
      <c r="B403" s="67" t="n"/>
      <c r="C403" s="55" t="n"/>
      <c r="D403" s="68" t="n"/>
      <c r="E403" s="68" t="n"/>
      <c r="F403" s="59">
        <f>IF(OR(E403="",D403=""),"",MAX(E403-D403,0))</f>
        <v/>
      </c>
      <c r="G403" s="59">
        <f>IF(F403="","",IF(N(C403)=0,1,C403))</f>
        <v/>
      </c>
      <c r="H403" s="53" t="n">
        <v>383</v>
      </c>
      <c r="I403" s="67" t="n"/>
      <c r="J403" s="55" t="n"/>
      <c r="K403" s="68" t="n"/>
      <c r="L403" s="68" t="n"/>
      <c r="M403" s="59">
        <f>IF(OR(L403="",K403=""),"",MAX(L403-K403,0))</f>
        <v/>
      </c>
      <c r="N403" s="59">
        <f>IF(M403="","",IF(N(J403)=0,1,J403))</f>
        <v/>
      </c>
    </row>
    <row r="404">
      <c r="A404" s="53" t="n">
        <v>384</v>
      </c>
      <c r="B404" s="67" t="n"/>
      <c r="C404" s="55" t="n"/>
      <c r="D404" s="68" t="n"/>
      <c r="E404" s="68" t="n"/>
      <c r="F404" s="59">
        <f>IF(OR(E404="",D404=""),"",MAX(E404-D404,0))</f>
        <v/>
      </c>
      <c r="G404" s="59">
        <f>IF(F404="","",IF(N(C404)=0,1,C404))</f>
        <v/>
      </c>
      <c r="H404" s="53" t="n">
        <v>384</v>
      </c>
      <c r="I404" s="67" t="n"/>
      <c r="J404" s="55" t="n"/>
      <c r="K404" s="68" t="n"/>
      <c r="L404" s="68" t="n"/>
      <c r="M404" s="59">
        <f>IF(OR(L404="",K404=""),"",MAX(L404-K404,0))</f>
        <v/>
      </c>
      <c r="N404" s="59">
        <f>IF(M404="","",IF(N(J404)=0,1,J404))</f>
        <v/>
      </c>
    </row>
    <row r="405">
      <c r="A405" s="53" t="n">
        <v>385</v>
      </c>
      <c r="B405" s="67" t="n"/>
      <c r="C405" s="55" t="n"/>
      <c r="D405" s="68" t="n"/>
      <c r="E405" s="68" t="n"/>
      <c r="F405" s="59">
        <f>IF(OR(E405="",D405=""),"",MAX(E405-D405,0))</f>
        <v/>
      </c>
      <c r="G405" s="59">
        <f>IF(F405="","",IF(N(C405)=0,1,C405))</f>
        <v/>
      </c>
      <c r="H405" s="53" t="n">
        <v>385</v>
      </c>
      <c r="I405" s="67" t="n"/>
      <c r="J405" s="55" t="n"/>
      <c r="K405" s="68" t="n"/>
      <c r="L405" s="68" t="n"/>
      <c r="M405" s="59">
        <f>IF(OR(L405="",K405=""),"",MAX(L405-K405,0))</f>
        <v/>
      </c>
      <c r="N405" s="59">
        <f>IF(M405="","",IF(N(J405)=0,1,J405))</f>
        <v/>
      </c>
    </row>
    <row r="406">
      <c r="A406" s="53" t="n">
        <v>386</v>
      </c>
      <c r="B406" s="67" t="n"/>
      <c r="C406" s="55" t="n"/>
      <c r="D406" s="68" t="n"/>
      <c r="E406" s="68" t="n"/>
      <c r="F406" s="59">
        <f>IF(OR(E406="",D406=""),"",MAX(E406-D406,0))</f>
        <v/>
      </c>
      <c r="G406" s="59">
        <f>IF(F406="","",IF(N(C406)=0,1,C406))</f>
        <v/>
      </c>
      <c r="H406" s="53" t="n">
        <v>386</v>
      </c>
      <c r="I406" s="67" t="n"/>
      <c r="J406" s="55" t="n"/>
      <c r="K406" s="68" t="n"/>
      <c r="L406" s="68" t="n"/>
      <c r="M406" s="59">
        <f>IF(OR(L406="",K406=""),"",MAX(L406-K406,0))</f>
        <v/>
      </c>
      <c r="N406" s="59">
        <f>IF(M406="","",IF(N(J406)=0,1,J406))</f>
        <v/>
      </c>
    </row>
    <row r="407">
      <c r="A407" s="53" t="n">
        <v>387</v>
      </c>
      <c r="B407" s="67" t="n"/>
      <c r="C407" s="55" t="n"/>
      <c r="D407" s="68" t="n"/>
      <c r="E407" s="68" t="n"/>
      <c r="F407" s="59">
        <f>IF(OR(E407="",D407=""),"",MAX(E407-D407,0))</f>
        <v/>
      </c>
      <c r="G407" s="59">
        <f>IF(F407="","",IF(N(C407)=0,1,C407))</f>
        <v/>
      </c>
      <c r="H407" s="53" t="n">
        <v>387</v>
      </c>
      <c r="I407" s="67" t="n"/>
      <c r="J407" s="55" t="n"/>
      <c r="K407" s="68" t="n"/>
      <c r="L407" s="68" t="n"/>
      <c r="M407" s="59">
        <f>IF(OR(L407="",K407=""),"",MAX(L407-K407,0))</f>
        <v/>
      </c>
      <c r="N407" s="59">
        <f>IF(M407="","",IF(N(J407)=0,1,J407))</f>
        <v/>
      </c>
    </row>
    <row r="408">
      <c r="A408" s="53" t="n">
        <v>388</v>
      </c>
      <c r="B408" s="67" t="n"/>
      <c r="C408" s="55" t="n"/>
      <c r="D408" s="68" t="n"/>
      <c r="E408" s="68" t="n"/>
      <c r="F408" s="59">
        <f>IF(OR(E408="",D408=""),"",MAX(E408-D408,0))</f>
        <v/>
      </c>
      <c r="G408" s="59">
        <f>IF(F408="","",IF(N(C408)=0,1,C408))</f>
        <v/>
      </c>
      <c r="H408" s="53" t="n">
        <v>388</v>
      </c>
      <c r="I408" s="67" t="n"/>
      <c r="J408" s="55" t="n"/>
      <c r="K408" s="68" t="n"/>
      <c r="L408" s="68" t="n"/>
      <c r="M408" s="59">
        <f>IF(OR(L408="",K408=""),"",MAX(L408-K408,0))</f>
        <v/>
      </c>
      <c r="N408" s="59">
        <f>IF(M408="","",IF(N(J408)=0,1,J408))</f>
        <v/>
      </c>
    </row>
    <row r="409">
      <c r="A409" s="53" t="n">
        <v>389</v>
      </c>
      <c r="B409" s="67" t="n"/>
      <c r="C409" s="55" t="n"/>
      <c r="D409" s="68" t="n"/>
      <c r="E409" s="68" t="n"/>
      <c r="F409" s="59">
        <f>IF(OR(E409="",D409=""),"",MAX(E409-D409,0))</f>
        <v/>
      </c>
      <c r="G409" s="59">
        <f>IF(F409="","",IF(N(C409)=0,1,C409))</f>
        <v/>
      </c>
      <c r="H409" s="53" t="n">
        <v>389</v>
      </c>
      <c r="I409" s="67" t="n"/>
      <c r="J409" s="55" t="n"/>
      <c r="K409" s="68" t="n"/>
      <c r="L409" s="68" t="n"/>
      <c r="M409" s="59">
        <f>IF(OR(L409="",K409=""),"",MAX(L409-K409,0))</f>
        <v/>
      </c>
      <c r="N409" s="59">
        <f>IF(M409="","",IF(N(J409)=0,1,J409))</f>
        <v/>
      </c>
    </row>
    <row r="410">
      <c r="A410" s="53" t="n">
        <v>390</v>
      </c>
      <c r="B410" s="67" t="n"/>
      <c r="C410" s="55" t="n"/>
      <c r="D410" s="68" t="n"/>
      <c r="E410" s="68" t="n"/>
      <c r="F410" s="59">
        <f>IF(OR(E410="",D410=""),"",MAX(E410-D410,0))</f>
        <v/>
      </c>
      <c r="G410" s="59">
        <f>IF(F410="","",IF(N(C410)=0,1,C410))</f>
        <v/>
      </c>
      <c r="H410" s="53" t="n">
        <v>390</v>
      </c>
      <c r="I410" s="67" t="n"/>
      <c r="J410" s="55" t="n"/>
      <c r="K410" s="68" t="n"/>
      <c r="L410" s="68" t="n"/>
      <c r="M410" s="59">
        <f>IF(OR(L410="",K410=""),"",MAX(L410-K410,0))</f>
        <v/>
      </c>
      <c r="N410" s="59">
        <f>IF(M410="","",IF(N(J410)=0,1,J410))</f>
        <v/>
      </c>
    </row>
    <row r="411">
      <c r="A411" s="53" t="n">
        <v>391</v>
      </c>
      <c r="B411" s="67" t="n"/>
      <c r="C411" s="55" t="n"/>
      <c r="D411" s="68" t="n"/>
      <c r="E411" s="68" t="n"/>
      <c r="F411" s="59">
        <f>IF(OR(E411="",D411=""),"",MAX(E411-D411,0))</f>
        <v/>
      </c>
      <c r="G411" s="59">
        <f>IF(F411="","",IF(N(C411)=0,1,C411))</f>
        <v/>
      </c>
      <c r="H411" s="53" t="n">
        <v>391</v>
      </c>
      <c r="I411" s="67" t="n"/>
      <c r="J411" s="55" t="n"/>
      <c r="K411" s="68" t="n"/>
      <c r="L411" s="68" t="n"/>
      <c r="M411" s="59">
        <f>IF(OR(L411="",K411=""),"",MAX(L411-K411,0))</f>
        <v/>
      </c>
      <c r="N411" s="59">
        <f>IF(M411="","",IF(N(J411)=0,1,J411))</f>
        <v/>
      </c>
    </row>
    <row r="412">
      <c r="A412" s="53" t="n">
        <v>392</v>
      </c>
      <c r="B412" s="67" t="n"/>
      <c r="C412" s="55" t="n"/>
      <c r="D412" s="68" t="n"/>
      <c r="E412" s="68" t="n"/>
      <c r="F412" s="59">
        <f>IF(OR(E412="",D412=""),"",MAX(E412-D412,0))</f>
        <v/>
      </c>
      <c r="G412" s="59">
        <f>IF(F412="","",IF(N(C412)=0,1,C412))</f>
        <v/>
      </c>
      <c r="H412" s="53" t="n">
        <v>392</v>
      </c>
      <c r="I412" s="67" t="n"/>
      <c r="J412" s="55" t="n"/>
      <c r="K412" s="68" t="n"/>
      <c r="L412" s="68" t="n"/>
      <c r="M412" s="59">
        <f>IF(OR(L412="",K412=""),"",MAX(L412-K412,0))</f>
        <v/>
      </c>
      <c r="N412" s="59">
        <f>IF(M412="","",IF(N(J412)=0,1,J412))</f>
        <v/>
      </c>
    </row>
    <row r="413">
      <c r="A413" s="53" t="n">
        <v>393</v>
      </c>
      <c r="B413" s="67" t="n"/>
      <c r="C413" s="55" t="n"/>
      <c r="D413" s="68" t="n"/>
      <c r="E413" s="68" t="n"/>
      <c r="F413" s="59">
        <f>IF(OR(E413="",D413=""),"",MAX(E413-D413,0))</f>
        <v/>
      </c>
      <c r="G413" s="59">
        <f>IF(F413="","",IF(N(C413)=0,1,C413))</f>
        <v/>
      </c>
      <c r="H413" s="53" t="n">
        <v>393</v>
      </c>
      <c r="I413" s="67" t="n"/>
      <c r="J413" s="55" t="n"/>
      <c r="K413" s="68" t="n"/>
      <c r="L413" s="68" t="n"/>
      <c r="M413" s="59">
        <f>IF(OR(L413="",K413=""),"",MAX(L413-K413,0))</f>
        <v/>
      </c>
      <c r="N413" s="59">
        <f>IF(M413="","",IF(N(J413)=0,1,J413))</f>
        <v/>
      </c>
    </row>
    <row r="414">
      <c r="A414" s="53" t="n">
        <v>394</v>
      </c>
      <c r="B414" s="67" t="n"/>
      <c r="C414" s="55" t="n"/>
      <c r="D414" s="68" t="n"/>
      <c r="E414" s="68" t="n"/>
      <c r="F414" s="59">
        <f>IF(OR(E414="",D414=""),"",MAX(E414-D414,0))</f>
        <v/>
      </c>
      <c r="G414" s="59">
        <f>IF(F414="","",IF(N(C414)=0,1,C414))</f>
        <v/>
      </c>
      <c r="H414" s="53" t="n">
        <v>394</v>
      </c>
      <c r="I414" s="67" t="n"/>
      <c r="J414" s="55" t="n"/>
      <c r="K414" s="68" t="n"/>
      <c r="L414" s="68" t="n"/>
      <c r="M414" s="59">
        <f>IF(OR(L414="",K414=""),"",MAX(L414-K414,0))</f>
        <v/>
      </c>
      <c r="N414" s="59">
        <f>IF(M414="","",IF(N(J414)=0,1,J414))</f>
        <v/>
      </c>
    </row>
    <row r="415">
      <c r="A415" s="53" t="n">
        <v>395</v>
      </c>
      <c r="B415" s="67" t="n"/>
      <c r="C415" s="55" t="n"/>
      <c r="D415" s="68" t="n"/>
      <c r="E415" s="68" t="n"/>
      <c r="F415" s="59">
        <f>IF(OR(E415="",D415=""),"",MAX(E415-D415,0))</f>
        <v/>
      </c>
      <c r="G415" s="59">
        <f>IF(F415="","",IF(N(C415)=0,1,C415))</f>
        <v/>
      </c>
      <c r="H415" s="53" t="n">
        <v>395</v>
      </c>
      <c r="I415" s="67" t="n"/>
      <c r="J415" s="55" t="n"/>
      <c r="K415" s="68" t="n"/>
      <c r="L415" s="68" t="n"/>
      <c r="M415" s="59">
        <f>IF(OR(L415="",K415=""),"",MAX(L415-K415,0))</f>
        <v/>
      </c>
      <c r="N415" s="59">
        <f>IF(M415="","",IF(N(J415)=0,1,J415))</f>
        <v/>
      </c>
    </row>
    <row r="416">
      <c r="A416" s="53" t="n">
        <v>396</v>
      </c>
      <c r="B416" s="67" t="n"/>
      <c r="C416" s="55" t="n"/>
      <c r="D416" s="68" t="n"/>
      <c r="E416" s="68" t="n"/>
      <c r="F416" s="59">
        <f>IF(OR(E416="",D416=""),"",MAX(E416-D416,0))</f>
        <v/>
      </c>
      <c r="G416" s="59">
        <f>IF(F416="","",IF(N(C416)=0,1,C416))</f>
        <v/>
      </c>
      <c r="H416" s="53" t="n">
        <v>396</v>
      </c>
      <c r="I416" s="67" t="n"/>
      <c r="J416" s="55" t="n"/>
      <c r="K416" s="68" t="n"/>
      <c r="L416" s="68" t="n"/>
      <c r="M416" s="59">
        <f>IF(OR(L416="",K416=""),"",MAX(L416-K416,0))</f>
        <v/>
      </c>
      <c r="N416" s="59">
        <f>IF(M416="","",IF(N(J416)=0,1,J416))</f>
        <v/>
      </c>
    </row>
    <row r="417">
      <c r="A417" s="53" t="n">
        <v>397</v>
      </c>
      <c r="B417" s="67" t="n"/>
      <c r="C417" s="55" t="n"/>
      <c r="D417" s="68" t="n"/>
      <c r="E417" s="68" t="n"/>
      <c r="F417" s="59">
        <f>IF(OR(E417="",D417=""),"",MAX(E417-D417,0))</f>
        <v/>
      </c>
      <c r="G417" s="59">
        <f>IF(F417="","",IF(N(C417)=0,1,C417))</f>
        <v/>
      </c>
      <c r="H417" s="53" t="n">
        <v>397</v>
      </c>
      <c r="I417" s="67" t="n"/>
      <c r="J417" s="55" t="n"/>
      <c r="K417" s="68" t="n"/>
      <c r="L417" s="68" t="n"/>
      <c r="M417" s="59">
        <f>IF(OR(L417="",K417=""),"",MAX(L417-K417,0))</f>
        <v/>
      </c>
      <c r="N417" s="59">
        <f>IF(M417="","",IF(N(J417)=0,1,J417))</f>
        <v/>
      </c>
    </row>
    <row r="418">
      <c r="A418" s="53" t="n">
        <v>398</v>
      </c>
      <c r="B418" s="67" t="n"/>
      <c r="C418" s="55" t="n"/>
      <c r="D418" s="68" t="n"/>
      <c r="E418" s="68" t="n"/>
      <c r="F418" s="59">
        <f>IF(OR(E418="",D418=""),"",MAX(E418-D418,0))</f>
        <v/>
      </c>
      <c r="G418" s="59">
        <f>IF(F418="","",IF(N(C418)=0,1,C418))</f>
        <v/>
      </c>
      <c r="H418" s="53" t="n">
        <v>398</v>
      </c>
      <c r="I418" s="67" t="n"/>
      <c r="J418" s="55" t="n"/>
      <c r="K418" s="68" t="n"/>
      <c r="L418" s="68" t="n"/>
      <c r="M418" s="59">
        <f>IF(OR(L418="",K418=""),"",MAX(L418-K418,0))</f>
        <v/>
      </c>
      <c r="N418" s="59">
        <f>IF(M418="","",IF(N(J418)=0,1,J418))</f>
        <v/>
      </c>
    </row>
    <row r="419">
      <c r="A419" s="53" t="n">
        <v>399</v>
      </c>
      <c r="B419" s="67" t="n"/>
      <c r="C419" s="55" t="n"/>
      <c r="D419" s="68" t="n"/>
      <c r="E419" s="68" t="n"/>
      <c r="F419" s="59">
        <f>IF(OR(E419="",D419=""),"",MAX(E419-D419,0))</f>
        <v/>
      </c>
      <c r="G419" s="59">
        <f>IF(F419="","",IF(N(C419)=0,1,C419))</f>
        <v/>
      </c>
      <c r="H419" s="53" t="n">
        <v>399</v>
      </c>
      <c r="I419" s="67" t="n"/>
      <c r="J419" s="55" t="n"/>
      <c r="K419" s="68" t="n"/>
      <c r="L419" s="68" t="n"/>
      <c r="M419" s="59">
        <f>IF(OR(L419="",K419=""),"",MAX(L419-K419,0))</f>
        <v/>
      </c>
      <c r="N419" s="59">
        <f>IF(M419="","",IF(N(J419)=0,1,J419))</f>
        <v/>
      </c>
    </row>
    <row r="420">
      <c r="A420" s="53" t="n">
        <v>400</v>
      </c>
      <c r="B420" s="67" t="n"/>
      <c r="C420" s="55" t="n"/>
      <c r="D420" s="68" t="n"/>
      <c r="E420" s="68" t="n"/>
      <c r="F420" s="59">
        <f>IF(OR(E420="",D420=""),"",MAX(E420-D420,0))</f>
        <v/>
      </c>
      <c r="G420" s="59">
        <f>IF(F420="","",IF(N(C420)=0,1,C420))</f>
        <v/>
      </c>
      <c r="H420" s="53" t="n">
        <v>400</v>
      </c>
      <c r="I420" s="67" t="n"/>
      <c r="J420" s="55" t="n"/>
      <c r="K420" s="68" t="n"/>
      <c r="L420" s="68" t="n"/>
      <c r="M420" s="59">
        <f>IF(OR(L420="",K420=""),"",MAX(L420-K420,0))</f>
        <v/>
      </c>
      <c r="N420" s="59">
        <f>IF(M420="","",IF(N(J420)=0,1,J420))</f>
        <v/>
      </c>
    </row>
    <row r="421">
      <c r="A421" s="53" t="n">
        <v>401</v>
      </c>
      <c r="B421" s="67" t="n"/>
      <c r="C421" s="55" t="n"/>
      <c r="D421" s="68" t="n"/>
      <c r="E421" s="68" t="n"/>
      <c r="F421" s="59">
        <f>IF(OR(E421="",D421=""),"",MAX(E421-D421,0))</f>
        <v/>
      </c>
      <c r="G421" s="59">
        <f>IF(F421="","",IF(N(C421)=0,1,C421))</f>
        <v/>
      </c>
      <c r="H421" s="53" t="n">
        <v>401</v>
      </c>
      <c r="I421" s="67" t="n"/>
      <c r="J421" s="55" t="n"/>
      <c r="K421" s="68" t="n"/>
      <c r="L421" s="68" t="n"/>
      <c r="M421" s="59">
        <f>IF(OR(L421="",K421=""),"",MAX(L421-K421,0))</f>
        <v/>
      </c>
      <c r="N421" s="59">
        <f>IF(M421="","",IF(N(J421)=0,1,J421))</f>
        <v/>
      </c>
    </row>
    <row r="422">
      <c r="A422" s="53" t="n">
        <v>402</v>
      </c>
      <c r="B422" s="67" t="n"/>
      <c r="C422" s="55" t="n"/>
      <c r="D422" s="68" t="n"/>
      <c r="E422" s="68" t="n"/>
      <c r="F422" s="59">
        <f>IF(OR(E422="",D422=""),"",MAX(E422-D422,0))</f>
        <v/>
      </c>
      <c r="G422" s="59">
        <f>IF(F422="","",IF(N(C422)=0,1,C422))</f>
        <v/>
      </c>
      <c r="H422" s="53" t="n">
        <v>402</v>
      </c>
      <c r="I422" s="67" t="n"/>
      <c r="J422" s="55" t="n"/>
      <c r="K422" s="68" t="n"/>
      <c r="L422" s="68" t="n"/>
      <c r="M422" s="59">
        <f>IF(OR(L422="",K422=""),"",MAX(L422-K422,0))</f>
        <v/>
      </c>
      <c r="N422" s="59">
        <f>IF(M422="","",IF(N(J422)=0,1,J422))</f>
        <v/>
      </c>
    </row>
    <row r="423">
      <c r="A423" s="53" t="n">
        <v>403</v>
      </c>
      <c r="B423" s="67" t="n"/>
      <c r="C423" s="55" t="n"/>
      <c r="D423" s="68" t="n"/>
      <c r="E423" s="68" t="n"/>
      <c r="F423" s="59">
        <f>IF(OR(E423="",D423=""),"",MAX(E423-D423,0))</f>
        <v/>
      </c>
      <c r="G423" s="59">
        <f>IF(F423="","",IF(N(C423)=0,1,C423))</f>
        <v/>
      </c>
      <c r="H423" s="53" t="n">
        <v>403</v>
      </c>
      <c r="I423" s="67" t="n"/>
      <c r="J423" s="55" t="n"/>
      <c r="K423" s="68" t="n"/>
      <c r="L423" s="68" t="n"/>
      <c r="M423" s="59">
        <f>IF(OR(L423="",K423=""),"",MAX(L423-K423,0))</f>
        <v/>
      </c>
      <c r="N423" s="59">
        <f>IF(M423="","",IF(N(J423)=0,1,J423))</f>
        <v/>
      </c>
    </row>
    <row r="424">
      <c r="A424" s="53" t="n">
        <v>404</v>
      </c>
      <c r="B424" s="67" t="n"/>
      <c r="C424" s="55" t="n"/>
      <c r="D424" s="68" t="n"/>
      <c r="E424" s="68" t="n"/>
      <c r="F424" s="59">
        <f>IF(OR(E424="",D424=""),"",MAX(E424-D424,0))</f>
        <v/>
      </c>
      <c r="G424" s="59">
        <f>IF(F424="","",IF(N(C424)=0,1,C424))</f>
        <v/>
      </c>
      <c r="H424" s="53" t="n">
        <v>404</v>
      </c>
      <c r="I424" s="67" t="n"/>
      <c r="J424" s="55" t="n"/>
      <c r="K424" s="68" t="n"/>
      <c r="L424" s="68" t="n"/>
      <c r="M424" s="59">
        <f>IF(OR(L424="",K424=""),"",MAX(L424-K424,0))</f>
        <v/>
      </c>
      <c r="N424" s="59">
        <f>IF(M424="","",IF(N(J424)=0,1,J424))</f>
        <v/>
      </c>
    </row>
    <row r="425">
      <c r="A425" s="53" t="n">
        <v>405</v>
      </c>
      <c r="B425" s="67" t="n"/>
      <c r="C425" s="55" t="n"/>
      <c r="D425" s="68" t="n"/>
      <c r="E425" s="68" t="n"/>
      <c r="F425" s="59">
        <f>IF(OR(E425="",D425=""),"",MAX(E425-D425,0))</f>
        <v/>
      </c>
      <c r="G425" s="59">
        <f>IF(F425="","",IF(N(C425)=0,1,C425))</f>
        <v/>
      </c>
      <c r="H425" s="53" t="n">
        <v>405</v>
      </c>
      <c r="I425" s="67" t="n"/>
      <c r="J425" s="55" t="n"/>
      <c r="K425" s="68" t="n"/>
      <c r="L425" s="68" t="n"/>
      <c r="M425" s="59">
        <f>IF(OR(L425="",K425=""),"",MAX(L425-K425,0))</f>
        <v/>
      </c>
      <c r="N425" s="59">
        <f>IF(M425="","",IF(N(J425)=0,1,J425))</f>
        <v/>
      </c>
    </row>
    <row r="426">
      <c r="A426" s="53" t="n">
        <v>406</v>
      </c>
      <c r="B426" s="67" t="n"/>
      <c r="C426" s="55" t="n"/>
      <c r="D426" s="68" t="n"/>
      <c r="E426" s="68" t="n"/>
      <c r="F426" s="59">
        <f>IF(OR(E426="",D426=""),"",MAX(E426-D426,0))</f>
        <v/>
      </c>
      <c r="G426" s="59">
        <f>IF(F426="","",IF(N(C426)=0,1,C426))</f>
        <v/>
      </c>
      <c r="H426" s="53" t="n">
        <v>406</v>
      </c>
      <c r="I426" s="67" t="n"/>
      <c r="J426" s="55" t="n"/>
      <c r="K426" s="68" t="n"/>
      <c r="L426" s="68" t="n"/>
      <c r="M426" s="59">
        <f>IF(OR(L426="",K426=""),"",MAX(L426-K426,0))</f>
        <v/>
      </c>
      <c r="N426" s="59">
        <f>IF(M426="","",IF(N(J426)=0,1,J426))</f>
        <v/>
      </c>
    </row>
    <row r="427">
      <c r="A427" s="53" t="n">
        <v>407</v>
      </c>
      <c r="B427" s="67" t="n"/>
      <c r="C427" s="55" t="n"/>
      <c r="D427" s="68" t="n"/>
      <c r="E427" s="68" t="n"/>
      <c r="F427" s="59">
        <f>IF(OR(E427="",D427=""),"",MAX(E427-D427,0))</f>
        <v/>
      </c>
      <c r="G427" s="59">
        <f>IF(F427="","",IF(N(C427)=0,1,C427))</f>
        <v/>
      </c>
      <c r="H427" s="53" t="n">
        <v>407</v>
      </c>
      <c r="I427" s="67" t="n"/>
      <c r="J427" s="55" t="n"/>
      <c r="K427" s="68" t="n"/>
      <c r="L427" s="68" t="n"/>
      <c r="M427" s="59">
        <f>IF(OR(L427="",K427=""),"",MAX(L427-K427,0))</f>
        <v/>
      </c>
      <c r="N427" s="59">
        <f>IF(M427="","",IF(N(J427)=0,1,J427))</f>
        <v/>
      </c>
    </row>
    <row r="428">
      <c r="A428" s="53" t="n">
        <v>408</v>
      </c>
      <c r="B428" s="67" t="n"/>
      <c r="C428" s="55" t="n"/>
      <c r="D428" s="68" t="n"/>
      <c r="E428" s="68" t="n"/>
      <c r="F428" s="59">
        <f>IF(OR(E428="",D428=""),"",MAX(E428-D428,0))</f>
        <v/>
      </c>
      <c r="G428" s="59">
        <f>IF(F428="","",IF(N(C428)=0,1,C428))</f>
        <v/>
      </c>
      <c r="H428" s="53" t="n">
        <v>408</v>
      </c>
      <c r="I428" s="67" t="n"/>
      <c r="J428" s="55" t="n"/>
      <c r="K428" s="68" t="n"/>
      <c r="L428" s="68" t="n"/>
      <c r="M428" s="59">
        <f>IF(OR(L428="",K428=""),"",MAX(L428-K428,0))</f>
        <v/>
      </c>
      <c r="N428" s="59">
        <f>IF(M428="","",IF(N(J428)=0,1,J428))</f>
        <v/>
      </c>
    </row>
    <row r="429">
      <c r="A429" s="53" t="n">
        <v>409</v>
      </c>
      <c r="B429" s="67" t="n"/>
      <c r="C429" s="55" t="n"/>
      <c r="D429" s="68" t="n"/>
      <c r="E429" s="68" t="n"/>
      <c r="F429" s="59">
        <f>IF(OR(E429="",D429=""),"",MAX(E429-D429,0))</f>
        <v/>
      </c>
      <c r="G429" s="59">
        <f>IF(F429="","",IF(N(C429)=0,1,C429))</f>
        <v/>
      </c>
      <c r="H429" s="53" t="n">
        <v>409</v>
      </c>
      <c r="I429" s="67" t="n"/>
      <c r="J429" s="55" t="n"/>
      <c r="K429" s="68" t="n"/>
      <c r="L429" s="68" t="n"/>
      <c r="M429" s="59">
        <f>IF(OR(L429="",K429=""),"",MAX(L429-K429,0))</f>
        <v/>
      </c>
      <c r="N429" s="59">
        <f>IF(M429="","",IF(N(J429)=0,1,J429))</f>
        <v/>
      </c>
    </row>
    <row r="430">
      <c r="A430" s="53" t="n">
        <v>410</v>
      </c>
      <c r="B430" s="67" t="n"/>
      <c r="C430" s="55" t="n"/>
      <c r="D430" s="68" t="n"/>
      <c r="E430" s="68" t="n"/>
      <c r="F430" s="59">
        <f>IF(OR(E430="",D430=""),"",MAX(E430-D430,0))</f>
        <v/>
      </c>
      <c r="G430" s="59">
        <f>IF(F430="","",IF(N(C430)=0,1,C430))</f>
        <v/>
      </c>
      <c r="H430" s="53" t="n">
        <v>410</v>
      </c>
      <c r="I430" s="67" t="n"/>
      <c r="J430" s="55" t="n"/>
      <c r="K430" s="68" t="n"/>
      <c r="L430" s="68" t="n"/>
      <c r="M430" s="59">
        <f>IF(OR(L430="",K430=""),"",MAX(L430-K430,0))</f>
        <v/>
      </c>
      <c r="N430" s="59">
        <f>IF(M430="","",IF(N(J430)=0,1,J430))</f>
        <v/>
      </c>
    </row>
    <row r="431">
      <c r="A431" s="53" t="n">
        <v>411</v>
      </c>
      <c r="B431" s="67" t="n"/>
      <c r="C431" s="55" t="n"/>
      <c r="D431" s="68" t="n"/>
      <c r="E431" s="68" t="n"/>
      <c r="F431" s="59">
        <f>IF(OR(E431="",D431=""),"",MAX(E431-D431,0))</f>
        <v/>
      </c>
      <c r="G431" s="59">
        <f>IF(F431="","",IF(N(C431)=0,1,C431))</f>
        <v/>
      </c>
      <c r="H431" s="53" t="n">
        <v>411</v>
      </c>
      <c r="I431" s="67" t="n"/>
      <c r="J431" s="55" t="n"/>
      <c r="K431" s="68" t="n"/>
      <c r="L431" s="68" t="n"/>
      <c r="M431" s="59">
        <f>IF(OR(L431="",K431=""),"",MAX(L431-K431,0))</f>
        <v/>
      </c>
      <c r="N431" s="59">
        <f>IF(M431="","",IF(N(J431)=0,1,J431))</f>
        <v/>
      </c>
    </row>
    <row r="432">
      <c r="A432" s="53" t="n">
        <v>412</v>
      </c>
      <c r="B432" s="67" t="n"/>
      <c r="C432" s="55" t="n"/>
      <c r="D432" s="68" t="n"/>
      <c r="E432" s="68" t="n"/>
      <c r="F432" s="59">
        <f>IF(OR(E432="",D432=""),"",MAX(E432-D432,0))</f>
        <v/>
      </c>
      <c r="G432" s="59">
        <f>IF(F432="","",IF(N(C432)=0,1,C432))</f>
        <v/>
      </c>
      <c r="H432" s="53" t="n">
        <v>412</v>
      </c>
      <c r="I432" s="67" t="n"/>
      <c r="J432" s="55" t="n"/>
      <c r="K432" s="68" t="n"/>
      <c r="L432" s="68" t="n"/>
      <c r="M432" s="59">
        <f>IF(OR(L432="",K432=""),"",MAX(L432-K432,0))</f>
        <v/>
      </c>
      <c r="N432" s="59">
        <f>IF(M432="","",IF(N(J432)=0,1,J432))</f>
        <v/>
      </c>
    </row>
    <row r="433">
      <c r="A433" s="53" t="n">
        <v>413</v>
      </c>
      <c r="B433" s="67" t="n"/>
      <c r="C433" s="55" t="n"/>
      <c r="D433" s="68" t="n"/>
      <c r="E433" s="68" t="n"/>
      <c r="F433" s="59">
        <f>IF(OR(E433="",D433=""),"",MAX(E433-D433,0))</f>
        <v/>
      </c>
      <c r="G433" s="59">
        <f>IF(F433="","",IF(N(C433)=0,1,C433))</f>
        <v/>
      </c>
      <c r="H433" s="53" t="n">
        <v>413</v>
      </c>
      <c r="I433" s="67" t="n"/>
      <c r="J433" s="55" t="n"/>
      <c r="K433" s="68" t="n"/>
      <c r="L433" s="68" t="n"/>
      <c r="M433" s="59">
        <f>IF(OR(L433="",K433=""),"",MAX(L433-K433,0))</f>
        <v/>
      </c>
      <c r="N433" s="59">
        <f>IF(M433="","",IF(N(J433)=0,1,J433))</f>
        <v/>
      </c>
    </row>
    <row r="434">
      <c r="A434" s="53" t="n">
        <v>414</v>
      </c>
      <c r="B434" s="67" t="n"/>
      <c r="C434" s="55" t="n"/>
      <c r="D434" s="68" t="n"/>
      <c r="E434" s="68" t="n"/>
      <c r="F434" s="59">
        <f>IF(OR(E434="",D434=""),"",MAX(E434-D434,0))</f>
        <v/>
      </c>
      <c r="G434" s="59">
        <f>IF(F434="","",IF(N(C434)=0,1,C434))</f>
        <v/>
      </c>
      <c r="H434" s="53" t="n">
        <v>414</v>
      </c>
      <c r="I434" s="67" t="n"/>
      <c r="J434" s="55" t="n"/>
      <c r="K434" s="68" t="n"/>
      <c r="L434" s="68" t="n"/>
      <c r="M434" s="59">
        <f>IF(OR(L434="",K434=""),"",MAX(L434-K434,0))</f>
        <v/>
      </c>
      <c r="N434" s="59">
        <f>IF(M434="","",IF(N(J434)=0,1,J434))</f>
        <v/>
      </c>
    </row>
    <row r="435">
      <c r="A435" s="53" t="n">
        <v>415</v>
      </c>
      <c r="B435" s="67" t="n"/>
      <c r="C435" s="55" t="n"/>
      <c r="D435" s="68" t="n"/>
      <c r="E435" s="68" t="n"/>
      <c r="F435" s="59">
        <f>IF(OR(E435="",D435=""),"",MAX(E435-D435,0))</f>
        <v/>
      </c>
      <c r="G435" s="59">
        <f>IF(F435="","",IF(N(C435)=0,1,C435))</f>
        <v/>
      </c>
      <c r="H435" s="53" t="n">
        <v>415</v>
      </c>
      <c r="I435" s="67" t="n"/>
      <c r="J435" s="55" t="n"/>
      <c r="K435" s="68" t="n"/>
      <c r="L435" s="68" t="n"/>
      <c r="M435" s="59">
        <f>IF(OR(L435="",K435=""),"",MAX(L435-K435,0))</f>
        <v/>
      </c>
      <c r="N435" s="59">
        <f>IF(M435="","",IF(N(J435)=0,1,J435))</f>
        <v/>
      </c>
    </row>
    <row r="436">
      <c r="A436" s="53" t="n">
        <v>416</v>
      </c>
      <c r="B436" s="67" t="n"/>
      <c r="C436" s="55" t="n"/>
      <c r="D436" s="68" t="n"/>
      <c r="E436" s="68" t="n"/>
      <c r="F436" s="59">
        <f>IF(OR(E436="",D436=""),"",MAX(E436-D436,0))</f>
        <v/>
      </c>
      <c r="G436" s="59">
        <f>IF(F436="","",IF(N(C436)=0,1,C436))</f>
        <v/>
      </c>
      <c r="H436" s="53" t="n">
        <v>416</v>
      </c>
      <c r="I436" s="67" t="n"/>
      <c r="J436" s="55" t="n"/>
      <c r="K436" s="68" t="n"/>
      <c r="L436" s="68" t="n"/>
      <c r="M436" s="59">
        <f>IF(OR(L436="",K436=""),"",MAX(L436-K436,0))</f>
        <v/>
      </c>
      <c r="N436" s="59">
        <f>IF(M436="","",IF(N(J436)=0,1,J436))</f>
        <v/>
      </c>
    </row>
    <row r="437">
      <c r="A437" s="53" t="n">
        <v>417</v>
      </c>
      <c r="B437" s="67" t="n"/>
      <c r="C437" s="55" t="n"/>
      <c r="D437" s="68" t="n"/>
      <c r="E437" s="68" t="n"/>
      <c r="F437" s="59">
        <f>IF(OR(E437="",D437=""),"",MAX(E437-D437,0))</f>
        <v/>
      </c>
      <c r="G437" s="59">
        <f>IF(F437="","",IF(N(C437)=0,1,C437))</f>
        <v/>
      </c>
      <c r="H437" s="53" t="n">
        <v>417</v>
      </c>
      <c r="I437" s="67" t="n"/>
      <c r="J437" s="55" t="n"/>
      <c r="K437" s="68" t="n"/>
      <c r="L437" s="68" t="n"/>
      <c r="M437" s="59">
        <f>IF(OR(L437="",K437=""),"",MAX(L437-K437,0))</f>
        <v/>
      </c>
      <c r="N437" s="59">
        <f>IF(M437="","",IF(N(J437)=0,1,J437))</f>
        <v/>
      </c>
    </row>
    <row r="438">
      <c r="A438" s="53" t="n">
        <v>418</v>
      </c>
      <c r="B438" s="67" t="n"/>
      <c r="C438" s="55" t="n"/>
      <c r="D438" s="68" t="n"/>
      <c r="E438" s="68" t="n"/>
      <c r="F438" s="59">
        <f>IF(OR(E438="",D438=""),"",MAX(E438-D438,0))</f>
        <v/>
      </c>
      <c r="G438" s="59">
        <f>IF(F438="","",IF(N(C438)=0,1,C438))</f>
        <v/>
      </c>
      <c r="H438" s="53" t="n">
        <v>418</v>
      </c>
      <c r="I438" s="67" t="n"/>
      <c r="J438" s="55" t="n"/>
      <c r="K438" s="68" t="n"/>
      <c r="L438" s="68" t="n"/>
      <c r="M438" s="59">
        <f>IF(OR(L438="",K438=""),"",MAX(L438-K438,0))</f>
        <v/>
      </c>
      <c r="N438" s="59">
        <f>IF(M438="","",IF(N(J438)=0,1,J438))</f>
        <v/>
      </c>
    </row>
    <row r="439">
      <c r="A439" s="53" t="n">
        <v>419</v>
      </c>
      <c r="B439" s="67" t="n"/>
      <c r="C439" s="55" t="n"/>
      <c r="D439" s="68" t="n"/>
      <c r="E439" s="68" t="n"/>
      <c r="F439" s="59">
        <f>IF(OR(E439="",D439=""),"",MAX(E439-D439,0))</f>
        <v/>
      </c>
      <c r="G439" s="59">
        <f>IF(F439="","",IF(N(C439)=0,1,C439))</f>
        <v/>
      </c>
      <c r="H439" s="53" t="n">
        <v>419</v>
      </c>
      <c r="I439" s="67" t="n"/>
      <c r="J439" s="55" t="n"/>
      <c r="K439" s="68" t="n"/>
      <c r="L439" s="68" t="n"/>
      <c r="M439" s="59">
        <f>IF(OR(L439="",K439=""),"",MAX(L439-K439,0))</f>
        <v/>
      </c>
      <c r="N439" s="59">
        <f>IF(M439="","",IF(N(J439)=0,1,J439))</f>
        <v/>
      </c>
    </row>
    <row r="440">
      <c r="A440" s="53" t="n">
        <v>420</v>
      </c>
      <c r="B440" s="67" t="n"/>
      <c r="C440" s="55" t="n"/>
      <c r="D440" s="68" t="n"/>
      <c r="E440" s="68" t="n"/>
      <c r="F440" s="59">
        <f>IF(OR(E440="",D440=""),"",MAX(E440-D440,0))</f>
        <v/>
      </c>
      <c r="G440" s="59">
        <f>IF(F440="","",IF(N(C440)=0,1,C440))</f>
        <v/>
      </c>
      <c r="H440" s="53" t="n">
        <v>420</v>
      </c>
      <c r="I440" s="67" t="n"/>
      <c r="J440" s="55" t="n"/>
      <c r="K440" s="68" t="n"/>
      <c r="L440" s="68" t="n"/>
      <c r="M440" s="59">
        <f>IF(OR(L440="",K440=""),"",MAX(L440-K440,0))</f>
        <v/>
      </c>
      <c r="N440" s="59">
        <f>IF(M440="","",IF(N(J440)=0,1,J440))</f>
        <v/>
      </c>
    </row>
    <row r="441">
      <c r="A441" s="53" t="n">
        <v>421</v>
      </c>
      <c r="B441" s="67" t="n"/>
      <c r="C441" s="55" t="n"/>
      <c r="D441" s="68" t="n"/>
      <c r="E441" s="68" t="n"/>
      <c r="F441" s="59">
        <f>IF(OR(E441="",D441=""),"",MAX(E441-D441,0))</f>
        <v/>
      </c>
      <c r="G441" s="59">
        <f>IF(F441="","",IF(N(C441)=0,1,C441))</f>
        <v/>
      </c>
      <c r="H441" s="53" t="n">
        <v>421</v>
      </c>
      <c r="I441" s="67" t="n"/>
      <c r="J441" s="55" t="n"/>
      <c r="K441" s="68" t="n"/>
      <c r="L441" s="68" t="n"/>
      <c r="M441" s="59">
        <f>IF(OR(L441="",K441=""),"",MAX(L441-K441,0))</f>
        <v/>
      </c>
      <c r="N441" s="59">
        <f>IF(M441="","",IF(N(J441)=0,1,J441))</f>
        <v/>
      </c>
    </row>
    <row r="442">
      <c r="A442" s="53" t="n">
        <v>422</v>
      </c>
      <c r="B442" s="67" t="n"/>
      <c r="C442" s="55" t="n"/>
      <c r="D442" s="68" t="n"/>
      <c r="E442" s="68" t="n"/>
      <c r="F442" s="59">
        <f>IF(OR(E442="",D442=""),"",MAX(E442-D442,0))</f>
        <v/>
      </c>
      <c r="G442" s="59">
        <f>IF(F442="","",IF(N(C442)=0,1,C442))</f>
        <v/>
      </c>
      <c r="H442" s="53" t="n">
        <v>422</v>
      </c>
      <c r="I442" s="67" t="n"/>
      <c r="J442" s="55" t="n"/>
      <c r="K442" s="68" t="n"/>
      <c r="L442" s="68" t="n"/>
      <c r="M442" s="59">
        <f>IF(OR(L442="",K442=""),"",MAX(L442-K442,0))</f>
        <v/>
      </c>
      <c r="N442" s="59">
        <f>IF(M442="","",IF(N(J442)=0,1,J442))</f>
        <v/>
      </c>
    </row>
    <row r="443">
      <c r="A443" s="53" t="n">
        <v>423</v>
      </c>
      <c r="B443" s="67" t="n"/>
      <c r="C443" s="55" t="n"/>
      <c r="D443" s="68" t="n"/>
      <c r="E443" s="68" t="n"/>
      <c r="F443" s="59">
        <f>IF(OR(E443="",D443=""),"",MAX(E443-D443,0))</f>
        <v/>
      </c>
      <c r="G443" s="59">
        <f>IF(F443="","",IF(N(C443)=0,1,C443))</f>
        <v/>
      </c>
      <c r="H443" s="53" t="n">
        <v>423</v>
      </c>
      <c r="I443" s="67" t="n"/>
      <c r="J443" s="55" t="n"/>
      <c r="K443" s="68" t="n"/>
      <c r="L443" s="68" t="n"/>
      <c r="M443" s="59">
        <f>IF(OR(L443="",K443=""),"",MAX(L443-K443,0))</f>
        <v/>
      </c>
      <c r="N443" s="59">
        <f>IF(M443="","",IF(N(J443)=0,1,J443))</f>
        <v/>
      </c>
    </row>
    <row r="444">
      <c r="A444" s="53" t="n">
        <v>424</v>
      </c>
      <c r="B444" s="67" t="n"/>
      <c r="C444" s="55" t="n"/>
      <c r="D444" s="68" t="n"/>
      <c r="E444" s="68" t="n"/>
      <c r="F444" s="59">
        <f>IF(OR(E444="",D444=""),"",MAX(E444-D444,0))</f>
        <v/>
      </c>
      <c r="G444" s="59">
        <f>IF(F444="","",IF(N(C444)=0,1,C444))</f>
        <v/>
      </c>
      <c r="H444" s="53" t="n">
        <v>424</v>
      </c>
      <c r="I444" s="67" t="n"/>
      <c r="J444" s="55" t="n"/>
      <c r="K444" s="68" t="n"/>
      <c r="L444" s="68" t="n"/>
      <c r="M444" s="59">
        <f>IF(OR(L444="",K444=""),"",MAX(L444-K444,0))</f>
        <v/>
      </c>
      <c r="N444" s="59">
        <f>IF(M444="","",IF(N(J444)=0,1,J444))</f>
        <v/>
      </c>
    </row>
    <row r="445">
      <c r="A445" s="53" t="n">
        <v>425</v>
      </c>
      <c r="B445" s="67" t="n"/>
      <c r="C445" s="55" t="n"/>
      <c r="D445" s="68" t="n"/>
      <c r="E445" s="68" t="n"/>
      <c r="F445" s="59">
        <f>IF(OR(E445="",D445=""),"",MAX(E445-D445,0))</f>
        <v/>
      </c>
      <c r="G445" s="59">
        <f>IF(F445="","",IF(N(C445)=0,1,C445))</f>
        <v/>
      </c>
      <c r="H445" s="53" t="n">
        <v>425</v>
      </c>
      <c r="I445" s="67" t="n"/>
      <c r="J445" s="55" t="n"/>
      <c r="K445" s="68" t="n"/>
      <c r="L445" s="68" t="n"/>
      <c r="M445" s="59">
        <f>IF(OR(L445="",K445=""),"",MAX(L445-K445,0))</f>
        <v/>
      </c>
      <c r="N445" s="59">
        <f>IF(M445="","",IF(N(J445)=0,1,J445))</f>
        <v/>
      </c>
    </row>
    <row r="446">
      <c r="A446" s="53" t="n">
        <v>426</v>
      </c>
      <c r="B446" s="67" t="n"/>
      <c r="C446" s="55" t="n"/>
      <c r="D446" s="68" t="n"/>
      <c r="E446" s="68" t="n"/>
      <c r="F446" s="59">
        <f>IF(OR(E446="",D446=""),"",MAX(E446-D446,0))</f>
        <v/>
      </c>
      <c r="G446" s="59">
        <f>IF(F446="","",IF(N(C446)=0,1,C446))</f>
        <v/>
      </c>
      <c r="H446" s="53" t="n">
        <v>426</v>
      </c>
      <c r="I446" s="67" t="n"/>
      <c r="J446" s="55" t="n"/>
      <c r="K446" s="68" t="n"/>
      <c r="L446" s="68" t="n"/>
      <c r="M446" s="59">
        <f>IF(OR(L446="",K446=""),"",MAX(L446-K446,0))</f>
        <v/>
      </c>
      <c r="N446" s="59">
        <f>IF(M446="","",IF(N(J446)=0,1,J446))</f>
        <v/>
      </c>
    </row>
    <row r="447">
      <c r="A447" s="53" t="n">
        <v>427</v>
      </c>
      <c r="B447" s="67" t="n"/>
      <c r="C447" s="55" t="n"/>
      <c r="D447" s="68" t="n"/>
      <c r="E447" s="68" t="n"/>
      <c r="F447" s="59">
        <f>IF(OR(E447="",D447=""),"",MAX(E447-D447,0))</f>
        <v/>
      </c>
      <c r="G447" s="59">
        <f>IF(F447="","",IF(N(C447)=0,1,C447))</f>
        <v/>
      </c>
      <c r="H447" s="53" t="n">
        <v>427</v>
      </c>
      <c r="I447" s="67" t="n"/>
      <c r="J447" s="55" t="n"/>
      <c r="K447" s="68" t="n"/>
      <c r="L447" s="68" t="n"/>
      <c r="M447" s="59">
        <f>IF(OR(L447="",K447=""),"",MAX(L447-K447,0))</f>
        <v/>
      </c>
      <c r="N447" s="59">
        <f>IF(M447="","",IF(N(J447)=0,1,J447))</f>
        <v/>
      </c>
    </row>
    <row r="448">
      <c r="A448" s="53" t="n">
        <v>428</v>
      </c>
      <c r="B448" s="67" t="n"/>
      <c r="C448" s="55" t="n"/>
      <c r="D448" s="68" t="n"/>
      <c r="E448" s="68" t="n"/>
      <c r="F448" s="59">
        <f>IF(OR(E448="",D448=""),"",MAX(E448-D448,0))</f>
        <v/>
      </c>
      <c r="G448" s="59">
        <f>IF(F448="","",IF(N(C448)=0,1,C448))</f>
        <v/>
      </c>
      <c r="H448" s="53" t="n">
        <v>428</v>
      </c>
      <c r="I448" s="67" t="n"/>
      <c r="J448" s="55" t="n"/>
      <c r="K448" s="68" t="n"/>
      <c r="L448" s="68" t="n"/>
      <c r="M448" s="59">
        <f>IF(OR(L448="",K448=""),"",MAX(L448-K448,0))</f>
        <v/>
      </c>
      <c r="N448" s="59">
        <f>IF(M448="","",IF(N(J448)=0,1,J448))</f>
        <v/>
      </c>
    </row>
    <row r="449">
      <c r="A449" s="53" t="n">
        <v>429</v>
      </c>
      <c r="B449" s="67" t="n"/>
      <c r="C449" s="55" t="n"/>
      <c r="D449" s="68" t="n"/>
      <c r="E449" s="68" t="n"/>
      <c r="F449" s="59">
        <f>IF(OR(E449="",D449=""),"",MAX(E449-D449,0))</f>
        <v/>
      </c>
      <c r="G449" s="59">
        <f>IF(F449="","",IF(N(C449)=0,1,C449))</f>
        <v/>
      </c>
      <c r="H449" s="53" t="n">
        <v>429</v>
      </c>
      <c r="I449" s="67" t="n"/>
      <c r="J449" s="55" t="n"/>
      <c r="K449" s="68" t="n"/>
      <c r="L449" s="68" t="n"/>
      <c r="M449" s="59">
        <f>IF(OR(L449="",K449=""),"",MAX(L449-K449,0))</f>
        <v/>
      </c>
      <c r="N449" s="59">
        <f>IF(M449="","",IF(N(J449)=0,1,J449))</f>
        <v/>
      </c>
    </row>
    <row r="450">
      <c r="A450" s="53" t="n">
        <v>430</v>
      </c>
      <c r="B450" s="67" t="n"/>
      <c r="C450" s="55" t="n"/>
      <c r="D450" s="68" t="n"/>
      <c r="E450" s="68" t="n"/>
      <c r="F450" s="59">
        <f>IF(OR(E450="",D450=""),"",MAX(E450-D450,0))</f>
        <v/>
      </c>
      <c r="G450" s="59">
        <f>IF(F450="","",IF(N(C450)=0,1,C450))</f>
        <v/>
      </c>
      <c r="H450" s="53" t="n">
        <v>430</v>
      </c>
      <c r="I450" s="67" t="n"/>
      <c r="J450" s="55" t="n"/>
      <c r="K450" s="68" t="n"/>
      <c r="L450" s="68" t="n"/>
      <c r="M450" s="59">
        <f>IF(OR(L450="",K450=""),"",MAX(L450-K450,0))</f>
        <v/>
      </c>
      <c r="N450" s="59">
        <f>IF(M450="","",IF(N(J450)=0,1,J450))</f>
        <v/>
      </c>
    </row>
    <row r="451">
      <c r="A451" s="53" t="n">
        <v>431</v>
      </c>
      <c r="B451" s="67" t="n"/>
      <c r="C451" s="55" t="n"/>
      <c r="D451" s="68" t="n"/>
      <c r="E451" s="68" t="n"/>
      <c r="F451" s="59">
        <f>IF(OR(E451="",D451=""),"",MAX(E451-D451,0))</f>
        <v/>
      </c>
      <c r="G451" s="59">
        <f>IF(F451="","",IF(N(C451)=0,1,C451))</f>
        <v/>
      </c>
      <c r="H451" s="53" t="n">
        <v>431</v>
      </c>
      <c r="I451" s="67" t="n"/>
      <c r="J451" s="55" t="n"/>
      <c r="K451" s="68" t="n"/>
      <c r="L451" s="68" t="n"/>
      <c r="M451" s="59">
        <f>IF(OR(L451="",K451=""),"",MAX(L451-K451,0))</f>
        <v/>
      </c>
      <c r="N451" s="59">
        <f>IF(M451="","",IF(N(J451)=0,1,J451))</f>
        <v/>
      </c>
    </row>
    <row r="452">
      <c r="A452" s="53" t="n">
        <v>432</v>
      </c>
      <c r="B452" s="67" t="n"/>
      <c r="C452" s="55" t="n"/>
      <c r="D452" s="68" t="n"/>
      <c r="E452" s="68" t="n"/>
      <c r="F452" s="59">
        <f>IF(OR(E452="",D452=""),"",MAX(E452-D452,0))</f>
        <v/>
      </c>
      <c r="G452" s="59">
        <f>IF(F452="","",IF(N(C452)=0,1,C452))</f>
        <v/>
      </c>
      <c r="H452" s="53" t="n">
        <v>432</v>
      </c>
      <c r="I452" s="67" t="n"/>
      <c r="J452" s="55" t="n"/>
      <c r="K452" s="68" t="n"/>
      <c r="L452" s="68" t="n"/>
      <c r="M452" s="59">
        <f>IF(OR(L452="",K452=""),"",MAX(L452-K452,0))</f>
        <v/>
      </c>
      <c r="N452" s="59">
        <f>IF(M452="","",IF(N(J452)=0,1,J452))</f>
        <v/>
      </c>
    </row>
    <row r="453">
      <c r="A453" s="53" t="n">
        <v>433</v>
      </c>
      <c r="B453" s="67" t="n"/>
      <c r="C453" s="55" t="n"/>
      <c r="D453" s="68" t="n"/>
      <c r="E453" s="68" t="n"/>
      <c r="F453" s="59">
        <f>IF(OR(E453="",D453=""),"",MAX(E453-D453,0))</f>
        <v/>
      </c>
      <c r="G453" s="59">
        <f>IF(F453="","",IF(N(C453)=0,1,C453))</f>
        <v/>
      </c>
      <c r="H453" s="53" t="n">
        <v>433</v>
      </c>
      <c r="I453" s="67" t="n"/>
      <c r="J453" s="55" t="n"/>
      <c r="K453" s="68" t="n"/>
      <c r="L453" s="68" t="n"/>
      <c r="M453" s="59">
        <f>IF(OR(L453="",K453=""),"",MAX(L453-K453,0))</f>
        <v/>
      </c>
      <c r="N453" s="59">
        <f>IF(M453="","",IF(N(J453)=0,1,J453))</f>
        <v/>
      </c>
    </row>
    <row r="454">
      <c r="A454" s="53" t="n">
        <v>434</v>
      </c>
      <c r="B454" s="67" t="n"/>
      <c r="C454" s="55" t="n"/>
      <c r="D454" s="68" t="n"/>
      <c r="E454" s="68" t="n"/>
      <c r="F454" s="59">
        <f>IF(OR(E454="",D454=""),"",MAX(E454-D454,0))</f>
        <v/>
      </c>
      <c r="G454" s="59">
        <f>IF(F454="","",IF(N(C454)=0,1,C454))</f>
        <v/>
      </c>
      <c r="H454" s="53" t="n">
        <v>434</v>
      </c>
      <c r="I454" s="67" t="n"/>
      <c r="J454" s="55" t="n"/>
      <c r="K454" s="68" t="n"/>
      <c r="L454" s="68" t="n"/>
      <c r="M454" s="59">
        <f>IF(OR(L454="",K454=""),"",MAX(L454-K454,0))</f>
        <v/>
      </c>
      <c r="N454" s="59">
        <f>IF(M454="","",IF(N(J454)=0,1,J454))</f>
        <v/>
      </c>
    </row>
    <row r="455">
      <c r="A455" s="53" t="n">
        <v>435</v>
      </c>
      <c r="B455" s="67" t="n"/>
      <c r="C455" s="55" t="n"/>
      <c r="D455" s="68" t="n"/>
      <c r="E455" s="68" t="n"/>
      <c r="F455" s="59">
        <f>IF(OR(E455="",D455=""),"",MAX(E455-D455,0))</f>
        <v/>
      </c>
      <c r="G455" s="59">
        <f>IF(F455="","",IF(N(C455)=0,1,C455))</f>
        <v/>
      </c>
      <c r="H455" s="53" t="n">
        <v>435</v>
      </c>
      <c r="I455" s="67" t="n"/>
      <c r="J455" s="55" t="n"/>
      <c r="K455" s="68" t="n"/>
      <c r="L455" s="68" t="n"/>
      <c r="M455" s="59">
        <f>IF(OR(L455="",K455=""),"",MAX(L455-K455,0))</f>
        <v/>
      </c>
      <c r="N455" s="59">
        <f>IF(M455="","",IF(N(J455)=0,1,J455))</f>
        <v/>
      </c>
    </row>
    <row r="456">
      <c r="A456" s="53" t="n">
        <v>436</v>
      </c>
      <c r="B456" s="67" t="n"/>
      <c r="C456" s="55" t="n"/>
      <c r="D456" s="68" t="n"/>
      <c r="E456" s="68" t="n"/>
      <c r="F456" s="59">
        <f>IF(OR(E456="",D456=""),"",MAX(E456-D456,0))</f>
        <v/>
      </c>
      <c r="G456" s="59">
        <f>IF(F456="","",IF(N(C456)=0,1,C456))</f>
        <v/>
      </c>
      <c r="H456" s="53" t="n">
        <v>436</v>
      </c>
      <c r="I456" s="67" t="n"/>
      <c r="J456" s="55" t="n"/>
      <c r="K456" s="68" t="n"/>
      <c r="L456" s="68" t="n"/>
      <c r="M456" s="59">
        <f>IF(OR(L456="",K456=""),"",MAX(L456-K456,0))</f>
        <v/>
      </c>
      <c r="N456" s="59">
        <f>IF(M456="","",IF(N(J456)=0,1,J456))</f>
        <v/>
      </c>
    </row>
    <row r="457">
      <c r="A457" s="53" t="n">
        <v>437</v>
      </c>
      <c r="B457" s="67" t="n"/>
      <c r="C457" s="55" t="n"/>
      <c r="D457" s="68" t="n"/>
      <c r="E457" s="68" t="n"/>
      <c r="F457" s="59">
        <f>IF(OR(E457="",D457=""),"",MAX(E457-D457,0))</f>
        <v/>
      </c>
      <c r="G457" s="59">
        <f>IF(F457="","",IF(N(C457)=0,1,C457))</f>
        <v/>
      </c>
      <c r="H457" s="53" t="n">
        <v>437</v>
      </c>
      <c r="I457" s="67" t="n"/>
      <c r="J457" s="55" t="n"/>
      <c r="K457" s="68" t="n"/>
      <c r="L457" s="68" t="n"/>
      <c r="M457" s="59">
        <f>IF(OR(L457="",K457=""),"",MAX(L457-K457,0))</f>
        <v/>
      </c>
      <c r="N457" s="59">
        <f>IF(M457="","",IF(N(J457)=0,1,J457))</f>
        <v/>
      </c>
    </row>
    <row r="458">
      <c r="A458" s="53" t="n">
        <v>438</v>
      </c>
      <c r="B458" s="67" t="n"/>
      <c r="C458" s="55" t="n"/>
      <c r="D458" s="68" t="n"/>
      <c r="E458" s="68" t="n"/>
      <c r="F458" s="59">
        <f>IF(OR(E458="",D458=""),"",MAX(E458-D458,0))</f>
        <v/>
      </c>
      <c r="G458" s="59">
        <f>IF(F458="","",IF(N(C458)=0,1,C458))</f>
        <v/>
      </c>
      <c r="H458" s="53" t="n">
        <v>438</v>
      </c>
      <c r="I458" s="67" t="n"/>
      <c r="J458" s="55" t="n"/>
      <c r="K458" s="68" t="n"/>
      <c r="L458" s="68" t="n"/>
      <c r="M458" s="59">
        <f>IF(OR(L458="",K458=""),"",MAX(L458-K458,0))</f>
        <v/>
      </c>
      <c r="N458" s="59">
        <f>IF(M458="","",IF(N(J458)=0,1,J458))</f>
        <v/>
      </c>
    </row>
    <row r="459">
      <c r="A459" s="53" t="n">
        <v>439</v>
      </c>
      <c r="B459" s="67" t="n"/>
      <c r="C459" s="55" t="n"/>
      <c r="D459" s="68" t="n"/>
      <c r="E459" s="68" t="n"/>
      <c r="F459" s="59">
        <f>IF(OR(E459="",D459=""),"",MAX(E459-D459,0))</f>
        <v/>
      </c>
      <c r="G459" s="59">
        <f>IF(F459="","",IF(N(C459)=0,1,C459))</f>
        <v/>
      </c>
      <c r="H459" s="53" t="n">
        <v>439</v>
      </c>
      <c r="I459" s="67" t="n"/>
      <c r="J459" s="55" t="n"/>
      <c r="K459" s="68" t="n"/>
      <c r="L459" s="68" t="n"/>
      <c r="M459" s="59">
        <f>IF(OR(L459="",K459=""),"",MAX(L459-K459,0))</f>
        <v/>
      </c>
      <c r="N459" s="59">
        <f>IF(M459="","",IF(N(J459)=0,1,J459))</f>
        <v/>
      </c>
    </row>
    <row r="460">
      <c r="A460" s="53" t="n">
        <v>440</v>
      </c>
      <c r="B460" s="67" t="n"/>
      <c r="C460" s="55" t="n"/>
      <c r="D460" s="68" t="n"/>
      <c r="E460" s="68" t="n"/>
      <c r="F460" s="59">
        <f>IF(OR(E460="",D460=""),"",MAX(E460-D460,0))</f>
        <v/>
      </c>
      <c r="G460" s="59">
        <f>IF(F460="","",IF(N(C460)=0,1,C460))</f>
        <v/>
      </c>
      <c r="H460" s="53" t="n">
        <v>440</v>
      </c>
      <c r="I460" s="67" t="n"/>
      <c r="J460" s="55" t="n"/>
      <c r="K460" s="68" t="n"/>
      <c r="L460" s="68" t="n"/>
      <c r="M460" s="59">
        <f>IF(OR(L460="",K460=""),"",MAX(L460-K460,0))</f>
        <v/>
      </c>
      <c r="N460" s="59">
        <f>IF(M460="","",IF(N(J460)=0,1,J460))</f>
        <v/>
      </c>
    </row>
    <row r="461">
      <c r="A461" s="53" t="n">
        <v>441</v>
      </c>
      <c r="B461" s="67" t="n"/>
      <c r="C461" s="55" t="n"/>
      <c r="D461" s="68" t="n"/>
      <c r="E461" s="68" t="n"/>
      <c r="F461" s="59">
        <f>IF(OR(E461="",D461=""),"",MAX(E461-D461,0))</f>
        <v/>
      </c>
      <c r="G461" s="59">
        <f>IF(F461="","",IF(N(C461)=0,1,C461))</f>
        <v/>
      </c>
      <c r="H461" s="53" t="n">
        <v>441</v>
      </c>
      <c r="I461" s="67" t="n"/>
      <c r="J461" s="55" t="n"/>
      <c r="K461" s="68" t="n"/>
      <c r="L461" s="68" t="n"/>
      <c r="M461" s="59">
        <f>IF(OR(L461="",K461=""),"",MAX(L461-K461,0))</f>
        <v/>
      </c>
      <c r="N461" s="59">
        <f>IF(M461="","",IF(N(J461)=0,1,J461))</f>
        <v/>
      </c>
    </row>
    <row r="462">
      <c r="A462" s="53" t="n">
        <v>442</v>
      </c>
      <c r="B462" s="67" t="n"/>
      <c r="C462" s="55" t="n"/>
      <c r="D462" s="68" t="n"/>
      <c r="E462" s="68" t="n"/>
      <c r="F462" s="59">
        <f>IF(OR(E462="",D462=""),"",MAX(E462-D462,0))</f>
        <v/>
      </c>
      <c r="G462" s="59">
        <f>IF(F462="","",IF(N(C462)=0,1,C462))</f>
        <v/>
      </c>
      <c r="H462" s="53" t="n">
        <v>442</v>
      </c>
      <c r="I462" s="67" t="n"/>
      <c r="J462" s="55" t="n"/>
      <c r="K462" s="68" t="n"/>
      <c r="L462" s="68" t="n"/>
      <c r="M462" s="59">
        <f>IF(OR(L462="",K462=""),"",MAX(L462-K462,0))</f>
        <v/>
      </c>
      <c r="N462" s="59">
        <f>IF(M462="","",IF(N(J462)=0,1,J462))</f>
        <v/>
      </c>
    </row>
    <row r="463">
      <c r="A463" s="53" t="n">
        <v>443</v>
      </c>
      <c r="B463" s="67" t="n"/>
      <c r="C463" s="55" t="n"/>
      <c r="D463" s="68" t="n"/>
      <c r="E463" s="68" t="n"/>
      <c r="F463" s="59">
        <f>IF(OR(E463="",D463=""),"",MAX(E463-D463,0))</f>
        <v/>
      </c>
      <c r="G463" s="59">
        <f>IF(F463="","",IF(N(C463)=0,1,C463))</f>
        <v/>
      </c>
      <c r="H463" s="53" t="n">
        <v>443</v>
      </c>
      <c r="I463" s="67" t="n"/>
      <c r="J463" s="55" t="n"/>
      <c r="K463" s="68" t="n"/>
      <c r="L463" s="68" t="n"/>
      <c r="M463" s="59">
        <f>IF(OR(L463="",K463=""),"",MAX(L463-K463,0))</f>
        <v/>
      </c>
      <c r="N463" s="59">
        <f>IF(M463="","",IF(N(J463)=0,1,J463))</f>
        <v/>
      </c>
    </row>
    <row r="464">
      <c r="A464" s="53" t="n">
        <v>444</v>
      </c>
      <c r="B464" s="67" t="n"/>
      <c r="C464" s="55" t="n"/>
      <c r="D464" s="68" t="n"/>
      <c r="E464" s="68" t="n"/>
      <c r="F464" s="59">
        <f>IF(OR(E464="",D464=""),"",MAX(E464-D464,0))</f>
        <v/>
      </c>
      <c r="G464" s="59">
        <f>IF(F464="","",IF(N(C464)=0,1,C464))</f>
        <v/>
      </c>
      <c r="H464" s="53" t="n">
        <v>444</v>
      </c>
      <c r="I464" s="67" t="n"/>
      <c r="J464" s="55" t="n"/>
      <c r="K464" s="68" t="n"/>
      <c r="L464" s="68" t="n"/>
      <c r="M464" s="59">
        <f>IF(OR(L464="",K464=""),"",MAX(L464-K464,0))</f>
        <v/>
      </c>
      <c r="N464" s="59">
        <f>IF(M464="","",IF(N(J464)=0,1,J464))</f>
        <v/>
      </c>
    </row>
    <row r="465">
      <c r="A465" s="53" t="n">
        <v>445</v>
      </c>
      <c r="B465" s="67" t="n"/>
      <c r="C465" s="55" t="n"/>
      <c r="D465" s="68" t="n"/>
      <c r="E465" s="68" t="n"/>
      <c r="F465" s="59">
        <f>IF(OR(E465="",D465=""),"",MAX(E465-D465,0))</f>
        <v/>
      </c>
      <c r="G465" s="59">
        <f>IF(F465="","",IF(N(C465)=0,1,C465))</f>
        <v/>
      </c>
      <c r="H465" s="53" t="n">
        <v>445</v>
      </c>
      <c r="I465" s="67" t="n"/>
      <c r="J465" s="55" t="n"/>
      <c r="K465" s="68" t="n"/>
      <c r="L465" s="68" t="n"/>
      <c r="M465" s="59">
        <f>IF(OR(L465="",K465=""),"",MAX(L465-K465,0))</f>
        <v/>
      </c>
      <c r="N465" s="59">
        <f>IF(M465="","",IF(N(J465)=0,1,J465))</f>
        <v/>
      </c>
    </row>
    <row r="466">
      <c r="A466" s="53" t="n">
        <v>446</v>
      </c>
      <c r="B466" s="67" t="n"/>
      <c r="C466" s="55" t="n"/>
      <c r="D466" s="68" t="n"/>
      <c r="E466" s="68" t="n"/>
      <c r="F466" s="59">
        <f>IF(OR(E466="",D466=""),"",MAX(E466-D466,0))</f>
        <v/>
      </c>
      <c r="G466" s="59">
        <f>IF(F466="","",IF(N(C466)=0,1,C466))</f>
        <v/>
      </c>
      <c r="H466" s="53" t="n">
        <v>446</v>
      </c>
      <c r="I466" s="67" t="n"/>
      <c r="J466" s="55" t="n"/>
      <c r="K466" s="68" t="n"/>
      <c r="L466" s="68" t="n"/>
      <c r="M466" s="59">
        <f>IF(OR(L466="",K466=""),"",MAX(L466-K466,0))</f>
        <v/>
      </c>
      <c r="N466" s="59">
        <f>IF(M466="","",IF(N(J466)=0,1,J466))</f>
        <v/>
      </c>
    </row>
    <row r="467">
      <c r="A467" s="53" t="n">
        <v>447</v>
      </c>
      <c r="B467" s="67" t="n"/>
      <c r="C467" s="55" t="n"/>
      <c r="D467" s="68" t="n"/>
      <c r="E467" s="68" t="n"/>
      <c r="F467" s="59">
        <f>IF(OR(E467="",D467=""),"",MAX(E467-D467,0))</f>
        <v/>
      </c>
      <c r="G467" s="59">
        <f>IF(F467="","",IF(N(C467)=0,1,C467))</f>
        <v/>
      </c>
      <c r="H467" s="53" t="n">
        <v>447</v>
      </c>
      <c r="I467" s="67" t="n"/>
      <c r="J467" s="55" t="n"/>
      <c r="K467" s="68" t="n"/>
      <c r="L467" s="68" t="n"/>
      <c r="M467" s="59">
        <f>IF(OR(L467="",K467=""),"",MAX(L467-K467,0))</f>
        <v/>
      </c>
      <c r="N467" s="59">
        <f>IF(M467="","",IF(N(J467)=0,1,J467))</f>
        <v/>
      </c>
    </row>
    <row r="468">
      <c r="A468" s="53" t="n">
        <v>448</v>
      </c>
      <c r="B468" s="67" t="n"/>
      <c r="C468" s="55" t="n"/>
      <c r="D468" s="68" t="n"/>
      <c r="E468" s="68" t="n"/>
      <c r="F468" s="59">
        <f>IF(OR(E468="",D468=""),"",MAX(E468-D468,0))</f>
        <v/>
      </c>
      <c r="G468" s="59">
        <f>IF(F468="","",IF(N(C468)=0,1,C468))</f>
        <v/>
      </c>
      <c r="H468" s="53" t="n">
        <v>448</v>
      </c>
      <c r="I468" s="67" t="n"/>
      <c r="J468" s="55" t="n"/>
      <c r="K468" s="68" t="n"/>
      <c r="L468" s="68" t="n"/>
      <c r="M468" s="59">
        <f>IF(OR(L468="",K468=""),"",MAX(L468-K468,0))</f>
        <v/>
      </c>
      <c r="N468" s="59">
        <f>IF(M468="","",IF(N(J468)=0,1,J468))</f>
        <v/>
      </c>
    </row>
    <row r="469">
      <c r="A469" s="53" t="n">
        <v>449</v>
      </c>
      <c r="B469" s="67" t="n"/>
      <c r="C469" s="55" t="n"/>
      <c r="D469" s="68" t="n"/>
      <c r="E469" s="68" t="n"/>
      <c r="F469" s="59">
        <f>IF(OR(E469="",D469=""),"",MAX(E469-D469,0))</f>
        <v/>
      </c>
      <c r="G469" s="59">
        <f>IF(F469="","",IF(N(C469)=0,1,C469))</f>
        <v/>
      </c>
      <c r="H469" s="53" t="n">
        <v>449</v>
      </c>
      <c r="I469" s="67" t="n"/>
      <c r="J469" s="55" t="n"/>
      <c r="K469" s="68" t="n"/>
      <c r="L469" s="68" t="n"/>
      <c r="M469" s="59">
        <f>IF(OR(L469="",K469=""),"",MAX(L469-K469,0))</f>
        <v/>
      </c>
      <c r="N469" s="59">
        <f>IF(M469="","",IF(N(J469)=0,1,J469))</f>
        <v/>
      </c>
    </row>
    <row r="470">
      <c r="A470" s="53" t="n">
        <v>450</v>
      </c>
      <c r="B470" s="67" t="n"/>
      <c r="C470" s="55" t="n"/>
      <c r="D470" s="68" t="n"/>
      <c r="E470" s="68" t="n"/>
      <c r="F470" s="59">
        <f>IF(OR(E470="",D470=""),"",MAX(E470-D470,0))</f>
        <v/>
      </c>
      <c r="G470" s="59">
        <f>IF(F470="","",IF(N(C470)=0,1,C470))</f>
        <v/>
      </c>
      <c r="H470" s="53" t="n">
        <v>450</v>
      </c>
      <c r="I470" s="67" t="n"/>
      <c r="J470" s="55" t="n"/>
      <c r="K470" s="68" t="n"/>
      <c r="L470" s="68" t="n"/>
      <c r="M470" s="59">
        <f>IF(OR(L470="",K470=""),"",MAX(L470-K470,0))</f>
        <v/>
      </c>
      <c r="N470" s="59">
        <f>IF(M470="","",IF(N(J470)=0,1,J470))</f>
        <v/>
      </c>
    </row>
    <row r="471">
      <c r="A471" s="53" t="n">
        <v>451</v>
      </c>
      <c r="B471" s="67" t="n"/>
      <c r="C471" s="55" t="n"/>
      <c r="D471" s="68" t="n"/>
      <c r="E471" s="68" t="n"/>
      <c r="F471" s="59">
        <f>IF(OR(E471="",D471=""),"",MAX(E471-D471,0))</f>
        <v/>
      </c>
      <c r="G471" s="59">
        <f>IF(F471="","",IF(N(C471)=0,1,C471))</f>
        <v/>
      </c>
      <c r="H471" s="53" t="n">
        <v>451</v>
      </c>
      <c r="I471" s="67" t="n"/>
      <c r="J471" s="55" t="n"/>
      <c r="K471" s="68" t="n"/>
      <c r="L471" s="68" t="n"/>
      <c r="M471" s="59">
        <f>IF(OR(L471="",K471=""),"",MAX(L471-K471,0))</f>
        <v/>
      </c>
      <c r="N471" s="59">
        <f>IF(M471="","",IF(N(J471)=0,1,J471))</f>
        <v/>
      </c>
    </row>
    <row r="472">
      <c r="A472" s="53" t="n">
        <v>452</v>
      </c>
      <c r="B472" s="67" t="n"/>
      <c r="C472" s="55" t="n"/>
      <c r="D472" s="68" t="n"/>
      <c r="E472" s="68" t="n"/>
      <c r="F472" s="59">
        <f>IF(OR(E472="",D472=""),"",MAX(E472-D472,0))</f>
        <v/>
      </c>
      <c r="G472" s="59">
        <f>IF(F472="","",IF(N(C472)=0,1,C472))</f>
        <v/>
      </c>
      <c r="H472" s="53" t="n">
        <v>452</v>
      </c>
      <c r="I472" s="67" t="n"/>
      <c r="J472" s="55" t="n"/>
      <c r="K472" s="68" t="n"/>
      <c r="L472" s="68" t="n"/>
      <c r="M472" s="59">
        <f>IF(OR(L472="",K472=""),"",MAX(L472-K472,0))</f>
        <v/>
      </c>
      <c r="N472" s="59">
        <f>IF(M472="","",IF(N(J472)=0,1,J472))</f>
        <v/>
      </c>
    </row>
    <row r="473">
      <c r="A473" s="53" t="n">
        <v>453</v>
      </c>
      <c r="B473" s="67" t="n"/>
      <c r="C473" s="55" t="n"/>
      <c r="D473" s="68" t="n"/>
      <c r="E473" s="68" t="n"/>
      <c r="F473" s="59">
        <f>IF(OR(E473="",D473=""),"",MAX(E473-D473,0))</f>
        <v/>
      </c>
      <c r="G473" s="59">
        <f>IF(F473="","",IF(N(C473)=0,1,C473))</f>
        <v/>
      </c>
      <c r="H473" s="53" t="n">
        <v>453</v>
      </c>
      <c r="I473" s="67" t="n"/>
      <c r="J473" s="55" t="n"/>
      <c r="K473" s="68" t="n"/>
      <c r="L473" s="68" t="n"/>
      <c r="M473" s="59">
        <f>IF(OR(L473="",K473=""),"",MAX(L473-K473,0))</f>
        <v/>
      </c>
      <c r="N473" s="59">
        <f>IF(M473="","",IF(N(J473)=0,1,J473))</f>
        <v/>
      </c>
    </row>
    <row r="474">
      <c r="A474" s="53" t="n">
        <v>454</v>
      </c>
      <c r="B474" s="67" t="n"/>
      <c r="C474" s="55" t="n"/>
      <c r="D474" s="68" t="n"/>
      <c r="E474" s="68" t="n"/>
      <c r="F474" s="59">
        <f>IF(OR(E474="",D474=""),"",MAX(E474-D474,0))</f>
        <v/>
      </c>
      <c r="G474" s="59">
        <f>IF(F474="","",IF(N(C474)=0,1,C474))</f>
        <v/>
      </c>
      <c r="H474" s="53" t="n">
        <v>454</v>
      </c>
      <c r="I474" s="67" t="n"/>
      <c r="J474" s="55" t="n"/>
      <c r="K474" s="68" t="n"/>
      <c r="L474" s="68" t="n"/>
      <c r="M474" s="59">
        <f>IF(OR(L474="",K474=""),"",MAX(L474-K474,0))</f>
        <v/>
      </c>
      <c r="N474" s="59">
        <f>IF(M474="","",IF(N(J474)=0,1,J474))</f>
        <v/>
      </c>
    </row>
    <row r="475">
      <c r="A475" s="53" t="n">
        <v>455</v>
      </c>
      <c r="B475" s="67" t="n"/>
      <c r="C475" s="55" t="n"/>
      <c r="D475" s="68" t="n"/>
      <c r="E475" s="68" t="n"/>
      <c r="F475" s="59">
        <f>IF(OR(E475="",D475=""),"",MAX(E475-D475,0))</f>
        <v/>
      </c>
      <c r="G475" s="59">
        <f>IF(F475="","",IF(N(C475)=0,1,C475))</f>
        <v/>
      </c>
      <c r="H475" s="53" t="n">
        <v>455</v>
      </c>
      <c r="I475" s="67" t="n"/>
      <c r="J475" s="55" t="n"/>
      <c r="K475" s="68" t="n"/>
      <c r="L475" s="68" t="n"/>
      <c r="M475" s="59">
        <f>IF(OR(L475="",K475=""),"",MAX(L475-K475,0))</f>
        <v/>
      </c>
      <c r="N475" s="59">
        <f>IF(M475="","",IF(N(J475)=0,1,J475))</f>
        <v/>
      </c>
    </row>
    <row r="476">
      <c r="A476" s="53" t="n">
        <v>456</v>
      </c>
      <c r="B476" s="67" t="n"/>
      <c r="C476" s="55" t="n"/>
      <c r="D476" s="68" t="n"/>
      <c r="E476" s="68" t="n"/>
      <c r="F476" s="59">
        <f>IF(OR(E476="",D476=""),"",MAX(E476-D476,0))</f>
        <v/>
      </c>
      <c r="G476" s="59">
        <f>IF(F476="","",IF(N(C476)=0,1,C476))</f>
        <v/>
      </c>
      <c r="H476" s="53" t="n">
        <v>456</v>
      </c>
      <c r="I476" s="67" t="n"/>
      <c r="J476" s="55" t="n"/>
      <c r="K476" s="68" t="n"/>
      <c r="L476" s="68" t="n"/>
      <c r="M476" s="59">
        <f>IF(OR(L476="",K476=""),"",MAX(L476-K476,0))</f>
        <v/>
      </c>
      <c r="N476" s="59">
        <f>IF(M476="","",IF(N(J476)=0,1,J476))</f>
        <v/>
      </c>
    </row>
    <row r="477">
      <c r="A477" s="53" t="n">
        <v>457</v>
      </c>
      <c r="B477" s="67" t="n"/>
      <c r="C477" s="55" t="n"/>
      <c r="D477" s="68" t="n"/>
      <c r="E477" s="68" t="n"/>
      <c r="F477" s="59">
        <f>IF(OR(E477="",D477=""),"",MAX(E477-D477,0))</f>
        <v/>
      </c>
      <c r="G477" s="59">
        <f>IF(F477="","",IF(N(C477)=0,1,C477))</f>
        <v/>
      </c>
      <c r="H477" s="53" t="n">
        <v>457</v>
      </c>
      <c r="I477" s="67" t="n"/>
      <c r="J477" s="55" t="n"/>
      <c r="K477" s="68" t="n"/>
      <c r="L477" s="68" t="n"/>
      <c r="M477" s="59">
        <f>IF(OR(L477="",K477=""),"",MAX(L477-K477,0))</f>
        <v/>
      </c>
      <c r="N477" s="59">
        <f>IF(M477="","",IF(N(J477)=0,1,J477))</f>
        <v/>
      </c>
    </row>
    <row r="478">
      <c r="A478" s="53" t="n">
        <v>458</v>
      </c>
      <c r="B478" s="67" t="n"/>
      <c r="C478" s="55" t="n"/>
      <c r="D478" s="68" t="n"/>
      <c r="E478" s="68" t="n"/>
      <c r="F478" s="59">
        <f>IF(OR(E478="",D478=""),"",MAX(E478-D478,0))</f>
        <v/>
      </c>
      <c r="G478" s="59">
        <f>IF(F478="","",IF(N(C478)=0,1,C478))</f>
        <v/>
      </c>
      <c r="H478" s="53" t="n">
        <v>458</v>
      </c>
      <c r="I478" s="67" t="n"/>
      <c r="J478" s="55" t="n"/>
      <c r="K478" s="68" t="n"/>
      <c r="L478" s="68" t="n"/>
      <c r="M478" s="59">
        <f>IF(OR(L478="",K478=""),"",MAX(L478-K478,0))</f>
        <v/>
      </c>
      <c r="N478" s="59">
        <f>IF(M478="","",IF(N(J478)=0,1,J478))</f>
        <v/>
      </c>
    </row>
    <row r="479">
      <c r="A479" s="53" t="n">
        <v>459</v>
      </c>
      <c r="B479" s="67" t="n"/>
      <c r="C479" s="55" t="n"/>
      <c r="D479" s="68" t="n"/>
      <c r="E479" s="68" t="n"/>
      <c r="F479" s="59">
        <f>IF(OR(E479="",D479=""),"",MAX(E479-D479,0))</f>
        <v/>
      </c>
      <c r="G479" s="59">
        <f>IF(F479="","",IF(N(C479)=0,1,C479))</f>
        <v/>
      </c>
      <c r="H479" s="53" t="n">
        <v>459</v>
      </c>
      <c r="I479" s="67" t="n"/>
      <c r="J479" s="55" t="n"/>
      <c r="K479" s="68" t="n"/>
      <c r="L479" s="68" t="n"/>
      <c r="M479" s="59">
        <f>IF(OR(L479="",K479=""),"",MAX(L479-K479,0))</f>
        <v/>
      </c>
      <c r="N479" s="59">
        <f>IF(M479="","",IF(N(J479)=0,1,J479))</f>
        <v/>
      </c>
    </row>
    <row r="480">
      <c r="A480" s="53" t="n">
        <v>460</v>
      </c>
      <c r="B480" s="67" t="n"/>
      <c r="C480" s="55" t="n"/>
      <c r="D480" s="68" t="n"/>
      <c r="E480" s="68" t="n"/>
      <c r="F480" s="59">
        <f>IF(OR(E480="",D480=""),"",MAX(E480-D480,0))</f>
        <v/>
      </c>
      <c r="G480" s="59">
        <f>IF(F480="","",IF(N(C480)=0,1,C480))</f>
        <v/>
      </c>
      <c r="H480" s="53" t="n">
        <v>460</v>
      </c>
      <c r="I480" s="67" t="n"/>
      <c r="J480" s="55" t="n"/>
      <c r="K480" s="68" t="n"/>
      <c r="L480" s="68" t="n"/>
      <c r="M480" s="59">
        <f>IF(OR(L480="",K480=""),"",MAX(L480-K480,0))</f>
        <v/>
      </c>
      <c r="N480" s="59">
        <f>IF(M480="","",IF(N(J480)=0,1,J480))</f>
        <v/>
      </c>
    </row>
    <row r="481">
      <c r="A481" s="53" t="n">
        <v>461</v>
      </c>
      <c r="B481" s="67" t="n"/>
      <c r="C481" s="55" t="n"/>
      <c r="D481" s="68" t="n"/>
      <c r="E481" s="68" t="n"/>
      <c r="F481" s="59">
        <f>IF(OR(E481="",D481=""),"",MAX(E481-D481,0))</f>
        <v/>
      </c>
      <c r="G481" s="59">
        <f>IF(F481="","",IF(N(C481)=0,1,C481))</f>
        <v/>
      </c>
      <c r="H481" s="53" t="n">
        <v>461</v>
      </c>
      <c r="I481" s="67" t="n"/>
      <c r="J481" s="55" t="n"/>
      <c r="K481" s="68" t="n"/>
      <c r="L481" s="68" t="n"/>
      <c r="M481" s="59">
        <f>IF(OR(L481="",K481=""),"",MAX(L481-K481,0))</f>
        <v/>
      </c>
      <c r="N481" s="59">
        <f>IF(M481="","",IF(N(J481)=0,1,J481))</f>
        <v/>
      </c>
    </row>
    <row r="482">
      <c r="A482" s="53" t="n">
        <v>462</v>
      </c>
      <c r="B482" s="67" t="n"/>
      <c r="C482" s="55" t="n"/>
      <c r="D482" s="68" t="n"/>
      <c r="E482" s="68" t="n"/>
      <c r="F482" s="59">
        <f>IF(OR(E482="",D482=""),"",MAX(E482-D482,0))</f>
        <v/>
      </c>
      <c r="G482" s="59">
        <f>IF(F482="","",IF(N(C482)=0,1,C482))</f>
        <v/>
      </c>
      <c r="H482" s="53" t="n">
        <v>462</v>
      </c>
      <c r="I482" s="67" t="n"/>
      <c r="J482" s="55" t="n"/>
      <c r="K482" s="68" t="n"/>
      <c r="L482" s="68" t="n"/>
      <c r="M482" s="59">
        <f>IF(OR(L482="",K482=""),"",MAX(L482-K482,0))</f>
        <v/>
      </c>
      <c r="N482" s="59">
        <f>IF(M482="","",IF(N(J482)=0,1,J482))</f>
        <v/>
      </c>
    </row>
    <row r="483">
      <c r="A483" s="53" t="n">
        <v>463</v>
      </c>
      <c r="B483" s="67" t="n"/>
      <c r="C483" s="55" t="n"/>
      <c r="D483" s="68" t="n"/>
      <c r="E483" s="68" t="n"/>
      <c r="F483" s="59">
        <f>IF(OR(E483="",D483=""),"",MAX(E483-D483,0))</f>
        <v/>
      </c>
      <c r="G483" s="59">
        <f>IF(F483="","",IF(N(C483)=0,1,C483))</f>
        <v/>
      </c>
      <c r="H483" s="53" t="n">
        <v>463</v>
      </c>
      <c r="I483" s="67" t="n"/>
      <c r="J483" s="55" t="n"/>
      <c r="K483" s="68" t="n"/>
      <c r="L483" s="68" t="n"/>
      <c r="M483" s="59">
        <f>IF(OR(L483="",K483=""),"",MAX(L483-K483,0))</f>
        <v/>
      </c>
      <c r="N483" s="59">
        <f>IF(M483="","",IF(N(J483)=0,1,J483))</f>
        <v/>
      </c>
    </row>
    <row r="484">
      <c r="A484" s="53" t="n">
        <v>464</v>
      </c>
      <c r="B484" s="67" t="n"/>
      <c r="C484" s="55" t="n"/>
      <c r="D484" s="68" t="n"/>
      <c r="E484" s="68" t="n"/>
      <c r="F484" s="59">
        <f>IF(OR(E484="",D484=""),"",MAX(E484-D484,0))</f>
        <v/>
      </c>
      <c r="G484" s="59">
        <f>IF(F484="","",IF(N(C484)=0,1,C484))</f>
        <v/>
      </c>
      <c r="H484" s="53" t="n">
        <v>464</v>
      </c>
      <c r="I484" s="67" t="n"/>
      <c r="J484" s="55" t="n"/>
      <c r="K484" s="68" t="n"/>
      <c r="L484" s="68" t="n"/>
      <c r="M484" s="59">
        <f>IF(OR(L484="",K484=""),"",MAX(L484-K484,0))</f>
        <v/>
      </c>
      <c r="N484" s="59">
        <f>IF(M484="","",IF(N(J484)=0,1,J484))</f>
        <v/>
      </c>
    </row>
    <row r="485">
      <c r="A485" s="53" t="n">
        <v>465</v>
      </c>
      <c r="B485" s="67" t="n"/>
      <c r="C485" s="55" t="n"/>
      <c r="D485" s="68" t="n"/>
      <c r="E485" s="68" t="n"/>
      <c r="F485" s="59">
        <f>IF(OR(E485="",D485=""),"",MAX(E485-D485,0))</f>
        <v/>
      </c>
      <c r="G485" s="59">
        <f>IF(F485="","",IF(N(C485)=0,1,C485))</f>
        <v/>
      </c>
      <c r="H485" s="53" t="n">
        <v>465</v>
      </c>
      <c r="I485" s="67" t="n"/>
      <c r="J485" s="55" t="n"/>
      <c r="K485" s="68" t="n"/>
      <c r="L485" s="68" t="n"/>
      <c r="M485" s="59">
        <f>IF(OR(L485="",K485=""),"",MAX(L485-K485,0))</f>
        <v/>
      </c>
      <c r="N485" s="59">
        <f>IF(M485="","",IF(N(J485)=0,1,J485))</f>
        <v/>
      </c>
    </row>
    <row r="486">
      <c r="A486" s="53" t="n">
        <v>466</v>
      </c>
      <c r="B486" s="67" t="n"/>
      <c r="C486" s="55" t="n"/>
      <c r="D486" s="68" t="n"/>
      <c r="E486" s="68" t="n"/>
      <c r="F486" s="59">
        <f>IF(OR(E486="",D486=""),"",MAX(E486-D486,0))</f>
        <v/>
      </c>
      <c r="G486" s="59">
        <f>IF(F486="","",IF(N(C486)=0,1,C486))</f>
        <v/>
      </c>
      <c r="H486" s="53" t="n">
        <v>466</v>
      </c>
      <c r="I486" s="67" t="n"/>
      <c r="J486" s="55" t="n"/>
      <c r="K486" s="68" t="n"/>
      <c r="L486" s="68" t="n"/>
      <c r="M486" s="59">
        <f>IF(OR(L486="",K486=""),"",MAX(L486-K486,0))</f>
        <v/>
      </c>
      <c r="N486" s="59">
        <f>IF(M486="","",IF(N(J486)=0,1,J486))</f>
        <v/>
      </c>
    </row>
    <row r="487">
      <c r="A487" s="53" t="n">
        <v>467</v>
      </c>
      <c r="B487" s="67" t="n"/>
      <c r="C487" s="55" t="n"/>
      <c r="D487" s="68" t="n"/>
      <c r="E487" s="68" t="n"/>
      <c r="F487" s="59">
        <f>IF(OR(E487="",D487=""),"",MAX(E487-D487,0))</f>
        <v/>
      </c>
      <c r="G487" s="59">
        <f>IF(F487="","",IF(N(C487)=0,1,C487))</f>
        <v/>
      </c>
      <c r="H487" s="53" t="n">
        <v>467</v>
      </c>
      <c r="I487" s="67" t="n"/>
      <c r="J487" s="55" t="n"/>
      <c r="K487" s="68" t="n"/>
      <c r="L487" s="68" t="n"/>
      <c r="M487" s="59">
        <f>IF(OR(L487="",K487=""),"",MAX(L487-K487,0))</f>
        <v/>
      </c>
      <c r="N487" s="59">
        <f>IF(M487="","",IF(N(J487)=0,1,J487))</f>
        <v/>
      </c>
    </row>
    <row r="488">
      <c r="A488" s="53" t="n">
        <v>468</v>
      </c>
      <c r="B488" s="67" t="n"/>
      <c r="C488" s="55" t="n"/>
      <c r="D488" s="68" t="n"/>
      <c r="E488" s="68" t="n"/>
      <c r="F488" s="59">
        <f>IF(OR(E488="",D488=""),"",MAX(E488-D488,0))</f>
        <v/>
      </c>
      <c r="G488" s="59">
        <f>IF(F488="","",IF(N(C488)=0,1,C488))</f>
        <v/>
      </c>
      <c r="H488" s="53" t="n">
        <v>468</v>
      </c>
      <c r="I488" s="67" t="n"/>
      <c r="J488" s="55" t="n"/>
      <c r="K488" s="68" t="n"/>
      <c r="L488" s="68" t="n"/>
      <c r="M488" s="59">
        <f>IF(OR(L488="",K488=""),"",MAX(L488-K488,0))</f>
        <v/>
      </c>
      <c r="N488" s="59">
        <f>IF(M488="","",IF(N(J488)=0,1,J488))</f>
        <v/>
      </c>
    </row>
    <row r="489">
      <c r="A489" s="53" t="n">
        <v>469</v>
      </c>
      <c r="B489" s="67" t="n"/>
      <c r="C489" s="55" t="n"/>
      <c r="D489" s="68" t="n"/>
      <c r="E489" s="68" t="n"/>
      <c r="F489" s="59">
        <f>IF(OR(E489="",D489=""),"",MAX(E489-D489,0))</f>
        <v/>
      </c>
      <c r="G489" s="59">
        <f>IF(F489="","",IF(N(C489)=0,1,C489))</f>
        <v/>
      </c>
      <c r="H489" s="53" t="n">
        <v>469</v>
      </c>
      <c r="I489" s="67" t="n"/>
      <c r="J489" s="55" t="n"/>
      <c r="K489" s="68" t="n"/>
      <c r="L489" s="68" t="n"/>
      <c r="M489" s="59">
        <f>IF(OR(L489="",K489=""),"",MAX(L489-K489,0))</f>
        <v/>
      </c>
      <c r="N489" s="59">
        <f>IF(M489="","",IF(N(J489)=0,1,J489))</f>
        <v/>
      </c>
    </row>
    <row r="490">
      <c r="A490" s="53" t="n">
        <v>470</v>
      </c>
      <c r="B490" s="67" t="n"/>
      <c r="C490" s="55" t="n"/>
      <c r="D490" s="68" t="n"/>
      <c r="E490" s="68" t="n"/>
      <c r="F490" s="59">
        <f>IF(OR(E490="",D490=""),"",MAX(E490-D490,0))</f>
        <v/>
      </c>
      <c r="G490" s="59">
        <f>IF(F490="","",IF(N(C490)=0,1,C490))</f>
        <v/>
      </c>
      <c r="H490" s="53" t="n">
        <v>470</v>
      </c>
      <c r="I490" s="67" t="n"/>
      <c r="J490" s="55" t="n"/>
      <c r="K490" s="68" t="n"/>
      <c r="L490" s="68" t="n"/>
      <c r="M490" s="59">
        <f>IF(OR(L490="",K490=""),"",MAX(L490-K490,0))</f>
        <v/>
      </c>
      <c r="N490" s="59">
        <f>IF(M490="","",IF(N(J490)=0,1,J490))</f>
        <v/>
      </c>
    </row>
    <row r="491">
      <c r="A491" s="53" t="n">
        <v>471</v>
      </c>
      <c r="B491" s="67" t="n"/>
      <c r="C491" s="55" t="n"/>
      <c r="D491" s="68" t="n"/>
      <c r="E491" s="68" t="n"/>
      <c r="F491" s="59">
        <f>IF(OR(E491="",D491=""),"",MAX(E491-D491,0))</f>
        <v/>
      </c>
      <c r="G491" s="59">
        <f>IF(F491="","",IF(N(C491)=0,1,C491))</f>
        <v/>
      </c>
      <c r="H491" s="53" t="n">
        <v>471</v>
      </c>
      <c r="I491" s="67" t="n"/>
      <c r="J491" s="55" t="n"/>
      <c r="K491" s="68" t="n"/>
      <c r="L491" s="68" t="n"/>
      <c r="M491" s="59">
        <f>IF(OR(L491="",K491=""),"",MAX(L491-K491,0))</f>
        <v/>
      </c>
      <c r="N491" s="59">
        <f>IF(M491="","",IF(N(J491)=0,1,J491))</f>
        <v/>
      </c>
    </row>
    <row r="492">
      <c r="A492" s="53" t="n">
        <v>472</v>
      </c>
      <c r="B492" s="67" t="n"/>
      <c r="C492" s="55" t="n"/>
      <c r="D492" s="68" t="n"/>
      <c r="E492" s="68" t="n"/>
      <c r="F492" s="59">
        <f>IF(OR(E492="",D492=""),"",MAX(E492-D492,0))</f>
        <v/>
      </c>
      <c r="G492" s="59">
        <f>IF(F492="","",IF(N(C492)=0,1,C492))</f>
        <v/>
      </c>
      <c r="H492" s="53" t="n">
        <v>472</v>
      </c>
      <c r="I492" s="67" t="n"/>
      <c r="J492" s="55" t="n"/>
      <c r="K492" s="68" t="n"/>
      <c r="L492" s="68" t="n"/>
      <c r="M492" s="59">
        <f>IF(OR(L492="",K492=""),"",MAX(L492-K492,0))</f>
        <v/>
      </c>
      <c r="N492" s="59">
        <f>IF(M492="","",IF(N(J492)=0,1,J492))</f>
        <v/>
      </c>
    </row>
    <row r="493">
      <c r="A493" s="53" t="n">
        <v>473</v>
      </c>
      <c r="B493" s="67" t="n"/>
      <c r="C493" s="55" t="n"/>
      <c r="D493" s="68" t="n"/>
      <c r="E493" s="68" t="n"/>
      <c r="F493" s="59">
        <f>IF(OR(E493="",D493=""),"",MAX(E493-D493,0))</f>
        <v/>
      </c>
      <c r="G493" s="59">
        <f>IF(F493="","",IF(N(C493)=0,1,C493))</f>
        <v/>
      </c>
      <c r="H493" s="53" t="n">
        <v>473</v>
      </c>
      <c r="I493" s="67" t="n"/>
      <c r="J493" s="55" t="n"/>
      <c r="K493" s="68" t="n"/>
      <c r="L493" s="68" t="n"/>
      <c r="M493" s="59">
        <f>IF(OR(L493="",K493=""),"",MAX(L493-K493,0))</f>
        <v/>
      </c>
      <c r="N493" s="59">
        <f>IF(M493="","",IF(N(J493)=0,1,J493))</f>
        <v/>
      </c>
    </row>
    <row r="494">
      <c r="A494" s="53" t="n">
        <v>474</v>
      </c>
      <c r="B494" s="67" t="n"/>
      <c r="C494" s="55" t="n"/>
      <c r="D494" s="68" t="n"/>
      <c r="E494" s="68" t="n"/>
      <c r="F494" s="59">
        <f>IF(OR(E494="",D494=""),"",MAX(E494-D494,0))</f>
        <v/>
      </c>
      <c r="G494" s="59">
        <f>IF(F494="","",IF(N(C494)=0,1,C494))</f>
        <v/>
      </c>
      <c r="H494" s="53" t="n">
        <v>474</v>
      </c>
      <c r="I494" s="67" t="n"/>
      <c r="J494" s="55" t="n"/>
      <c r="K494" s="68" t="n"/>
      <c r="L494" s="68" t="n"/>
      <c r="M494" s="59">
        <f>IF(OR(L494="",K494=""),"",MAX(L494-K494,0))</f>
        <v/>
      </c>
      <c r="N494" s="59">
        <f>IF(M494="","",IF(N(J494)=0,1,J494))</f>
        <v/>
      </c>
    </row>
    <row r="495">
      <c r="A495" s="53" t="n">
        <v>475</v>
      </c>
      <c r="B495" s="67" t="n"/>
      <c r="C495" s="55" t="n"/>
      <c r="D495" s="68" t="n"/>
      <c r="E495" s="68" t="n"/>
      <c r="F495" s="59">
        <f>IF(OR(E495="",D495=""),"",MAX(E495-D495,0))</f>
        <v/>
      </c>
      <c r="G495" s="59">
        <f>IF(F495="","",IF(N(C495)=0,1,C495))</f>
        <v/>
      </c>
      <c r="H495" s="53" t="n">
        <v>475</v>
      </c>
      <c r="I495" s="67" t="n"/>
      <c r="J495" s="55" t="n"/>
      <c r="K495" s="68" t="n"/>
      <c r="L495" s="68" t="n"/>
      <c r="M495" s="59">
        <f>IF(OR(L495="",K495=""),"",MAX(L495-K495,0))</f>
        <v/>
      </c>
      <c r="N495" s="59">
        <f>IF(M495="","",IF(N(J495)=0,1,J495))</f>
        <v/>
      </c>
    </row>
    <row r="496">
      <c r="A496" s="53" t="n">
        <v>476</v>
      </c>
      <c r="B496" s="67" t="n"/>
      <c r="C496" s="55" t="n"/>
      <c r="D496" s="68" t="n"/>
      <c r="E496" s="68" t="n"/>
      <c r="F496" s="59">
        <f>IF(OR(E496="",D496=""),"",MAX(E496-D496,0))</f>
        <v/>
      </c>
      <c r="G496" s="59">
        <f>IF(F496="","",IF(N(C496)=0,1,C496))</f>
        <v/>
      </c>
      <c r="H496" s="53" t="n">
        <v>476</v>
      </c>
      <c r="I496" s="67" t="n"/>
      <c r="J496" s="55" t="n"/>
      <c r="K496" s="68" t="n"/>
      <c r="L496" s="68" t="n"/>
      <c r="M496" s="59">
        <f>IF(OR(L496="",K496=""),"",MAX(L496-K496,0))</f>
        <v/>
      </c>
      <c r="N496" s="59">
        <f>IF(M496="","",IF(N(J496)=0,1,J496))</f>
        <v/>
      </c>
    </row>
    <row r="497">
      <c r="A497" s="53" t="n">
        <v>477</v>
      </c>
      <c r="B497" s="67" t="n"/>
      <c r="C497" s="55" t="n"/>
      <c r="D497" s="68" t="n"/>
      <c r="E497" s="68" t="n"/>
      <c r="F497" s="59">
        <f>IF(OR(E497="",D497=""),"",MAX(E497-D497,0))</f>
        <v/>
      </c>
      <c r="G497" s="59">
        <f>IF(F497="","",IF(N(C497)=0,1,C497))</f>
        <v/>
      </c>
      <c r="H497" s="53" t="n">
        <v>477</v>
      </c>
      <c r="I497" s="67" t="n"/>
      <c r="J497" s="55" t="n"/>
      <c r="K497" s="68" t="n"/>
      <c r="L497" s="68" t="n"/>
      <c r="M497" s="59">
        <f>IF(OR(L497="",K497=""),"",MAX(L497-K497,0))</f>
        <v/>
      </c>
      <c r="N497" s="59">
        <f>IF(M497="","",IF(N(J497)=0,1,J497))</f>
        <v/>
      </c>
    </row>
    <row r="498">
      <c r="A498" s="53" t="n">
        <v>478</v>
      </c>
      <c r="B498" s="67" t="n"/>
      <c r="C498" s="55" t="n"/>
      <c r="D498" s="68" t="n"/>
      <c r="E498" s="68" t="n"/>
      <c r="F498" s="59">
        <f>IF(OR(E498="",D498=""),"",MAX(E498-D498,0))</f>
        <v/>
      </c>
      <c r="G498" s="59">
        <f>IF(F498="","",IF(N(C498)=0,1,C498))</f>
        <v/>
      </c>
      <c r="H498" s="53" t="n">
        <v>478</v>
      </c>
      <c r="I498" s="67" t="n"/>
      <c r="J498" s="55" t="n"/>
      <c r="K498" s="68" t="n"/>
      <c r="L498" s="68" t="n"/>
      <c r="M498" s="59">
        <f>IF(OR(L498="",K498=""),"",MAX(L498-K498,0))</f>
        <v/>
      </c>
      <c r="N498" s="59">
        <f>IF(M498="","",IF(N(J498)=0,1,J498))</f>
        <v/>
      </c>
    </row>
    <row r="499">
      <c r="A499" s="53" t="n">
        <v>479</v>
      </c>
      <c r="B499" s="67" t="n"/>
      <c r="C499" s="55" t="n"/>
      <c r="D499" s="68" t="n"/>
      <c r="E499" s="68" t="n"/>
      <c r="F499" s="59">
        <f>IF(OR(E499="",D499=""),"",MAX(E499-D499,0))</f>
        <v/>
      </c>
      <c r="G499" s="59">
        <f>IF(F499="","",IF(N(C499)=0,1,C499))</f>
        <v/>
      </c>
      <c r="H499" s="53" t="n">
        <v>479</v>
      </c>
      <c r="I499" s="67" t="n"/>
      <c r="J499" s="55" t="n"/>
      <c r="K499" s="68" t="n"/>
      <c r="L499" s="68" t="n"/>
      <c r="M499" s="59">
        <f>IF(OR(L499="",K499=""),"",MAX(L499-K499,0))</f>
        <v/>
      </c>
      <c r="N499" s="59">
        <f>IF(M499="","",IF(N(J499)=0,1,J499))</f>
        <v/>
      </c>
    </row>
    <row r="500">
      <c r="A500" s="53" t="n">
        <v>480</v>
      </c>
      <c r="B500" s="67" t="n"/>
      <c r="C500" s="55" t="n"/>
      <c r="D500" s="68" t="n"/>
      <c r="E500" s="68" t="n"/>
      <c r="F500" s="59">
        <f>IF(OR(E500="",D500=""),"",MAX(E500-D500,0))</f>
        <v/>
      </c>
      <c r="G500" s="59">
        <f>IF(F500="","",IF(N(C500)=0,1,C500))</f>
        <v/>
      </c>
      <c r="H500" s="53" t="n">
        <v>480</v>
      </c>
      <c r="I500" s="67" t="n"/>
      <c r="J500" s="55" t="n"/>
      <c r="K500" s="68" t="n"/>
      <c r="L500" s="68" t="n"/>
      <c r="M500" s="59">
        <f>IF(OR(L500="",K500=""),"",MAX(L500-K500,0))</f>
        <v/>
      </c>
      <c r="N500" s="59">
        <f>IF(M500="","",IF(N(J500)=0,1,J500))</f>
        <v/>
      </c>
    </row>
    <row r="501">
      <c r="A501" s="53" t="n">
        <v>481</v>
      </c>
      <c r="B501" s="67" t="n"/>
      <c r="C501" s="55" t="n"/>
      <c r="D501" s="68" t="n"/>
      <c r="E501" s="68" t="n"/>
      <c r="F501" s="59">
        <f>IF(OR(E501="",D501=""),"",MAX(E501-D501,0))</f>
        <v/>
      </c>
      <c r="G501" s="59">
        <f>IF(F501="","",IF(N(C501)=0,1,C501))</f>
        <v/>
      </c>
      <c r="H501" s="53" t="n">
        <v>481</v>
      </c>
      <c r="I501" s="67" t="n"/>
      <c r="J501" s="55" t="n"/>
      <c r="K501" s="68" t="n"/>
      <c r="L501" s="68" t="n"/>
      <c r="M501" s="59">
        <f>IF(OR(L501="",K501=""),"",MAX(L501-K501,0))</f>
        <v/>
      </c>
      <c r="N501" s="59">
        <f>IF(M501="","",IF(N(J501)=0,1,J501))</f>
        <v/>
      </c>
    </row>
    <row r="502">
      <c r="A502" s="53" t="n">
        <v>482</v>
      </c>
      <c r="B502" s="67" t="n"/>
      <c r="C502" s="55" t="n"/>
      <c r="D502" s="68" t="n"/>
      <c r="E502" s="68" t="n"/>
      <c r="F502" s="59">
        <f>IF(OR(E502="",D502=""),"",MAX(E502-D502,0))</f>
        <v/>
      </c>
      <c r="G502" s="59">
        <f>IF(F502="","",IF(N(C502)=0,1,C502))</f>
        <v/>
      </c>
      <c r="H502" s="53" t="n">
        <v>482</v>
      </c>
      <c r="I502" s="67" t="n"/>
      <c r="J502" s="55" t="n"/>
      <c r="K502" s="68" t="n"/>
      <c r="L502" s="68" t="n"/>
      <c r="M502" s="59">
        <f>IF(OR(L502="",K502=""),"",MAX(L502-K502,0))</f>
        <v/>
      </c>
      <c r="N502" s="59">
        <f>IF(M502="","",IF(N(J502)=0,1,J502))</f>
        <v/>
      </c>
    </row>
    <row r="503">
      <c r="A503" s="53" t="n">
        <v>483</v>
      </c>
      <c r="B503" s="67" t="n"/>
      <c r="C503" s="55" t="n"/>
      <c r="D503" s="68" t="n"/>
      <c r="E503" s="68" t="n"/>
      <c r="F503" s="59">
        <f>IF(OR(E503="",D503=""),"",MAX(E503-D503,0))</f>
        <v/>
      </c>
      <c r="G503" s="59">
        <f>IF(F503="","",IF(N(C503)=0,1,C503))</f>
        <v/>
      </c>
      <c r="H503" s="53" t="n">
        <v>483</v>
      </c>
      <c r="I503" s="67" t="n"/>
      <c r="J503" s="55" t="n"/>
      <c r="K503" s="68" t="n"/>
      <c r="L503" s="68" t="n"/>
      <c r="M503" s="59">
        <f>IF(OR(L503="",K503=""),"",MAX(L503-K503,0))</f>
        <v/>
      </c>
      <c r="N503" s="59">
        <f>IF(M503="","",IF(N(J503)=0,1,J503))</f>
        <v/>
      </c>
    </row>
    <row r="504">
      <c r="A504" s="53" t="n">
        <v>484</v>
      </c>
      <c r="B504" s="67" t="n"/>
      <c r="C504" s="55" t="n"/>
      <c r="D504" s="68" t="n"/>
      <c r="E504" s="68" t="n"/>
      <c r="F504" s="59">
        <f>IF(OR(E504="",D504=""),"",MAX(E504-D504,0))</f>
        <v/>
      </c>
      <c r="G504" s="59">
        <f>IF(F504="","",IF(N(C504)=0,1,C504))</f>
        <v/>
      </c>
      <c r="H504" s="53" t="n">
        <v>484</v>
      </c>
      <c r="I504" s="67" t="n"/>
      <c r="J504" s="55" t="n"/>
      <c r="K504" s="68" t="n"/>
      <c r="L504" s="68" t="n"/>
      <c r="M504" s="59">
        <f>IF(OR(L504="",K504=""),"",MAX(L504-K504,0))</f>
        <v/>
      </c>
      <c r="N504" s="59">
        <f>IF(M504="","",IF(N(J504)=0,1,J504))</f>
        <v/>
      </c>
    </row>
    <row r="505">
      <c r="A505" s="53" t="n">
        <v>485</v>
      </c>
      <c r="B505" s="67" t="n"/>
      <c r="C505" s="55" t="n"/>
      <c r="D505" s="68" t="n"/>
      <c r="E505" s="68" t="n"/>
      <c r="F505" s="59">
        <f>IF(OR(E505="",D505=""),"",MAX(E505-D505,0))</f>
        <v/>
      </c>
      <c r="G505" s="59">
        <f>IF(F505="","",IF(N(C505)=0,1,C505))</f>
        <v/>
      </c>
      <c r="H505" s="53" t="n">
        <v>485</v>
      </c>
      <c r="I505" s="67" t="n"/>
      <c r="J505" s="55" t="n"/>
      <c r="K505" s="68" t="n"/>
      <c r="L505" s="68" t="n"/>
      <c r="M505" s="59">
        <f>IF(OR(L505="",K505=""),"",MAX(L505-K505,0))</f>
        <v/>
      </c>
      <c r="N505" s="59">
        <f>IF(M505="","",IF(N(J505)=0,1,J505))</f>
        <v/>
      </c>
    </row>
    <row r="506">
      <c r="A506" s="53" t="n">
        <v>486</v>
      </c>
      <c r="B506" s="67" t="n"/>
      <c r="C506" s="55" t="n"/>
      <c r="D506" s="68" t="n"/>
      <c r="E506" s="68" t="n"/>
      <c r="F506" s="59">
        <f>IF(OR(E506="",D506=""),"",MAX(E506-D506,0))</f>
        <v/>
      </c>
      <c r="G506" s="59">
        <f>IF(F506="","",IF(N(C506)=0,1,C506))</f>
        <v/>
      </c>
      <c r="H506" s="53" t="n">
        <v>486</v>
      </c>
      <c r="I506" s="67" t="n"/>
      <c r="J506" s="55" t="n"/>
      <c r="K506" s="68" t="n"/>
      <c r="L506" s="68" t="n"/>
      <c r="M506" s="59">
        <f>IF(OR(L506="",K506=""),"",MAX(L506-K506,0))</f>
        <v/>
      </c>
      <c r="N506" s="59">
        <f>IF(M506="","",IF(N(J506)=0,1,J506))</f>
        <v/>
      </c>
    </row>
    <row r="507">
      <c r="A507" s="53" t="n">
        <v>487</v>
      </c>
      <c r="B507" s="67" t="n"/>
      <c r="C507" s="55" t="n"/>
      <c r="D507" s="68" t="n"/>
      <c r="E507" s="68" t="n"/>
      <c r="F507" s="59">
        <f>IF(OR(E507="",D507=""),"",MAX(E507-D507,0))</f>
        <v/>
      </c>
      <c r="G507" s="59">
        <f>IF(F507="","",IF(N(C507)=0,1,C507))</f>
        <v/>
      </c>
      <c r="H507" s="53" t="n">
        <v>487</v>
      </c>
      <c r="I507" s="67" t="n"/>
      <c r="J507" s="55" t="n"/>
      <c r="K507" s="68" t="n"/>
      <c r="L507" s="68" t="n"/>
      <c r="M507" s="59">
        <f>IF(OR(L507="",K507=""),"",MAX(L507-K507,0))</f>
        <v/>
      </c>
      <c r="N507" s="59">
        <f>IF(M507="","",IF(N(J507)=0,1,J507))</f>
        <v/>
      </c>
    </row>
    <row r="508">
      <c r="A508" s="53" t="n">
        <v>488</v>
      </c>
      <c r="B508" s="67" t="n"/>
      <c r="C508" s="55" t="n"/>
      <c r="D508" s="68" t="n"/>
      <c r="E508" s="68" t="n"/>
      <c r="F508" s="59">
        <f>IF(OR(E508="",D508=""),"",MAX(E508-D508,0))</f>
        <v/>
      </c>
      <c r="G508" s="59">
        <f>IF(F508="","",IF(N(C508)=0,1,C508))</f>
        <v/>
      </c>
      <c r="H508" s="53" t="n">
        <v>488</v>
      </c>
      <c r="I508" s="67" t="n"/>
      <c r="J508" s="55" t="n"/>
      <c r="K508" s="68" t="n"/>
      <c r="L508" s="68" t="n"/>
      <c r="M508" s="59">
        <f>IF(OR(L508="",K508=""),"",MAX(L508-K508,0))</f>
        <v/>
      </c>
      <c r="N508" s="59">
        <f>IF(M508="","",IF(N(J508)=0,1,J508))</f>
        <v/>
      </c>
    </row>
    <row r="509">
      <c r="A509" s="53" t="n">
        <v>489</v>
      </c>
      <c r="B509" s="67" t="n"/>
      <c r="C509" s="55" t="n"/>
      <c r="D509" s="68" t="n"/>
      <c r="E509" s="68" t="n"/>
      <c r="F509" s="59">
        <f>IF(OR(E509="",D509=""),"",MAX(E509-D509,0))</f>
        <v/>
      </c>
      <c r="G509" s="59">
        <f>IF(F509="","",IF(N(C509)=0,1,C509))</f>
        <v/>
      </c>
      <c r="H509" s="53" t="n">
        <v>489</v>
      </c>
      <c r="I509" s="67" t="n"/>
      <c r="J509" s="55" t="n"/>
      <c r="K509" s="68" t="n"/>
      <c r="L509" s="68" t="n"/>
      <c r="M509" s="59">
        <f>IF(OR(L509="",K509=""),"",MAX(L509-K509,0))</f>
        <v/>
      </c>
      <c r="N509" s="59">
        <f>IF(M509="","",IF(N(J509)=0,1,J509))</f>
        <v/>
      </c>
    </row>
    <row r="510">
      <c r="A510" s="53" t="n">
        <v>490</v>
      </c>
      <c r="B510" s="67" t="n"/>
      <c r="C510" s="55" t="n"/>
      <c r="D510" s="68" t="n"/>
      <c r="E510" s="68" t="n"/>
      <c r="F510" s="59">
        <f>IF(OR(E510="",D510=""),"",MAX(E510-D510,0))</f>
        <v/>
      </c>
      <c r="G510" s="59">
        <f>IF(F510="","",IF(N(C510)=0,1,C510))</f>
        <v/>
      </c>
      <c r="H510" s="53" t="n">
        <v>490</v>
      </c>
      <c r="I510" s="67" t="n"/>
      <c r="J510" s="55" t="n"/>
      <c r="K510" s="68" t="n"/>
      <c r="L510" s="68" t="n"/>
      <c r="M510" s="59">
        <f>IF(OR(L510="",K510=""),"",MAX(L510-K510,0))</f>
        <v/>
      </c>
      <c r="N510" s="59">
        <f>IF(M510="","",IF(N(J510)=0,1,J510))</f>
        <v/>
      </c>
    </row>
    <row r="511">
      <c r="A511" s="53" t="n">
        <v>491</v>
      </c>
      <c r="B511" s="67" t="n"/>
      <c r="C511" s="55" t="n"/>
      <c r="D511" s="68" t="n"/>
      <c r="E511" s="68" t="n"/>
      <c r="F511" s="59">
        <f>IF(OR(E511="",D511=""),"",MAX(E511-D511,0))</f>
        <v/>
      </c>
      <c r="G511" s="59">
        <f>IF(F511="","",IF(N(C511)=0,1,C511))</f>
        <v/>
      </c>
      <c r="H511" s="53" t="n">
        <v>491</v>
      </c>
      <c r="I511" s="67" t="n"/>
      <c r="J511" s="55" t="n"/>
      <c r="K511" s="68" t="n"/>
      <c r="L511" s="68" t="n"/>
      <c r="M511" s="59">
        <f>IF(OR(L511="",K511=""),"",MAX(L511-K511,0))</f>
        <v/>
      </c>
      <c r="N511" s="59">
        <f>IF(M511="","",IF(N(J511)=0,1,J511))</f>
        <v/>
      </c>
    </row>
    <row r="512">
      <c r="A512" s="53" t="n">
        <v>492</v>
      </c>
      <c r="B512" s="67" t="n"/>
      <c r="C512" s="55" t="n"/>
      <c r="D512" s="68" t="n"/>
      <c r="E512" s="68" t="n"/>
      <c r="F512" s="59">
        <f>IF(OR(E512="",D512=""),"",MAX(E512-D512,0))</f>
        <v/>
      </c>
      <c r="G512" s="59">
        <f>IF(F512="","",IF(N(C512)=0,1,C512))</f>
        <v/>
      </c>
      <c r="H512" s="53" t="n">
        <v>492</v>
      </c>
      <c r="I512" s="67" t="n"/>
      <c r="J512" s="55" t="n"/>
      <c r="K512" s="68" t="n"/>
      <c r="L512" s="68" t="n"/>
      <c r="M512" s="59">
        <f>IF(OR(L512="",K512=""),"",MAX(L512-K512,0))</f>
        <v/>
      </c>
      <c r="N512" s="59">
        <f>IF(M512="","",IF(N(J512)=0,1,J512))</f>
        <v/>
      </c>
    </row>
    <row r="513">
      <c r="A513" s="53" t="n">
        <v>493</v>
      </c>
      <c r="B513" s="67" t="n"/>
      <c r="C513" s="55" t="n"/>
      <c r="D513" s="68" t="n"/>
      <c r="E513" s="68" t="n"/>
      <c r="F513" s="59">
        <f>IF(OR(E513="",D513=""),"",MAX(E513-D513,0))</f>
        <v/>
      </c>
      <c r="G513" s="59">
        <f>IF(F513="","",IF(N(C513)=0,1,C513))</f>
        <v/>
      </c>
      <c r="H513" s="53" t="n">
        <v>493</v>
      </c>
      <c r="I513" s="67" t="n"/>
      <c r="J513" s="55" t="n"/>
      <c r="K513" s="68" t="n"/>
      <c r="L513" s="68" t="n"/>
      <c r="M513" s="59">
        <f>IF(OR(L513="",K513=""),"",MAX(L513-K513,0))</f>
        <v/>
      </c>
      <c r="N513" s="59">
        <f>IF(M513="","",IF(N(J513)=0,1,J513))</f>
        <v/>
      </c>
    </row>
    <row r="514">
      <c r="A514" s="53" t="n">
        <v>494</v>
      </c>
      <c r="B514" s="67" t="n"/>
      <c r="C514" s="55" t="n"/>
      <c r="D514" s="68" t="n"/>
      <c r="E514" s="68" t="n"/>
      <c r="F514" s="59">
        <f>IF(OR(E514="",D514=""),"",MAX(E514-D514,0))</f>
        <v/>
      </c>
      <c r="G514" s="59">
        <f>IF(F514="","",IF(N(C514)=0,1,C514))</f>
        <v/>
      </c>
      <c r="H514" s="53" t="n">
        <v>494</v>
      </c>
      <c r="I514" s="67" t="n"/>
      <c r="J514" s="55" t="n"/>
      <c r="K514" s="68" t="n"/>
      <c r="L514" s="68" t="n"/>
      <c r="M514" s="59">
        <f>IF(OR(L514="",K514=""),"",MAX(L514-K514,0))</f>
        <v/>
      </c>
      <c r="N514" s="59">
        <f>IF(M514="","",IF(N(J514)=0,1,J514))</f>
        <v/>
      </c>
    </row>
    <row r="515">
      <c r="A515" s="53" t="n">
        <v>495</v>
      </c>
      <c r="B515" s="67" t="n"/>
      <c r="C515" s="55" t="n"/>
      <c r="D515" s="68" t="n"/>
      <c r="E515" s="68" t="n"/>
      <c r="F515" s="59">
        <f>IF(OR(E515="",D515=""),"",MAX(E515-D515,0))</f>
        <v/>
      </c>
      <c r="G515" s="59">
        <f>IF(F515="","",IF(N(C515)=0,1,C515))</f>
        <v/>
      </c>
      <c r="H515" s="53" t="n">
        <v>495</v>
      </c>
      <c r="I515" s="67" t="n"/>
      <c r="J515" s="55" t="n"/>
      <c r="K515" s="68" t="n"/>
      <c r="L515" s="68" t="n"/>
      <c r="M515" s="59">
        <f>IF(OR(L515="",K515=""),"",MAX(L515-K515,0))</f>
        <v/>
      </c>
      <c r="N515" s="59">
        <f>IF(M515="","",IF(N(J515)=0,1,J515))</f>
        <v/>
      </c>
    </row>
    <row r="516">
      <c r="A516" s="53" t="n">
        <v>496</v>
      </c>
      <c r="B516" s="67" t="n"/>
      <c r="C516" s="55" t="n"/>
      <c r="D516" s="68" t="n"/>
      <c r="E516" s="68" t="n"/>
      <c r="F516" s="59">
        <f>IF(OR(E516="",D516=""),"",MAX(E516-D516,0))</f>
        <v/>
      </c>
      <c r="G516" s="59">
        <f>IF(F516="","",IF(N(C516)=0,1,C516))</f>
        <v/>
      </c>
      <c r="H516" s="53" t="n">
        <v>496</v>
      </c>
      <c r="I516" s="67" t="n"/>
      <c r="J516" s="55" t="n"/>
      <c r="K516" s="68" t="n"/>
      <c r="L516" s="68" t="n"/>
      <c r="M516" s="59">
        <f>IF(OR(L516="",K516=""),"",MAX(L516-K516,0))</f>
        <v/>
      </c>
      <c r="N516" s="59">
        <f>IF(M516="","",IF(N(J516)=0,1,J516))</f>
        <v/>
      </c>
    </row>
    <row r="517">
      <c r="A517" s="53" t="n">
        <v>497</v>
      </c>
      <c r="B517" s="67" t="n"/>
      <c r="C517" s="55" t="n"/>
      <c r="D517" s="68" t="n"/>
      <c r="E517" s="68" t="n"/>
      <c r="F517" s="59">
        <f>IF(OR(E517="",D517=""),"",MAX(E517-D517,0))</f>
        <v/>
      </c>
      <c r="G517" s="59">
        <f>IF(F517="","",IF(N(C517)=0,1,C517))</f>
        <v/>
      </c>
      <c r="H517" s="53" t="n">
        <v>497</v>
      </c>
      <c r="I517" s="67" t="n"/>
      <c r="J517" s="55" t="n"/>
      <c r="K517" s="68" t="n"/>
      <c r="L517" s="68" t="n"/>
      <c r="M517" s="59">
        <f>IF(OR(L517="",K517=""),"",MAX(L517-K517,0))</f>
        <v/>
      </c>
      <c r="N517" s="59">
        <f>IF(M517="","",IF(N(J517)=0,1,J517))</f>
        <v/>
      </c>
    </row>
    <row r="518">
      <c r="A518" s="53" t="n">
        <v>498</v>
      </c>
      <c r="B518" s="67" t="n"/>
      <c r="C518" s="55" t="n"/>
      <c r="D518" s="68" t="n"/>
      <c r="E518" s="68" t="n"/>
      <c r="F518" s="59">
        <f>IF(OR(E518="",D518=""),"",MAX(E518-D518,0))</f>
        <v/>
      </c>
      <c r="G518" s="59">
        <f>IF(F518="","",IF(N(C518)=0,1,C518))</f>
        <v/>
      </c>
      <c r="H518" s="53" t="n">
        <v>498</v>
      </c>
      <c r="I518" s="67" t="n"/>
      <c r="J518" s="55" t="n"/>
      <c r="K518" s="68" t="n"/>
      <c r="L518" s="68" t="n"/>
      <c r="M518" s="59">
        <f>IF(OR(L518="",K518=""),"",MAX(L518-K518,0))</f>
        <v/>
      </c>
      <c r="N518" s="59">
        <f>IF(M518="","",IF(N(J518)=0,1,J518))</f>
        <v/>
      </c>
    </row>
    <row r="519">
      <c r="A519" s="53" t="n">
        <v>499</v>
      </c>
      <c r="B519" s="67" t="n"/>
      <c r="C519" s="55" t="n"/>
      <c r="D519" s="68" t="n"/>
      <c r="E519" s="68" t="n"/>
      <c r="F519" s="59">
        <f>IF(OR(E519="",D519=""),"",MAX(E519-D519,0))</f>
        <v/>
      </c>
      <c r="G519" s="59">
        <f>IF(F519="","",IF(N(C519)=0,1,C519))</f>
        <v/>
      </c>
      <c r="H519" s="53" t="n">
        <v>499</v>
      </c>
      <c r="I519" s="67" t="n"/>
      <c r="J519" s="55" t="n"/>
      <c r="K519" s="68" t="n"/>
      <c r="L519" s="68" t="n"/>
      <c r="M519" s="59">
        <f>IF(OR(L519="",K519=""),"",MAX(L519-K519,0))</f>
        <v/>
      </c>
      <c r="N519" s="59">
        <f>IF(M519="","",IF(N(J519)=0,1,J519))</f>
        <v/>
      </c>
    </row>
    <row r="520">
      <c r="A520" s="53" t="n">
        <v>500</v>
      </c>
      <c r="B520" s="67" t="n"/>
      <c r="C520" s="55" t="n"/>
      <c r="D520" s="68" t="n"/>
      <c r="E520" s="68" t="n"/>
      <c r="F520" s="59">
        <f>IF(OR(E520="",D520=""),"",MAX(E520-D520,0))</f>
        <v/>
      </c>
      <c r="G520" s="59">
        <f>IF(F520="","",IF(N(C520)=0,1,C520))</f>
        <v/>
      </c>
      <c r="H520" s="53" t="n">
        <v>500</v>
      </c>
      <c r="I520" s="67" t="n"/>
      <c r="J520" s="55" t="n"/>
      <c r="K520" s="68" t="n"/>
      <c r="L520" s="68" t="n"/>
      <c r="M520" s="59">
        <f>IF(OR(L520="",K520=""),"",MAX(L520-K520,0))</f>
        <v/>
      </c>
      <c r="N520" s="59">
        <f>IF(M520="","",IF(N(J520)=0,1,J520))</f>
        <v/>
      </c>
    </row>
    <row r="521">
      <c r="A521" s="53" t="n">
        <v>501</v>
      </c>
      <c r="B521" s="67" t="n"/>
      <c r="C521" s="55" t="n"/>
      <c r="D521" s="68" t="n"/>
      <c r="E521" s="68" t="n"/>
      <c r="F521" s="59">
        <f>IF(OR(E521="",D521=""),"",MAX(E521-D521,0))</f>
        <v/>
      </c>
      <c r="G521" s="59">
        <f>IF(F521="","",IF(N(C521)=0,1,C521))</f>
        <v/>
      </c>
      <c r="H521" s="53" t="n">
        <v>501</v>
      </c>
      <c r="I521" s="67" t="n"/>
      <c r="J521" s="55" t="n"/>
      <c r="K521" s="68" t="n"/>
      <c r="L521" s="68" t="n"/>
      <c r="M521" s="59">
        <f>IF(OR(L521="",K521=""),"",MAX(L521-K521,0))</f>
        <v/>
      </c>
      <c r="N521" s="59">
        <f>IF(M521="","",IF(N(J521)=0,1,J521))</f>
        <v/>
      </c>
    </row>
    <row r="522">
      <c r="A522" s="53" t="n">
        <v>502</v>
      </c>
      <c r="B522" s="67" t="n"/>
      <c r="C522" s="55" t="n"/>
      <c r="D522" s="68" t="n"/>
      <c r="E522" s="68" t="n"/>
      <c r="F522" s="59">
        <f>IF(OR(E522="",D522=""),"",MAX(E522-D522,0))</f>
        <v/>
      </c>
      <c r="G522" s="59">
        <f>IF(F522="","",IF(N(C522)=0,1,C522))</f>
        <v/>
      </c>
      <c r="H522" s="53" t="n">
        <v>502</v>
      </c>
      <c r="I522" s="67" t="n"/>
      <c r="J522" s="55" t="n"/>
      <c r="K522" s="68" t="n"/>
      <c r="L522" s="68" t="n"/>
      <c r="M522" s="59">
        <f>IF(OR(L522="",K522=""),"",MAX(L522-K522,0))</f>
        <v/>
      </c>
      <c r="N522" s="59">
        <f>IF(M522="","",IF(N(J522)=0,1,J522))</f>
        <v/>
      </c>
    </row>
    <row r="523">
      <c r="A523" s="53" t="n">
        <v>503</v>
      </c>
      <c r="B523" s="67" t="n"/>
      <c r="C523" s="55" t="n"/>
      <c r="D523" s="68" t="n"/>
      <c r="E523" s="68" t="n"/>
      <c r="F523" s="59">
        <f>IF(OR(E523="",D523=""),"",MAX(E523-D523,0))</f>
        <v/>
      </c>
      <c r="G523" s="59">
        <f>IF(F523="","",IF(N(C523)=0,1,C523))</f>
        <v/>
      </c>
      <c r="H523" s="53" t="n">
        <v>503</v>
      </c>
      <c r="I523" s="67" t="n"/>
      <c r="J523" s="55" t="n"/>
      <c r="K523" s="68" t="n"/>
      <c r="L523" s="68" t="n"/>
      <c r="M523" s="59">
        <f>IF(OR(L523="",K523=""),"",MAX(L523-K523,0))</f>
        <v/>
      </c>
      <c r="N523" s="59">
        <f>IF(M523="","",IF(N(J523)=0,1,J523))</f>
        <v/>
      </c>
    </row>
    <row r="524">
      <c r="A524" s="53" t="n">
        <v>504</v>
      </c>
      <c r="B524" s="67" t="n"/>
      <c r="C524" s="55" t="n"/>
      <c r="D524" s="68" t="n"/>
      <c r="E524" s="68" t="n"/>
      <c r="F524" s="59">
        <f>IF(OR(E524="",D524=""),"",MAX(E524-D524,0))</f>
        <v/>
      </c>
      <c r="G524" s="59">
        <f>IF(F524="","",IF(N(C524)=0,1,C524))</f>
        <v/>
      </c>
      <c r="H524" s="53" t="n">
        <v>504</v>
      </c>
      <c r="I524" s="67" t="n"/>
      <c r="J524" s="55" t="n"/>
      <c r="K524" s="68" t="n"/>
      <c r="L524" s="68" t="n"/>
      <c r="M524" s="59">
        <f>IF(OR(L524="",K524=""),"",MAX(L524-K524,0))</f>
        <v/>
      </c>
      <c r="N524" s="59">
        <f>IF(M524="","",IF(N(J524)=0,1,J524))</f>
        <v/>
      </c>
    </row>
    <row r="525">
      <c r="A525" s="53" t="n">
        <v>505</v>
      </c>
      <c r="B525" s="67" t="n"/>
      <c r="C525" s="55" t="n"/>
      <c r="D525" s="68" t="n"/>
      <c r="E525" s="68" t="n"/>
      <c r="F525" s="59">
        <f>IF(OR(E525="",D525=""),"",MAX(E525-D525,0))</f>
        <v/>
      </c>
      <c r="G525" s="59">
        <f>IF(F525="","",IF(N(C525)=0,1,C525))</f>
        <v/>
      </c>
      <c r="H525" s="53" t="n">
        <v>505</v>
      </c>
      <c r="I525" s="67" t="n"/>
      <c r="J525" s="55" t="n"/>
      <c r="K525" s="68" t="n"/>
      <c r="L525" s="68" t="n"/>
      <c r="M525" s="59">
        <f>IF(OR(L525="",K525=""),"",MAX(L525-K525,0))</f>
        <v/>
      </c>
      <c r="N525" s="59">
        <f>IF(M525="","",IF(N(J525)=0,1,J525))</f>
        <v/>
      </c>
    </row>
    <row r="526">
      <c r="A526" s="53" t="n">
        <v>506</v>
      </c>
      <c r="B526" s="67" t="n"/>
      <c r="C526" s="55" t="n"/>
      <c r="D526" s="68" t="n"/>
      <c r="E526" s="68" t="n"/>
      <c r="F526" s="59">
        <f>IF(OR(E526="",D526=""),"",MAX(E526-D526,0))</f>
        <v/>
      </c>
      <c r="G526" s="59">
        <f>IF(F526="","",IF(N(C526)=0,1,C526))</f>
        <v/>
      </c>
      <c r="H526" s="53" t="n">
        <v>506</v>
      </c>
      <c r="I526" s="67" t="n"/>
      <c r="J526" s="55" t="n"/>
      <c r="K526" s="68" t="n"/>
      <c r="L526" s="68" t="n"/>
      <c r="M526" s="59">
        <f>IF(OR(L526="",K526=""),"",MAX(L526-K526,0))</f>
        <v/>
      </c>
      <c r="N526" s="59">
        <f>IF(M526="","",IF(N(J526)=0,1,J526))</f>
        <v/>
      </c>
    </row>
    <row r="527">
      <c r="A527" s="53" t="n">
        <v>507</v>
      </c>
      <c r="B527" s="67" t="n"/>
      <c r="C527" s="55" t="n"/>
      <c r="D527" s="68" t="n"/>
      <c r="E527" s="68" t="n"/>
      <c r="F527" s="59">
        <f>IF(OR(E527="",D527=""),"",MAX(E527-D527,0))</f>
        <v/>
      </c>
      <c r="G527" s="59">
        <f>IF(F527="","",IF(N(C527)=0,1,C527))</f>
        <v/>
      </c>
      <c r="H527" s="53" t="n">
        <v>507</v>
      </c>
      <c r="I527" s="67" t="n"/>
      <c r="J527" s="55" t="n"/>
      <c r="K527" s="68" t="n"/>
      <c r="L527" s="68" t="n"/>
      <c r="M527" s="59">
        <f>IF(OR(L527="",K527=""),"",MAX(L527-K527,0))</f>
        <v/>
      </c>
      <c r="N527" s="59">
        <f>IF(M527="","",IF(N(J527)=0,1,J527))</f>
        <v/>
      </c>
    </row>
    <row r="528">
      <c r="A528" s="53" t="n">
        <v>508</v>
      </c>
      <c r="B528" s="67" t="n"/>
      <c r="C528" s="55" t="n"/>
      <c r="D528" s="68" t="n"/>
      <c r="E528" s="68" t="n"/>
      <c r="F528" s="59">
        <f>IF(OR(E528="",D528=""),"",MAX(E528-D528,0))</f>
        <v/>
      </c>
      <c r="G528" s="59">
        <f>IF(F528="","",IF(N(C528)=0,1,C528))</f>
        <v/>
      </c>
      <c r="H528" s="53" t="n">
        <v>508</v>
      </c>
      <c r="I528" s="67" t="n"/>
      <c r="J528" s="55" t="n"/>
      <c r="K528" s="68" t="n"/>
      <c r="L528" s="68" t="n"/>
      <c r="M528" s="59">
        <f>IF(OR(L528="",K528=""),"",MAX(L528-K528,0))</f>
        <v/>
      </c>
      <c r="N528" s="59">
        <f>IF(M528="","",IF(N(J528)=0,1,J528))</f>
        <v/>
      </c>
    </row>
    <row r="529">
      <c r="A529" s="53" t="n">
        <v>509</v>
      </c>
      <c r="B529" s="67" t="n"/>
      <c r="C529" s="55" t="n"/>
      <c r="D529" s="68" t="n"/>
      <c r="E529" s="68" t="n"/>
      <c r="F529" s="59">
        <f>IF(OR(E529="",D529=""),"",MAX(E529-D529,0))</f>
        <v/>
      </c>
      <c r="G529" s="59">
        <f>IF(F529="","",IF(N(C529)=0,1,C529))</f>
        <v/>
      </c>
      <c r="H529" s="53" t="n">
        <v>509</v>
      </c>
      <c r="I529" s="67" t="n"/>
      <c r="J529" s="55" t="n"/>
      <c r="K529" s="68" t="n"/>
      <c r="L529" s="68" t="n"/>
      <c r="M529" s="59">
        <f>IF(OR(L529="",K529=""),"",MAX(L529-K529,0))</f>
        <v/>
      </c>
      <c r="N529" s="59">
        <f>IF(M529="","",IF(N(J529)=0,1,J529))</f>
        <v/>
      </c>
    </row>
    <row r="530">
      <c r="A530" s="53" t="n">
        <v>510</v>
      </c>
      <c r="B530" s="67" t="n"/>
      <c r="C530" s="55" t="n"/>
      <c r="D530" s="68" t="n"/>
      <c r="E530" s="68" t="n"/>
      <c r="F530" s="59">
        <f>IF(OR(E530="",D530=""),"",MAX(E530-D530,0))</f>
        <v/>
      </c>
      <c r="G530" s="59">
        <f>IF(F530="","",IF(N(C530)=0,1,C530))</f>
        <v/>
      </c>
      <c r="H530" s="53" t="n">
        <v>510</v>
      </c>
      <c r="I530" s="67" t="n"/>
      <c r="J530" s="55" t="n"/>
      <c r="K530" s="68" t="n"/>
      <c r="L530" s="68" t="n"/>
      <c r="M530" s="59">
        <f>IF(OR(L530="",K530=""),"",MAX(L530-K530,0))</f>
        <v/>
      </c>
      <c r="N530" s="59">
        <f>IF(M530="","",IF(N(J530)=0,1,J530))</f>
        <v/>
      </c>
    </row>
    <row r="531">
      <c r="A531" s="53" t="n">
        <v>511</v>
      </c>
      <c r="B531" s="67" t="n"/>
      <c r="C531" s="55" t="n"/>
      <c r="D531" s="68" t="n"/>
      <c r="E531" s="68" t="n"/>
      <c r="F531" s="59">
        <f>IF(OR(E531="",D531=""),"",MAX(E531-D531,0))</f>
        <v/>
      </c>
      <c r="G531" s="59">
        <f>IF(F531="","",IF(N(C531)=0,1,C531))</f>
        <v/>
      </c>
      <c r="H531" s="53" t="n">
        <v>511</v>
      </c>
      <c r="I531" s="67" t="n"/>
      <c r="J531" s="55" t="n"/>
      <c r="K531" s="68" t="n"/>
      <c r="L531" s="68" t="n"/>
      <c r="M531" s="59">
        <f>IF(OR(L531="",K531=""),"",MAX(L531-K531,0))</f>
        <v/>
      </c>
      <c r="N531" s="59">
        <f>IF(M531="","",IF(N(J531)=0,1,J531))</f>
        <v/>
      </c>
    </row>
    <row r="532">
      <c r="A532" s="53" t="n">
        <v>512</v>
      </c>
      <c r="B532" s="67" t="n"/>
      <c r="C532" s="55" t="n"/>
      <c r="D532" s="68" t="n"/>
      <c r="E532" s="68" t="n"/>
      <c r="F532" s="59">
        <f>IF(OR(E532="",D532=""),"",MAX(E532-D532,0))</f>
        <v/>
      </c>
      <c r="G532" s="59">
        <f>IF(F532="","",IF(N(C532)=0,1,C532))</f>
        <v/>
      </c>
      <c r="H532" s="53" t="n">
        <v>512</v>
      </c>
      <c r="I532" s="67" t="n"/>
      <c r="J532" s="55" t="n"/>
      <c r="K532" s="68" t="n"/>
      <c r="L532" s="68" t="n"/>
      <c r="M532" s="59">
        <f>IF(OR(L532="",K532=""),"",MAX(L532-K532,0))</f>
        <v/>
      </c>
      <c r="N532" s="59">
        <f>IF(M532="","",IF(N(J532)=0,1,J532))</f>
        <v/>
      </c>
    </row>
    <row r="533">
      <c r="A533" s="53" t="n">
        <v>513</v>
      </c>
      <c r="B533" s="67" t="n"/>
      <c r="C533" s="55" t="n"/>
      <c r="D533" s="68" t="n"/>
      <c r="E533" s="68" t="n"/>
      <c r="F533" s="59">
        <f>IF(OR(E533="",D533=""),"",MAX(E533-D533,0))</f>
        <v/>
      </c>
      <c r="G533" s="59">
        <f>IF(F533="","",IF(N(C533)=0,1,C533))</f>
        <v/>
      </c>
      <c r="H533" s="53" t="n">
        <v>513</v>
      </c>
      <c r="I533" s="67" t="n"/>
      <c r="J533" s="55" t="n"/>
      <c r="K533" s="68" t="n"/>
      <c r="L533" s="68" t="n"/>
      <c r="M533" s="59">
        <f>IF(OR(L533="",K533=""),"",MAX(L533-K533,0))</f>
        <v/>
      </c>
      <c r="N533" s="59">
        <f>IF(M533="","",IF(N(J533)=0,1,J533))</f>
        <v/>
      </c>
    </row>
    <row r="534">
      <c r="A534" s="53" t="n">
        <v>514</v>
      </c>
      <c r="B534" s="67" t="n"/>
      <c r="C534" s="55" t="n"/>
      <c r="D534" s="68" t="n"/>
      <c r="E534" s="68" t="n"/>
      <c r="F534" s="59">
        <f>IF(OR(E534="",D534=""),"",MAX(E534-D534,0))</f>
        <v/>
      </c>
      <c r="G534" s="59">
        <f>IF(F534="","",IF(N(C534)=0,1,C534))</f>
        <v/>
      </c>
      <c r="H534" s="53" t="n">
        <v>514</v>
      </c>
      <c r="I534" s="67" t="n"/>
      <c r="J534" s="55" t="n"/>
      <c r="K534" s="68" t="n"/>
      <c r="L534" s="68" t="n"/>
      <c r="M534" s="59">
        <f>IF(OR(L534="",K534=""),"",MAX(L534-K534,0))</f>
        <v/>
      </c>
      <c r="N534" s="59">
        <f>IF(M534="","",IF(N(J534)=0,1,J534))</f>
        <v/>
      </c>
    </row>
    <row r="535">
      <c r="A535" s="53" t="n">
        <v>515</v>
      </c>
      <c r="B535" s="67" t="n"/>
      <c r="C535" s="55" t="n"/>
      <c r="D535" s="68" t="n"/>
      <c r="E535" s="68" t="n"/>
      <c r="F535" s="59">
        <f>IF(OR(E535="",D535=""),"",MAX(E535-D535,0))</f>
        <v/>
      </c>
      <c r="G535" s="59">
        <f>IF(F535="","",IF(N(C535)=0,1,C535))</f>
        <v/>
      </c>
      <c r="H535" s="53" t="n">
        <v>515</v>
      </c>
      <c r="I535" s="67" t="n"/>
      <c r="J535" s="55" t="n"/>
      <c r="K535" s="68" t="n"/>
      <c r="L535" s="68" t="n"/>
      <c r="M535" s="59">
        <f>IF(OR(L535="",K535=""),"",MAX(L535-K535,0))</f>
        <v/>
      </c>
      <c r="N535" s="59">
        <f>IF(M535="","",IF(N(J535)=0,1,J535))</f>
        <v/>
      </c>
    </row>
    <row r="536">
      <c r="A536" s="53" t="n">
        <v>516</v>
      </c>
      <c r="B536" s="67" t="n"/>
      <c r="C536" s="55" t="n"/>
      <c r="D536" s="68" t="n"/>
      <c r="E536" s="68" t="n"/>
      <c r="F536" s="59">
        <f>IF(OR(E536="",D536=""),"",MAX(E536-D536,0))</f>
        <v/>
      </c>
      <c r="G536" s="59">
        <f>IF(F536="","",IF(N(C536)=0,1,C536))</f>
        <v/>
      </c>
      <c r="H536" s="53" t="n">
        <v>516</v>
      </c>
      <c r="I536" s="67" t="n"/>
      <c r="J536" s="55" t="n"/>
      <c r="K536" s="68" t="n"/>
      <c r="L536" s="68" t="n"/>
      <c r="M536" s="59">
        <f>IF(OR(L536="",K536=""),"",MAX(L536-K536,0))</f>
        <v/>
      </c>
      <c r="N536" s="59">
        <f>IF(M536="","",IF(N(J536)=0,1,J536))</f>
        <v/>
      </c>
    </row>
    <row r="537">
      <c r="A537" s="53" t="n">
        <v>517</v>
      </c>
      <c r="B537" s="67" t="n"/>
      <c r="C537" s="55" t="n"/>
      <c r="D537" s="68" t="n"/>
      <c r="E537" s="68" t="n"/>
      <c r="F537" s="59">
        <f>IF(OR(E537="",D537=""),"",MAX(E537-D537,0))</f>
        <v/>
      </c>
      <c r="G537" s="59">
        <f>IF(F537="","",IF(N(C537)=0,1,C537))</f>
        <v/>
      </c>
      <c r="H537" s="53" t="n">
        <v>517</v>
      </c>
      <c r="I537" s="67" t="n"/>
      <c r="J537" s="55" t="n"/>
      <c r="K537" s="68" t="n"/>
      <c r="L537" s="68" t="n"/>
      <c r="M537" s="59">
        <f>IF(OR(L537="",K537=""),"",MAX(L537-K537,0))</f>
        <v/>
      </c>
      <c r="N537" s="59">
        <f>IF(M537="","",IF(N(J537)=0,1,J537))</f>
        <v/>
      </c>
    </row>
    <row r="538">
      <c r="A538" s="53" t="n">
        <v>518</v>
      </c>
      <c r="B538" s="67" t="n"/>
      <c r="C538" s="55" t="n"/>
      <c r="D538" s="68" t="n"/>
      <c r="E538" s="68" t="n"/>
      <c r="F538" s="59">
        <f>IF(OR(E538="",D538=""),"",MAX(E538-D538,0))</f>
        <v/>
      </c>
      <c r="G538" s="59">
        <f>IF(F538="","",IF(N(C538)=0,1,C538))</f>
        <v/>
      </c>
      <c r="H538" s="53" t="n">
        <v>518</v>
      </c>
      <c r="I538" s="67" t="n"/>
      <c r="J538" s="55" t="n"/>
      <c r="K538" s="68" t="n"/>
      <c r="L538" s="68" t="n"/>
      <c r="M538" s="59">
        <f>IF(OR(L538="",K538=""),"",MAX(L538-K538,0))</f>
        <v/>
      </c>
      <c r="N538" s="59">
        <f>IF(M538="","",IF(N(J538)=0,1,J538))</f>
        <v/>
      </c>
    </row>
    <row r="539">
      <c r="A539" s="53" t="n">
        <v>519</v>
      </c>
      <c r="B539" s="67" t="n"/>
      <c r="C539" s="55" t="n"/>
      <c r="D539" s="68" t="n"/>
      <c r="E539" s="68" t="n"/>
      <c r="F539" s="59">
        <f>IF(OR(E539="",D539=""),"",MAX(E539-D539,0))</f>
        <v/>
      </c>
      <c r="G539" s="59">
        <f>IF(F539="","",IF(N(C539)=0,1,C539))</f>
        <v/>
      </c>
      <c r="H539" s="53" t="n">
        <v>519</v>
      </c>
      <c r="I539" s="67" t="n"/>
      <c r="J539" s="55" t="n"/>
      <c r="K539" s="68" t="n"/>
      <c r="L539" s="68" t="n"/>
      <c r="M539" s="59">
        <f>IF(OR(L539="",K539=""),"",MAX(L539-K539,0))</f>
        <v/>
      </c>
      <c r="N539" s="59">
        <f>IF(M539="","",IF(N(J539)=0,1,J539))</f>
        <v/>
      </c>
    </row>
    <row r="540">
      <c r="A540" s="53" t="n">
        <v>520</v>
      </c>
      <c r="B540" s="67" t="n"/>
      <c r="C540" s="55" t="n"/>
      <c r="D540" s="68" t="n"/>
      <c r="E540" s="68" t="n"/>
      <c r="F540" s="59">
        <f>IF(OR(E540="",D540=""),"",MAX(E540-D540,0))</f>
        <v/>
      </c>
      <c r="G540" s="59">
        <f>IF(F540="","",IF(N(C540)=0,1,C540))</f>
        <v/>
      </c>
      <c r="H540" s="53" t="n">
        <v>520</v>
      </c>
      <c r="I540" s="67" t="n"/>
      <c r="J540" s="55" t="n"/>
      <c r="K540" s="68" t="n"/>
      <c r="L540" s="68" t="n"/>
      <c r="M540" s="59">
        <f>IF(OR(L540="",K540=""),"",MAX(L540-K540,0))</f>
        <v/>
      </c>
      <c r="N540" s="59">
        <f>IF(M540="","",IF(N(J540)=0,1,J540))</f>
        <v/>
      </c>
    </row>
    <row r="541">
      <c r="A541" s="60" t="n"/>
      <c r="B541" s="61" t="inlineStr">
        <is>
          <t>Total</t>
        </is>
      </c>
      <c r="C541" s="65">
        <f>SUM(C21:C540)</f>
        <v/>
      </c>
      <c r="D541" s="60" t="n"/>
      <c r="E541" s="60" t="n"/>
      <c r="F541" s="62">
        <f>IF(N(G541)=0,"",SUMPRODUCT(F21:F540,G21:G540)/G541)</f>
        <v/>
      </c>
      <c r="G541" s="65">
        <f>SUM(G21:G540)</f>
        <v/>
      </c>
      <c r="H541" s="60" t="n"/>
      <c r="I541" s="61" t="inlineStr">
        <is>
          <t>Total</t>
        </is>
      </c>
      <c r="J541" s="65">
        <f>SUM(J21:J540)</f>
        <v/>
      </c>
      <c r="K541" s="60" t="n"/>
      <c r="L541" s="60" t="n"/>
      <c r="M541" s="62">
        <f>IF(N(N541)=0,"",SUMPRODUCT(M21:M540,N21:N540)/N541)</f>
        <v/>
      </c>
      <c r="N541" s="65">
        <f>SUM(N21:N540)</f>
        <v/>
      </c>
    </row>
    <row r="542">
      <c r="B54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54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540" showDropDown="0" showInputMessage="0" showErrorMessage="1" allowBlank="1" error="No. of Posts must be a whole number &gt;= 1." type="whole" operator="greaterThanOrEqual">
      <formula1>1</formula1>
    </dataValidation>
    <dataValidation sqref="K21:L54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54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35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Colombia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IF(OCT!$D$5="","",OCT!$D$5)</f>
        <v/>
      </c>
      <c r="D4" s="55" t="n"/>
      <c r="E4" s="56">
        <f>IF(OCT!$D$43="","",OCT!$D$43)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IF(OCT!$D$44="","",OCT!$D$44)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IF($C4="","",SUMPRODUCT(($E$21:$E$350&gt;=$Z$4)*($E$21:$E$350&lt;=EOMONTH($Z4,0)),$G$21:$G$350))</f>
        <v/>
      </c>
      <c r="AB4" s="56">
        <f>IF(N(AA4)=0,"",SUMPRODUCT(($E$21:$E$350&gt;=$Z$4)*($E$21:$E$350&lt;=EOMONTH($Z4,0)),$F$21:$F$350,$G$21:$G$350)/AA4)</f>
        <v/>
      </c>
      <c r="AC4" s="59">
        <f>IF($C4="","",SUMPRODUCT(($L$21:$L$350&gt;=$Z$4)*($L$21:$L$350&lt;=EOMONTH($Z4,0)),$N$21:$N$350))</f>
        <v/>
      </c>
      <c r="AD4" s="56">
        <f>IF(N(AC4)=0,"",SUMPRODUCT(($L$21:$L$350&gt;=$Z$4)*($L$21:$L$350&lt;=EOMONTH($Z4,0)),$M$21:$M$350,$N$21:$N$350)/AC4)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IF(NOV!$D$5="","",NOV!$D$5)</f>
        <v/>
      </c>
      <c r="D5" s="55" t="n"/>
      <c r="E5" s="56">
        <f>IF(NOV!$D$43="","",NOV!$D$43)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IF(NOV!$D$44="","",NOV!$D$44)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IF($C5="","",SUMPRODUCT(($E$21:$E$350&gt;=$Z$4)*($E$21:$E$350&lt;=EOMONTH($Z5,0)),$G$21:$G$350))</f>
        <v/>
      </c>
      <c r="AB5" s="56">
        <f>IF(N(AA5)=0,"",SUMPRODUCT(($E$21:$E$350&gt;=$Z$4)*($E$21:$E$350&lt;=EOMONTH($Z5,0)),$F$21:$F$350,$G$21:$G$350)/AA5)</f>
        <v/>
      </c>
      <c r="AC5" s="59">
        <f>IF($C5="","",SUMPRODUCT(($L$21:$L$350&gt;=$Z$4)*($L$21:$L$350&lt;=EOMONTH($Z5,0)),$N$21:$N$350))</f>
        <v/>
      </c>
      <c r="AD5" s="56">
        <f>IF(N(AC5)=0,"",SUMPRODUCT(($L$21:$L$350&gt;=$Z$4)*($L$21:$L$350&lt;=EOMONTH($Z5,0)),$M$21:$M$350,$N$21:$N$350)/AC5)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IF(DEC!$D$5="","",DEC!$D$5)</f>
        <v/>
      </c>
      <c r="D6" s="55" t="n"/>
      <c r="E6" s="56">
        <f>IF(DEC!$D$43="","",DEC!$D$43)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IF(DEC!$D$44="","",DEC!$D$44)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IF($C6="","",SUMPRODUCT(($E$21:$E$350&gt;=$Z$4)*($E$21:$E$350&lt;=EOMONTH($Z6,0)),$G$21:$G$350))</f>
        <v/>
      </c>
      <c r="AB6" s="56">
        <f>IF(N(AA6)=0,"",SUMPRODUCT(($E$21:$E$350&gt;=$Z$4)*($E$21:$E$350&lt;=EOMONTH($Z6,0)),$F$21:$F$350,$G$21:$G$350)/AA6)</f>
        <v/>
      </c>
      <c r="AC6" s="59">
        <f>IF($C6="","",SUMPRODUCT(($L$21:$L$350&gt;=$Z$4)*($L$21:$L$350&lt;=EOMONTH($Z6,0)),$N$21:$N$350))</f>
        <v/>
      </c>
      <c r="AD6" s="56">
        <f>IF(N(AC6)=0,"",SUMPRODUCT(($L$21:$L$350&gt;=$Z$4)*($L$21:$L$350&lt;=EOMONTH($Z6,0)),$M$21:$M$350,$N$21:$N$350)/AC6)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IF(JAN!$D$5="","",JAN!$D$5)</f>
        <v/>
      </c>
      <c r="D7" s="55" t="n"/>
      <c r="E7" s="56">
        <f>IF(JAN!$D$43="","",JAN!$D$43)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IF(JAN!$D$44="","",JAN!$D$44)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IF($C7="","",SUMPRODUCT(($E$21:$E$350&gt;=$Z$4)*($E$21:$E$350&lt;=EOMONTH($Z7,0)),$G$21:$G$350))</f>
        <v/>
      </c>
      <c r="AB7" s="56">
        <f>IF(N(AA7)=0,"",SUMPRODUCT(($E$21:$E$350&gt;=$Z$4)*($E$21:$E$350&lt;=EOMONTH($Z7,0)),$F$21:$F$350,$G$21:$G$350)/AA7)</f>
        <v/>
      </c>
      <c r="AC7" s="59">
        <f>IF($C7="","",SUMPRODUCT(($L$21:$L$350&gt;=$Z$4)*($L$21:$L$350&lt;=EOMONTH($Z7,0)),$N$21:$N$350))</f>
        <v/>
      </c>
      <c r="AD7" s="56">
        <f>IF(N(AC7)=0,"",SUMPRODUCT(($L$21:$L$350&gt;=$Z$4)*($L$21:$L$350&lt;=EOMONTH($Z7,0)),$M$21:$M$350,$N$21:$N$350)/AC7)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IF(FEB!$D$5="","",FEB!$D$5)</f>
        <v/>
      </c>
      <c r="D8" s="55" t="n"/>
      <c r="E8" s="56">
        <f>IF(FEB!$D$43="","",FEB!$D$43)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IF(FEB!$D$44="","",FEB!$D$44)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IF($C8="","",SUMPRODUCT(($E$21:$E$350&gt;=$Z$4)*($E$21:$E$350&lt;=EOMONTH($Z8,0)),$G$21:$G$350))</f>
        <v/>
      </c>
      <c r="AB8" s="56">
        <f>IF(N(AA8)=0,"",SUMPRODUCT(($E$21:$E$350&gt;=$Z$4)*($E$21:$E$350&lt;=EOMONTH($Z8,0)),$F$21:$F$350,$G$21:$G$350)/AA8)</f>
        <v/>
      </c>
      <c r="AC8" s="59">
        <f>IF($C8="","",SUMPRODUCT(($L$21:$L$350&gt;=$Z$4)*($L$21:$L$350&lt;=EOMONTH($Z8,0)),$N$21:$N$350))</f>
        <v/>
      </c>
      <c r="AD8" s="56">
        <f>IF(N(AC8)=0,"",SUMPRODUCT(($L$21:$L$350&gt;=$Z$4)*($L$21:$L$350&lt;=EOMONTH($Z8,0)),$M$21:$M$350,$N$21:$N$350)/AC8)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IF(MAR!$D$5="","",MAR!$D$5)</f>
        <v/>
      </c>
      <c r="D9" s="55" t="n"/>
      <c r="E9" s="56">
        <f>IF(MAR!$D$43="","",MAR!$D$43)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IF(MAR!$D$44="","",MAR!$D$44)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IF($C9="","",SUMPRODUCT(($E$21:$E$350&gt;=$Z$4)*($E$21:$E$350&lt;=EOMONTH($Z9,0)),$G$21:$G$350))</f>
        <v/>
      </c>
      <c r="AB9" s="56">
        <f>IF(N(AA9)=0,"",SUMPRODUCT(($E$21:$E$350&gt;=$Z$4)*($E$21:$E$350&lt;=EOMONTH($Z9,0)),$F$21:$F$350,$G$21:$G$350)/AA9)</f>
        <v/>
      </c>
      <c r="AC9" s="59">
        <f>IF($C9="","",SUMPRODUCT(($L$21:$L$350&gt;=$Z$4)*($L$21:$L$350&lt;=EOMONTH($Z9,0)),$N$21:$N$350))</f>
        <v/>
      </c>
      <c r="AD9" s="56">
        <f>IF(N(AC9)=0,"",SUMPRODUCT(($L$21:$L$350&gt;=$Z$4)*($L$21:$L$350&lt;=EOMONTH($Z9,0)),$M$21:$M$350,$N$21:$N$350)/AC9)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IF(APR!$D$5="","",APR!$D$5)</f>
        <v/>
      </c>
      <c r="D10" s="55" t="n"/>
      <c r="E10" s="56">
        <f>IF(APR!$D$43="","",APR!$D$43)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IF(APR!$D$44="","",APR!$D$44)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IF($C10="","",SUMPRODUCT(($E$21:$E$350&gt;=$Z$4)*($E$21:$E$350&lt;=EOMONTH($Z10,0)),$G$21:$G$350))</f>
        <v/>
      </c>
      <c r="AB10" s="56">
        <f>IF(N(AA10)=0,"",SUMPRODUCT(($E$21:$E$350&gt;=$Z$4)*($E$21:$E$350&lt;=EOMONTH($Z10,0)),$F$21:$F$350,$G$21:$G$350)/AA10)</f>
        <v/>
      </c>
      <c r="AC10" s="59">
        <f>IF($C10="","",SUMPRODUCT(($L$21:$L$350&gt;=$Z$4)*($L$21:$L$350&lt;=EOMONTH($Z10,0)),$N$21:$N$350))</f>
        <v/>
      </c>
      <c r="AD10" s="56">
        <f>IF(N(AC10)=0,"",SUMPRODUCT(($L$21:$L$350&gt;=$Z$4)*($L$21:$L$350&lt;=EOMONTH($Z10,0)),$M$21:$M$350,$N$21:$N$350)/AC10)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IF(MAY!$D$5="","",MAY!$D$5)</f>
        <v/>
      </c>
      <c r="D11" s="55" t="n"/>
      <c r="E11" s="56">
        <f>IF(MAY!$D$43="","",MAY!$D$43)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IF(MAY!$D$44="","",MAY!$D$44)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IF($C11="","",SUMPRODUCT(($E$21:$E$350&gt;=$Z$4)*($E$21:$E$350&lt;=EOMONTH($Z11,0)),$G$21:$G$350))</f>
        <v/>
      </c>
      <c r="AB11" s="56">
        <f>IF(N(AA11)=0,"",SUMPRODUCT(($E$21:$E$350&gt;=$Z$4)*($E$21:$E$350&lt;=EOMONTH($Z11,0)),$F$21:$F$350,$G$21:$G$350)/AA11)</f>
        <v/>
      </c>
      <c r="AC11" s="59">
        <f>IF($C11="","",SUMPRODUCT(($L$21:$L$350&gt;=$Z$4)*($L$21:$L$350&lt;=EOMONTH($Z11,0)),$N$21:$N$350))</f>
        <v/>
      </c>
      <c r="AD11" s="56">
        <f>IF(N(AC11)=0,"",SUMPRODUCT(($L$21:$L$350&gt;=$Z$4)*($L$21:$L$350&lt;=EOMONTH($Z11,0)),$M$21:$M$350,$N$21:$N$350)/AC11)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IF(JUN!$D$5="","",JUN!$D$5)</f>
        <v/>
      </c>
      <c r="D12" s="55" t="n"/>
      <c r="E12" s="56">
        <f>IF(JUN!$D$43="","",JUN!$D$43)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IF(JUN!$D$44="","",JUN!$D$44)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IF($C12="","",SUMPRODUCT(($E$21:$E$350&gt;=$Z$4)*($E$21:$E$350&lt;=EOMONTH($Z12,0)),$G$21:$G$350))</f>
        <v/>
      </c>
      <c r="AB12" s="56">
        <f>IF(N(AA12)=0,"",SUMPRODUCT(($E$21:$E$350&gt;=$Z$4)*($E$21:$E$350&lt;=EOMONTH($Z12,0)),$F$21:$F$350,$G$21:$G$350)/AA12)</f>
        <v/>
      </c>
      <c r="AC12" s="59">
        <f>IF($C12="","",SUMPRODUCT(($L$21:$L$350&gt;=$Z$4)*($L$21:$L$350&lt;=EOMONTH($Z12,0)),$N$21:$N$350))</f>
        <v/>
      </c>
      <c r="AD12" s="56">
        <f>IF(N(AC12)=0,"",SUMPRODUCT(($L$21:$L$350&gt;=$Z$4)*($L$21:$L$350&lt;=EOMONTH($Z12,0)),$M$21:$M$350,$N$21:$N$350)/AC12)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IF(JUL!$D$5="","",JUL!$D$5)</f>
        <v/>
      </c>
      <c r="D13" s="55" t="n"/>
      <c r="E13" s="56">
        <f>IF(JUL!$D$43="","",JUL!$D$43)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IF(JUL!$D$44="","",JUL!$D$44)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IF($C13="","",SUMPRODUCT(($E$21:$E$350&gt;=$Z$4)*($E$21:$E$350&lt;=EOMONTH($Z13,0)),$G$21:$G$350))</f>
        <v/>
      </c>
      <c r="AB13" s="56">
        <f>IF(N(AA13)=0,"",SUMPRODUCT(($E$21:$E$350&gt;=$Z$4)*($E$21:$E$350&lt;=EOMONTH($Z13,0)),$F$21:$F$350,$G$21:$G$350)/AA13)</f>
        <v/>
      </c>
      <c r="AC13" s="59">
        <f>IF($C13="","",SUMPRODUCT(($L$21:$L$350&gt;=$Z$4)*($L$21:$L$350&lt;=EOMONTH($Z13,0)),$N$21:$N$350))</f>
        <v/>
      </c>
      <c r="AD13" s="56">
        <f>IF(N(AC13)=0,"",SUMPRODUCT(($L$21:$L$350&gt;=$Z$4)*($L$21:$L$350&lt;=EOMONTH($Z13,0)),$M$21:$M$350,$N$21:$N$350)/AC13)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IF(AUG!$D$5="","",AUG!$D$5)</f>
        <v/>
      </c>
      <c r="D14" s="55" t="n"/>
      <c r="E14" s="56">
        <f>IF(AUG!$D$43="","",AUG!$D$43)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IF(AUG!$D$44="","",AUG!$D$44)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IF($C14="","",SUMPRODUCT(($E$21:$E$350&gt;=$Z$4)*($E$21:$E$350&lt;=EOMONTH($Z14,0)),$G$21:$G$350))</f>
        <v/>
      </c>
      <c r="AB14" s="56">
        <f>IF(N(AA14)=0,"",SUMPRODUCT(($E$21:$E$350&gt;=$Z$4)*($E$21:$E$350&lt;=EOMONTH($Z14,0)),$F$21:$F$350,$G$21:$G$350)/AA14)</f>
        <v/>
      </c>
      <c r="AC14" s="59">
        <f>IF($C14="","",SUMPRODUCT(($L$21:$L$350&gt;=$Z$4)*($L$21:$L$350&lt;=EOMONTH($Z14,0)),$N$21:$N$350))</f>
        <v/>
      </c>
      <c r="AD14" s="56">
        <f>IF(N(AC14)=0,"",SUMPRODUCT(($L$21:$L$350&gt;=$Z$4)*($L$21:$L$350&lt;=EOMONTH($Z14,0)),$M$21:$M$350,$N$21:$N$350)/AC14)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IF(SEP!$D$5="","",SEP!$D$5)</f>
        <v/>
      </c>
      <c r="D15" s="55" t="n"/>
      <c r="E15" s="56">
        <f>IF(SEP!$D$43="","",SEP!$D$43)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IF(SEP!$D$44="","",SEP!$D$44)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IF($C15="","",SUMPRODUCT(($E$21:$E$350&gt;=$Z$4)*($E$21:$E$350&lt;=EOMONTH($Z15,0)),$G$21:$G$350))</f>
        <v/>
      </c>
      <c r="AB15" s="56">
        <f>IF(N(AA15)=0,"",SUMPRODUCT(($E$21:$E$350&gt;=$Z$4)*($E$21:$E$350&lt;=EOMONTH($Z15,0)),$F$21:$F$350,$G$21:$G$350)/AA15)</f>
        <v/>
      </c>
      <c r="AC15" s="59">
        <f>IF($C15="","",SUMPRODUCT(($L$21:$L$350&gt;=$Z$4)*($L$21:$L$350&lt;=EOMONTH($Z15,0)),$N$21:$N$350))</f>
        <v/>
      </c>
      <c r="AD15" s="56">
        <f>IF(N(AC15)=0,"",SUMPRODUCT(($L$21:$L$350&gt;=$Z$4)*($L$21:$L$350&lt;=EOMONTH($Z15,0)),$M$21:$M$350,$N$21:$N$350)/AC15)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SUMPRODUCT(($E$21:$E$350&gt;=$Z$4)*($E$21:$E$350&lt;=EOMONTH($Z$15,0)),$G$21:$G$350)</f>
        <v/>
      </c>
      <c r="AB16" s="62">
        <f>IF(N(AA16)=0,"",SUMPRODUCT(($E$21:$E$350&gt;=$Z$4)*($E$21:$E$350&lt;=EOMONTH($Z$15,0)),$F$21:$F$350,$G$21:$G$350)/AA16)</f>
        <v/>
      </c>
      <c r="AC16" s="65">
        <f>SUMPRODUCT(($L$21:$L$350&gt;=$Z$4)*($L$21:$L$350&lt;=EOMONTH($Z$15,0)),$N$21:$N$350)</f>
        <v/>
      </c>
      <c r="AD16" s="62">
        <f>IF(N(AC16)=0,"",SUMPRODUCT(($L$21:$L$350&gt;=$Z$4)*($L$21:$L$350&lt;=EOMONTH($Z$15,0)),$M$21:$M$350,$N$21:$N$350)/AC16)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53" t="n">
        <v>51</v>
      </c>
      <c r="B71" s="67" t="n"/>
      <c r="C71" s="55" t="n"/>
      <c r="D71" s="68" t="n"/>
      <c r="E71" s="68" t="n"/>
      <c r="F71" s="59">
        <f>IF(OR(E71="",D71=""),"",MAX(E71-D71,0))</f>
        <v/>
      </c>
      <c r="G71" s="59">
        <f>IF(F71="","",IF(N(C71)=0,1,C71))</f>
        <v/>
      </c>
      <c r="H71" s="53" t="n">
        <v>51</v>
      </c>
      <c r="I71" s="67" t="n"/>
      <c r="J71" s="55" t="n"/>
      <c r="K71" s="68" t="n"/>
      <c r="L71" s="68" t="n"/>
      <c r="M71" s="59">
        <f>IF(OR(L71="",K71=""),"",MAX(L71-K71,0))</f>
        <v/>
      </c>
      <c r="N71" s="59">
        <f>IF(M71="","",IF(N(J71)=0,1,J71))</f>
        <v/>
      </c>
    </row>
    <row r="72">
      <c r="A72" s="53" t="n">
        <v>52</v>
      </c>
      <c r="B72" s="67" t="n"/>
      <c r="C72" s="55" t="n"/>
      <c r="D72" s="68" t="n"/>
      <c r="E72" s="68" t="n"/>
      <c r="F72" s="59">
        <f>IF(OR(E72="",D72=""),"",MAX(E72-D72,0))</f>
        <v/>
      </c>
      <c r="G72" s="59">
        <f>IF(F72="","",IF(N(C72)=0,1,C72))</f>
        <v/>
      </c>
      <c r="H72" s="53" t="n">
        <v>52</v>
      </c>
      <c r="I72" s="67" t="n"/>
      <c r="J72" s="55" t="n"/>
      <c r="K72" s="68" t="n"/>
      <c r="L72" s="68" t="n"/>
      <c r="M72" s="59">
        <f>IF(OR(L72="",K72=""),"",MAX(L72-K72,0))</f>
        <v/>
      </c>
      <c r="N72" s="59">
        <f>IF(M72="","",IF(N(J72)=0,1,J72))</f>
        <v/>
      </c>
    </row>
    <row r="73">
      <c r="A73" s="53" t="n">
        <v>53</v>
      </c>
      <c r="B73" s="67" t="n"/>
      <c r="C73" s="55" t="n"/>
      <c r="D73" s="68" t="n"/>
      <c r="E73" s="68" t="n"/>
      <c r="F73" s="59">
        <f>IF(OR(E73="",D73=""),"",MAX(E73-D73,0))</f>
        <v/>
      </c>
      <c r="G73" s="59">
        <f>IF(F73="","",IF(N(C73)=0,1,C73))</f>
        <v/>
      </c>
      <c r="H73" s="53" t="n">
        <v>53</v>
      </c>
      <c r="I73" s="67" t="n"/>
      <c r="J73" s="55" t="n"/>
      <c r="K73" s="68" t="n"/>
      <c r="L73" s="68" t="n"/>
      <c r="M73" s="59">
        <f>IF(OR(L73="",K73=""),"",MAX(L73-K73,0))</f>
        <v/>
      </c>
      <c r="N73" s="59">
        <f>IF(M73="","",IF(N(J73)=0,1,J73))</f>
        <v/>
      </c>
    </row>
    <row r="74">
      <c r="A74" s="53" t="n">
        <v>54</v>
      </c>
      <c r="B74" s="67" t="n"/>
      <c r="C74" s="55" t="n"/>
      <c r="D74" s="68" t="n"/>
      <c r="E74" s="68" t="n"/>
      <c r="F74" s="59">
        <f>IF(OR(E74="",D74=""),"",MAX(E74-D74,0))</f>
        <v/>
      </c>
      <c r="G74" s="59">
        <f>IF(F74="","",IF(N(C74)=0,1,C74))</f>
        <v/>
      </c>
      <c r="H74" s="53" t="n">
        <v>54</v>
      </c>
      <c r="I74" s="67" t="n"/>
      <c r="J74" s="55" t="n"/>
      <c r="K74" s="68" t="n"/>
      <c r="L74" s="68" t="n"/>
      <c r="M74" s="59">
        <f>IF(OR(L74="",K74=""),"",MAX(L74-K74,0))</f>
        <v/>
      </c>
      <c r="N74" s="59">
        <f>IF(M74="","",IF(N(J74)=0,1,J74))</f>
        <v/>
      </c>
    </row>
    <row r="75">
      <c r="A75" s="53" t="n">
        <v>55</v>
      </c>
      <c r="B75" s="67" t="n"/>
      <c r="C75" s="55" t="n"/>
      <c r="D75" s="68" t="n"/>
      <c r="E75" s="68" t="n"/>
      <c r="F75" s="59">
        <f>IF(OR(E75="",D75=""),"",MAX(E75-D75,0))</f>
        <v/>
      </c>
      <c r="G75" s="59">
        <f>IF(F75="","",IF(N(C75)=0,1,C75))</f>
        <v/>
      </c>
      <c r="H75" s="53" t="n">
        <v>55</v>
      </c>
      <c r="I75" s="67" t="n"/>
      <c r="J75" s="55" t="n"/>
      <c r="K75" s="68" t="n"/>
      <c r="L75" s="68" t="n"/>
      <c r="M75" s="59">
        <f>IF(OR(L75="",K75=""),"",MAX(L75-K75,0))</f>
        <v/>
      </c>
      <c r="N75" s="59">
        <f>IF(M75="","",IF(N(J75)=0,1,J75))</f>
        <v/>
      </c>
    </row>
    <row r="76">
      <c r="A76" s="53" t="n">
        <v>56</v>
      </c>
      <c r="B76" s="67" t="n"/>
      <c r="C76" s="55" t="n"/>
      <c r="D76" s="68" t="n"/>
      <c r="E76" s="68" t="n"/>
      <c r="F76" s="59">
        <f>IF(OR(E76="",D76=""),"",MAX(E76-D76,0))</f>
        <v/>
      </c>
      <c r="G76" s="59">
        <f>IF(F76="","",IF(N(C76)=0,1,C76))</f>
        <v/>
      </c>
      <c r="H76" s="53" t="n">
        <v>56</v>
      </c>
      <c r="I76" s="67" t="n"/>
      <c r="J76" s="55" t="n"/>
      <c r="K76" s="68" t="n"/>
      <c r="L76" s="68" t="n"/>
      <c r="M76" s="59">
        <f>IF(OR(L76="",K76=""),"",MAX(L76-K76,0))</f>
        <v/>
      </c>
      <c r="N76" s="59">
        <f>IF(M76="","",IF(N(J76)=0,1,J76))</f>
        <v/>
      </c>
    </row>
    <row r="77">
      <c r="A77" s="53" t="n">
        <v>57</v>
      </c>
      <c r="B77" s="67" t="n"/>
      <c r="C77" s="55" t="n"/>
      <c r="D77" s="68" t="n"/>
      <c r="E77" s="68" t="n"/>
      <c r="F77" s="59">
        <f>IF(OR(E77="",D77=""),"",MAX(E77-D77,0))</f>
        <v/>
      </c>
      <c r="G77" s="59">
        <f>IF(F77="","",IF(N(C77)=0,1,C77))</f>
        <v/>
      </c>
      <c r="H77" s="53" t="n">
        <v>57</v>
      </c>
      <c r="I77" s="67" t="n"/>
      <c r="J77" s="55" t="n"/>
      <c r="K77" s="68" t="n"/>
      <c r="L77" s="68" t="n"/>
      <c r="M77" s="59">
        <f>IF(OR(L77="",K77=""),"",MAX(L77-K77,0))</f>
        <v/>
      </c>
      <c r="N77" s="59">
        <f>IF(M77="","",IF(N(J77)=0,1,J77))</f>
        <v/>
      </c>
    </row>
    <row r="78">
      <c r="A78" s="53" t="n">
        <v>58</v>
      </c>
      <c r="B78" s="67" t="n"/>
      <c r="C78" s="55" t="n"/>
      <c r="D78" s="68" t="n"/>
      <c r="E78" s="68" t="n"/>
      <c r="F78" s="59">
        <f>IF(OR(E78="",D78=""),"",MAX(E78-D78,0))</f>
        <v/>
      </c>
      <c r="G78" s="59">
        <f>IF(F78="","",IF(N(C78)=0,1,C78))</f>
        <v/>
      </c>
      <c r="H78" s="53" t="n">
        <v>58</v>
      </c>
      <c r="I78" s="67" t="n"/>
      <c r="J78" s="55" t="n"/>
      <c r="K78" s="68" t="n"/>
      <c r="L78" s="68" t="n"/>
      <c r="M78" s="59">
        <f>IF(OR(L78="",K78=""),"",MAX(L78-K78,0))</f>
        <v/>
      </c>
      <c r="N78" s="59">
        <f>IF(M78="","",IF(N(J78)=0,1,J78))</f>
        <v/>
      </c>
    </row>
    <row r="79">
      <c r="A79" s="53" t="n">
        <v>59</v>
      </c>
      <c r="B79" s="67" t="n"/>
      <c r="C79" s="55" t="n"/>
      <c r="D79" s="68" t="n"/>
      <c r="E79" s="68" t="n"/>
      <c r="F79" s="59">
        <f>IF(OR(E79="",D79=""),"",MAX(E79-D79,0))</f>
        <v/>
      </c>
      <c r="G79" s="59">
        <f>IF(F79="","",IF(N(C79)=0,1,C79))</f>
        <v/>
      </c>
      <c r="H79" s="53" t="n">
        <v>59</v>
      </c>
      <c r="I79" s="67" t="n"/>
      <c r="J79" s="55" t="n"/>
      <c r="K79" s="68" t="n"/>
      <c r="L79" s="68" t="n"/>
      <c r="M79" s="59">
        <f>IF(OR(L79="",K79=""),"",MAX(L79-K79,0))</f>
        <v/>
      </c>
      <c r="N79" s="59">
        <f>IF(M79="","",IF(N(J79)=0,1,J79))</f>
        <v/>
      </c>
    </row>
    <row r="80">
      <c r="A80" s="53" t="n">
        <v>60</v>
      </c>
      <c r="B80" s="67" t="n"/>
      <c r="C80" s="55" t="n"/>
      <c r="D80" s="68" t="n"/>
      <c r="E80" s="68" t="n"/>
      <c r="F80" s="59">
        <f>IF(OR(E80="",D80=""),"",MAX(E80-D80,0))</f>
        <v/>
      </c>
      <c r="G80" s="59">
        <f>IF(F80="","",IF(N(C80)=0,1,C80))</f>
        <v/>
      </c>
      <c r="H80" s="53" t="n">
        <v>60</v>
      </c>
      <c r="I80" s="67" t="n"/>
      <c r="J80" s="55" t="n"/>
      <c r="K80" s="68" t="n"/>
      <c r="L80" s="68" t="n"/>
      <c r="M80" s="59">
        <f>IF(OR(L80="",K80=""),"",MAX(L80-K80,0))</f>
        <v/>
      </c>
      <c r="N80" s="59">
        <f>IF(M80="","",IF(N(J80)=0,1,J80))</f>
        <v/>
      </c>
    </row>
    <row r="81">
      <c r="A81" s="53" t="n">
        <v>61</v>
      </c>
      <c r="B81" s="67" t="n"/>
      <c r="C81" s="55" t="n"/>
      <c r="D81" s="68" t="n"/>
      <c r="E81" s="68" t="n"/>
      <c r="F81" s="59">
        <f>IF(OR(E81="",D81=""),"",MAX(E81-D81,0))</f>
        <v/>
      </c>
      <c r="G81" s="59">
        <f>IF(F81="","",IF(N(C81)=0,1,C81))</f>
        <v/>
      </c>
      <c r="H81" s="53" t="n">
        <v>61</v>
      </c>
      <c r="I81" s="67" t="n"/>
      <c r="J81" s="55" t="n"/>
      <c r="K81" s="68" t="n"/>
      <c r="L81" s="68" t="n"/>
      <c r="M81" s="59">
        <f>IF(OR(L81="",K81=""),"",MAX(L81-K81,0))</f>
        <v/>
      </c>
      <c r="N81" s="59">
        <f>IF(M81="","",IF(N(J81)=0,1,J81))</f>
        <v/>
      </c>
    </row>
    <row r="82">
      <c r="A82" s="53" t="n">
        <v>62</v>
      </c>
      <c r="B82" s="67" t="n"/>
      <c r="C82" s="55" t="n"/>
      <c r="D82" s="68" t="n"/>
      <c r="E82" s="68" t="n"/>
      <c r="F82" s="59">
        <f>IF(OR(E82="",D82=""),"",MAX(E82-D82,0))</f>
        <v/>
      </c>
      <c r="G82" s="59">
        <f>IF(F82="","",IF(N(C82)=0,1,C82))</f>
        <v/>
      </c>
      <c r="H82" s="53" t="n">
        <v>62</v>
      </c>
      <c r="I82" s="67" t="n"/>
      <c r="J82" s="55" t="n"/>
      <c r="K82" s="68" t="n"/>
      <c r="L82" s="68" t="n"/>
      <c r="M82" s="59">
        <f>IF(OR(L82="",K82=""),"",MAX(L82-K82,0))</f>
        <v/>
      </c>
      <c r="N82" s="59">
        <f>IF(M82="","",IF(N(J82)=0,1,J82))</f>
        <v/>
      </c>
    </row>
    <row r="83">
      <c r="A83" s="53" t="n">
        <v>63</v>
      </c>
      <c r="B83" s="67" t="n"/>
      <c r="C83" s="55" t="n"/>
      <c r="D83" s="68" t="n"/>
      <c r="E83" s="68" t="n"/>
      <c r="F83" s="59">
        <f>IF(OR(E83="",D83=""),"",MAX(E83-D83,0))</f>
        <v/>
      </c>
      <c r="G83" s="59">
        <f>IF(F83="","",IF(N(C83)=0,1,C83))</f>
        <v/>
      </c>
      <c r="H83" s="53" t="n">
        <v>63</v>
      </c>
      <c r="I83" s="67" t="n"/>
      <c r="J83" s="55" t="n"/>
      <c r="K83" s="68" t="n"/>
      <c r="L83" s="68" t="n"/>
      <c r="M83" s="59">
        <f>IF(OR(L83="",K83=""),"",MAX(L83-K83,0))</f>
        <v/>
      </c>
      <c r="N83" s="59">
        <f>IF(M83="","",IF(N(J83)=0,1,J83))</f>
        <v/>
      </c>
    </row>
    <row r="84">
      <c r="A84" s="53" t="n">
        <v>64</v>
      </c>
      <c r="B84" s="67" t="n"/>
      <c r="C84" s="55" t="n"/>
      <c r="D84" s="68" t="n"/>
      <c r="E84" s="68" t="n"/>
      <c r="F84" s="59">
        <f>IF(OR(E84="",D84=""),"",MAX(E84-D84,0))</f>
        <v/>
      </c>
      <c r="G84" s="59">
        <f>IF(F84="","",IF(N(C84)=0,1,C84))</f>
        <v/>
      </c>
      <c r="H84" s="53" t="n">
        <v>64</v>
      </c>
      <c r="I84" s="67" t="n"/>
      <c r="J84" s="55" t="n"/>
      <c r="K84" s="68" t="n"/>
      <c r="L84" s="68" t="n"/>
      <c r="M84" s="59">
        <f>IF(OR(L84="",K84=""),"",MAX(L84-K84,0))</f>
        <v/>
      </c>
      <c r="N84" s="59">
        <f>IF(M84="","",IF(N(J84)=0,1,J84))</f>
        <v/>
      </c>
    </row>
    <row r="85">
      <c r="A85" s="53" t="n">
        <v>65</v>
      </c>
      <c r="B85" s="67" t="n"/>
      <c r="C85" s="55" t="n"/>
      <c r="D85" s="68" t="n"/>
      <c r="E85" s="68" t="n"/>
      <c r="F85" s="59">
        <f>IF(OR(E85="",D85=""),"",MAX(E85-D85,0))</f>
        <v/>
      </c>
      <c r="G85" s="59">
        <f>IF(F85="","",IF(N(C85)=0,1,C85))</f>
        <v/>
      </c>
      <c r="H85" s="53" t="n">
        <v>65</v>
      </c>
      <c r="I85" s="67" t="n"/>
      <c r="J85" s="55" t="n"/>
      <c r="K85" s="68" t="n"/>
      <c r="L85" s="68" t="n"/>
      <c r="M85" s="59">
        <f>IF(OR(L85="",K85=""),"",MAX(L85-K85,0))</f>
        <v/>
      </c>
      <c r="N85" s="59">
        <f>IF(M85="","",IF(N(J85)=0,1,J85))</f>
        <v/>
      </c>
    </row>
    <row r="86">
      <c r="A86" s="53" t="n">
        <v>66</v>
      </c>
      <c r="B86" s="67" t="n"/>
      <c r="C86" s="55" t="n"/>
      <c r="D86" s="68" t="n"/>
      <c r="E86" s="68" t="n"/>
      <c r="F86" s="59">
        <f>IF(OR(E86="",D86=""),"",MAX(E86-D86,0))</f>
        <v/>
      </c>
      <c r="G86" s="59">
        <f>IF(F86="","",IF(N(C86)=0,1,C86))</f>
        <v/>
      </c>
      <c r="H86" s="53" t="n">
        <v>66</v>
      </c>
      <c r="I86" s="67" t="n"/>
      <c r="J86" s="55" t="n"/>
      <c r="K86" s="68" t="n"/>
      <c r="L86" s="68" t="n"/>
      <c r="M86" s="59">
        <f>IF(OR(L86="",K86=""),"",MAX(L86-K86,0))</f>
        <v/>
      </c>
      <c r="N86" s="59">
        <f>IF(M86="","",IF(N(J86)=0,1,J86))</f>
        <v/>
      </c>
    </row>
    <row r="87">
      <c r="A87" s="53" t="n">
        <v>67</v>
      </c>
      <c r="B87" s="67" t="n"/>
      <c r="C87" s="55" t="n"/>
      <c r="D87" s="68" t="n"/>
      <c r="E87" s="68" t="n"/>
      <c r="F87" s="59">
        <f>IF(OR(E87="",D87=""),"",MAX(E87-D87,0))</f>
        <v/>
      </c>
      <c r="G87" s="59">
        <f>IF(F87="","",IF(N(C87)=0,1,C87))</f>
        <v/>
      </c>
      <c r="H87" s="53" t="n">
        <v>67</v>
      </c>
      <c r="I87" s="67" t="n"/>
      <c r="J87" s="55" t="n"/>
      <c r="K87" s="68" t="n"/>
      <c r="L87" s="68" t="n"/>
      <c r="M87" s="59">
        <f>IF(OR(L87="",K87=""),"",MAX(L87-K87,0))</f>
        <v/>
      </c>
      <c r="N87" s="59">
        <f>IF(M87="","",IF(N(J87)=0,1,J87))</f>
        <v/>
      </c>
    </row>
    <row r="88">
      <c r="A88" s="53" t="n">
        <v>68</v>
      </c>
      <c r="B88" s="67" t="n"/>
      <c r="C88" s="55" t="n"/>
      <c r="D88" s="68" t="n"/>
      <c r="E88" s="68" t="n"/>
      <c r="F88" s="59">
        <f>IF(OR(E88="",D88=""),"",MAX(E88-D88,0))</f>
        <v/>
      </c>
      <c r="G88" s="59">
        <f>IF(F88="","",IF(N(C88)=0,1,C88))</f>
        <v/>
      </c>
      <c r="H88" s="53" t="n">
        <v>68</v>
      </c>
      <c r="I88" s="67" t="n"/>
      <c r="J88" s="55" t="n"/>
      <c r="K88" s="68" t="n"/>
      <c r="L88" s="68" t="n"/>
      <c r="M88" s="59">
        <f>IF(OR(L88="",K88=""),"",MAX(L88-K88,0))</f>
        <v/>
      </c>
      <c r="N88" s="59">
        <f>IF(M88="","",IF(N(J88)=0,1,J88))</f>
        <v/>
      </c>
    </row>
    <row r="89">
      <c r="A89" s="53" t="n">
        <v>69</v>
      </c>
      <c r="B89" s="67" t="n"/>
      <c r="C89" s="55" t="n"/>
      <c r="D89" s="68" t="n"/>
      <c r="E89" s="68" t="n"/>
      <c r="F89" s="59">
        <f>IF(OR(E89="",D89=""),"",MAX(E89-D89,0))</f>
        <v/>
      </c>
      <c r="G89" s="59">
        <f>IF(F89="","",IF(N(C89)=0,1,C89))</f>
        <v/>
      </c>
      <c r="H89" s="53" t="n">
        <v>69</v>
      </c>
      <c r="I89" s="67" t="n"/>
      <c r="J89" s="55" t="n"/>
      <c r="K89" s="68" t="n"/>
      <c r="L89" s="68" t="n"/>
      <c r="M89" s="59">
        <f>IF(OR(L89="",K89=""),"",MAX(L89-K89,0))</f>
        <v/>
      </c>
      <c r="N89" s="59">
        <f>IF(M89="","",IF(N(J89)=0,1,J89))</f>
        <v/>
      </c>
    </row>
    <row r="90">
      <c r="A90" s="53" t="n">
        <v>70</v>
      </c>
      <c r="B90" s="67" t="n"/>
      <c r="C90" s="55" t="n"/>
      <c r="D90" s="68" t="n"/>
      <c r="E90" s="68" t="n"/>
      <c r="F90" s="59">
        <f>IF(OR(E90="",D90=""),"",MAX(E90-D90,0))</f>
        <v/>
      </c>
      <c r="G90" s="59">
        <f>IF(F90="","",IF(N(C90)=0,1,C90))</f>
        <v/>
      </c>
      <c r="H90" s="53" t="n">
        <v>70</v>
      </c>
      <c r="I90" s="67" t="n"/>
      <c r="J90" s="55" t="n"/>
      <c r="K90" s="68" t="n"/>
      <c r="L90" s="68" t="n"/>
      <c r="M90" s="59">
        <f>IF(OR(L90="",K90=""),"",MAX(L90-K90,0))</f>
        <v/>
      </c>
      <c r="N90" s="59">
        <f>IF(M90="","",IF(N(J90)=0,1,J90))</f>
        <v/>
      </c>
    </row>
    <row r="91">
      <c r="A91" s="53" t="n">
        <v>71</v>
      </c>
      <c r="B91" s="67" t="n"/>
      <c r="C91" s="55" t="n"/>
      <c r="D91" s="68" t="n"/>
      <c r="E91" s="68" t="n"/>
      <c r="F91" s="59">
        <f>IF(OR(E91="",D91=""),"",MAX(E91-D91,0))</f>
        <v/>
      </c>
      <c r="G91" s="59">
        <f>IF(F91="","",IF(N(C91)=0,1,C91))</f>
        <v/>
      </c>
      <c r="H91" s="53" t="n">
        <v>71</v>
      </c>
      <c r="I91" s="67" t="n"/>
      <c r="J91" s="55" t="n"/>
      <c r="K91" s="68" t="n"/>
      <c r="L91" s="68" t="n"/>
      <c r="M91" s="59">
        <f>IF(OR(L91="",K91=""),"",MAX(L91-K91,0))</f>
        <v/>
      </c>
      <c r="N91" s="59">
        <f>IF(M91="","",IF(N(J91)=0,1,J91))</f>
        <v/>
      </c>
    </row>
    <row r="92">
      <c r="A92" s="53" t="n">
        <v>72</v>
      </c>
      <c r="B92" s="67" t="n"/>
      <c r="C92" s="55" t="n"/>
      <c r="D92" s="68" t="n"/>
      <c r="E92" s="68" t="n"/>
      <c r="F92" s="59">
        <f>IF(OR(E92="",D92=""),"",MAX(E92-D92,0))</f>
        <v/>
      </c>
      <c r="G92" s="59">
        <f>IF(F92="","",IF(N(C92)=0,1,C92))</f>
        <v/>
      </c>
      <c r="H92" s="53" t="n">
        <v>72</v>
      </c>
      <c r="I92" s="67" t="n"/>
      <c r="J92" s="55" t="n"/>
      <c r="K92" s="68" t="n"/>
      <c r="L92" s="68" t="n"/>
      <c r="M92" s="59">
        <f>IF(OR(L92="",K92=""),"",MAX(L92-K92,0))</f>
        <v/>
      </c>
      <c r="N92" s="59">
        <f>IF(M92="","",IF(N(J92)=0,1,J92))</f>
        <v/>
      </c>
    </row>
    <row r="93">
      <c r="A93" s="53" t="n">
        <v>73</v>
      </c>
      <c r="B93" s="67" t="n"/>
      <c r="C93" s="55" t="n"/>
      <c r="D93" s="68" t="n"/>
      <c r="E93" s="68" t="n"/>
      <c r="F93" s="59">
        <f>IF(OR(E93="",D93=""),"",MAX(E93-D93,0))</f>
        <v/>
      </c>
      <c r="G93" s="59">
        <f>IF(F93="","",IF(N(C93)=0,1,C93))</f>
        <v/>
      </c>
      <c r="H93" s="53" t="n">
        <v>73</v>
      </c>
      <c r="I93" s="67" t="n"/>
      <c r="J93" s="55" t="n"/>
      <c r="K93" s="68" t="n"/>
      <c r="L93" s="68" t="n"/>
      <c r="M93" s="59">
        <f>IF(OR(L93="",K93=""),"",MAX(L93-K93,0))</f>
        <v/>
      </c>
      <c r="N93" s="59">
        <f>IF(M93="","",IF(N(J93)=0,1,J93))</f>
        <v/>
      </c>
    </row>
    <row r="94">
      <c r="A94" s="53" t="n">
        <v>74</v>
      </c>
      <c r="B94" s="67" t="n"/>
      <c r="C94" s="55" t="n"/>
      <c r="D94" s="68" t="n"/>
      <c r="E94" s="68" t="n"/>
      <c r="F94" s="59">
        <f>IF(OR(E94="",D94=""),"",MAX(E94-D94,0))</f>
        <v/>
      </c>
      <c r="G94" s="59">
        <f>IF(F94="","",IF(N(C94)=0,1,C94))</f>
        <v/>
      </c>
      <c r="H94" s="53" t="n">
        <v>74</v>
      </c>
      <c r="I94" s="67" t="n"/>
      <c r="J94" s="55" t="n"/>
      <c r="K94" s="68" t="n"/>
      <c r="L94" s="68" t="n"/>
      <c r="M94" s="59">
        <f>IF(OR(L94="",K94=""),"",MAX(L94-K94,0))</f>
        <v/>
      </c>
      <c r="N94" s="59">
        <f>IF(M94="","",IF(N(J94)=0,1,J94))</f>
        <v/>
      </c>
    </row>
    <row r="95">
      <c r="A95" s="53" t="n">
        <v>75</v>
      </c>
      <c r="B95" s="67" t="n"/>
      <c r="C95" s="55" t="n"/>
      <c r="D95" s="68" t="n"/>
      <c r="E95" s="68" t="n"/>
      <c r="F95" s="59">
        <f>IF(OR(E95="",D95=""),"",MAX(E95-D95,0))</f>
        <v/>
      </c>
      <c r="G95" s="59">
        <f>IF(F95="","",IF(N(C95)=0,1,C95))</f>
        <v/>
      </c>
      <c r="H95" s="53" t="n">
        <v>75</v>
      </c>
      <c r="I95" s="67" t="n"/>
      <c r="J95" s="55" t="n"/>
      <c r="K95" s="68" t="n"/>
      <c r="L95" s="68" t="n"/>
      <c r="M95" s="59">
        <f>IF(OR(L95="",K95=""),"",MAX(L95-K95,0))</f>
        <v/>
      </c>
      <c r="N95" s="59">
        <f>IF(M95="","",IF(N(J95)=0,1,J95))</f>
        <v/>
      </c>
    </row>
    <row r="96">
      <c r="A96" s="53" t="n">
        <v>76</v>
      </c>
      <c r="B96" s="67" t="n"/>
      <c r="C96" s="55" t="n"/>
      <c r="D96" s="68" t="n"/>
      <c r="E96" s="68" t="n"/>
      <c r="F96" s="59">
        <f>IF(OR(E96="",D96=""),"",MAX(E96-D96,0))</f>
        <v/>
      </c>
      <c r="G96" s="59">
        <f>IF(F96="","",IF(N(C96)=0,1,C96))</f>
        <v/>
      </c>
      <c r="H96" s="53" t="n">
        <v>76</v>
      </c>
      <c r="I96" s="67" t="n"/>
      <c r="J96" s="55" t="n"/>
      <c r="K96" s="68" t="n"/>
      <c r="L96" s="68" t="n"/>
      <c r="M96" s="59">
        <f>IF(OR(L96="",K96=""),"",MAX(L96-K96,0))</f>
        <v/>
      </c>
      <c r="N96" s="59">
        <f>IF(M96="","",IF(N(J96)=0,1,J96))</f>
        <v/>
      </c>
    </row>
    <row r="97">
      <c r="A97" s="53" t="n">
        <v>77</v>
      </c>
      <c r="B97" s="67" t="n"/>
      <c r="C97" s="55" t="n"/>
      <c r="D97" s="68" t="n"/>
      <c r="E97" s="68" t="n"/>
      <c r="F97" s="59">
        <f>IF(OR(E97="",D97=""),"",MAX(E97-D97,0))</f>
        <v/>
      </c>
      <c r="G97" s="59">
        <f>IF(F97="","",IF(N(C97)=0,1,C97))</f>
        <v/>
      </c>
      <c r="H97" s="53" t="n">
        <v>77</v>
      </c>
      <c r="I97" s="67" t="n"/>
      <c r="J97" s="55" t="n"/>
      <c r="K97" s="68" t="n"/>
      <c r="L97" s="68" t="n"/>
      <c r="M97" s="59">
        <f>IF(OR(L97="",K97=""),"",MAX(L97-K97,0))</f>
        <v/>
      </c>
      <c r="N97" s="59">
        <f>IF(M97="","",IF(N(J97)=0,1,J97))</f>
        <v/>
      </c>
    </row>
    <row r="98">
      <c r="A98" s="53" t="n">
        <v>78</v>
      </c>
      <c r="B98" s="67" t="n"/>
      <c r="C98" s="55" t="n"/>
      <c r="D98" s="68" t="n"/>
      <c r="E98" s="68" t="n"/>
      <c r="F98" s="59">
        <f>IF(OR(E98="",D98=""),"",MAX(E98-D98,0))</f>
        <v/>
      </c>
      <c r="G98" s="59">
        <f>IF(F98="","",IF(N(C98)=0,1,C98))</f>
        <v/>
      </c>
      <c r="H98" s="53" t="n">
        <v>78</v>
      </c>
      <c r="I98" s="67" t="n"/>
      <c r="J98" s="55" t="n"/>
      <c r="K98" s="68" t="n"/>
      <c r="L98" s="68" t="n"/>
      <c r="M98" s="59">
        <f>IF(OR(L98="",K98=""),"",MAX(L98-K98,0))</f>
        <v/>
      </c>
      <c r="N98" s="59">
        <f>IF(M98="","",IF(N(J98)=0,1,J98))</f>
        <v/>
      </c>
    </row>
    <row r="99">
      <c r="A99" s="53" t="n">
        <v>79</v>
      </c>
      <c r="B99" s="67" t="n"/>
      <c r="C99" s="55" t="n"/>
      <c r="D99" s="68" t="n"/>
      <c r="E99" s="68" t="n"/>
      <c r="F99" s="59">
        <f>IF(OR(E99="",D99=""),"",MAX(E99-D99,0))</f>
        <v/>
      </c>
      <c r="G99" s="59">
        <f>IF(F99="","",IF(N(C99)=0,1,C99))</f>
        <v/>
      </c>
      <c r="H99" s="53" t="n">
        <v>79</v>
      </c>
      <c r="I99" s="67" t="n"/>
      <c r="J99" s="55" t="n"/>
      <c r="K99" s="68" t="n"/>
      <c r="L99" s="68" t="n"/>
      <c r="M99" s="59">
        <f>IF(OR(L99="",K99=""),"",MAX(L99-K99,0))</f>
        <v/>
      </c>
      <c r="N99" s="59">
        <f>IF(M99="","",IF(N(J99)=0,1,J99))</f>
        <v/>
      </c>
    </row>
    <row r="100">
      <c r="A100" s="53" t="n">
        <v>80</v>
      </c>
      <c r="B100" s="67" t="n"/>
      <c r="C100" s="55" t="n"/>
      <c r="D100" s="68" t="n"/>
      <c r="E100" s="68" t="n"/>
      <c r="F100" s="59">
        <f>IF(OR(E100="",D100=""),"",MAX(E100-D100,0))</f>
        <v/>
      </c>
      <c r="G100" s="59">
        <f>IF(F100="","",IF(N(C100)=0,1,C100))</f>
        <v/>
      </c>
      <c r="H100" s="53" t="n">
        <v>80</v>
      </c>
      <c r="I100" s="67" t="n"/>
      <c r="J100" s="55" t="n"/>
      <c r="K100" s="68" t="n"/>
      <c r="L100" s="68" t="n"/>
      <c r="M100" s="59">
        <f>IF(OR(L100="",K100=""),"",MAX(L100-K100,0))</f>
        <v/>
      </c>
      <c r="N100" s="59">
        <f>IF(M100="","",IF(N(J100)=0,1,J100))</f>
        <v/>
      </c>
    </row>
    <row r="101">
      <c r="A101" s="53" t="n">
        <v>81</v>
      </c>
      <c r="B101" s="67" t="n"/>
      <c r="C101" s="55" t="n"/>
      <c r="D101" s="68" t="n"/>
      <c r="E101" s="68" t="n"/>
      <c r="F101" s="59">
        <f>IF(OR(E101="",D101=""),"",MAX(E101-D101,0))</f>
        <v/>
      </c>
      <c r="G101" s="59">
        <f>IF(F101="","",IF(N(C101)=0,1,C101))</f>
        <v/>
      </c>
      <c r="H101" s="53" t="n">
        <v>81</v>
      </c>
      <c r="I101" s="67" t="n"/>
      <c r="J101" s="55" t="n"/>
      <c r="K101" s="68" t="n"/>
      <c r="L101" s="68" t="n"/>
      <c r="M101" s="59">
        <f>IF(OR(L101="",K101=""),"",MAX(L101-K101,0))</f>
        <v/>
      </c>
      <c r="N101" s="59">
        <f>IF(M101="","",IF(N(J101)=0,1,J101))</f>
        <v/>
      </c>
    </row>
    <row r="102">
      <c r="A102" s="53" t="n">
        <v>82</v>
      </c>
      <c r="B102" s="67" t="n"/>
      <c r="C102" s="55" t="n"/>
      <c r="D102" s="68" t="n"/>
      <c r="E102" s="68" t="n"/>
      <c r="F102" s="59">
        <f>IF(OR(E102="",D102=""),"",MAX(E102-D102,0))</f>
        <v/>
      </c>
      <c r="G102" s="59">
        <f>IF(F102="","",IF(N(C102)=0,1,C102))</f>
        <v/>
      </c>
      <c r="H102" s="53" t="n">
        <v>82</v>
      </c>
      <c r="I102" s="67" t="n"/>
      <c r="J102" s="55" t="n"/>
      <c r="K102" s="68" t="n"/>
      <c r="L102" s="68" t="n"/>
      <c r="M102" s="59">
        <f>IF(OR(L102="",K102=""),"",MAX(L102-K102,0))</f>
        <v/>
      </c>
      <c r="N102" s="59">
        <f>IF(M102="","",IF(N(J102)=0,1,J102))</f>
        <v/>
      </c>
    </row>
    <row r="103">
      <c r="A103" s="53" t="n">
        <v>83</v>
      </c>
      <c r="B103" s="67" t="n"/>
      <c r="C103" s="55" t="n"/>
      <c r="D103" s="68" t="n"/>
      <c r="E103" s="68" t="n"/>
      <c r="F103" s="59">
        <f>IF(OR(E103="",D103=""),"",MAX(E103-D103,0))</f>
        <v/>
      </c>
      <c r="G103" s="59">
        <f>IF(F103="","",IF(N(C103)=0,1,C103))</f>
        <v/>
      </c>
      <c r="H103" s="53" t="n">
        <v>83</v>
      </c>
      <c r="I103" s="67" t="n"/>
      <c r="J103" s="55" t="n"/>
      <c r="K103" s="68" t="n"/>
      <c r="L103" s="68" t="n"/>
      <c r="M103" s="59">
        <f>IF(OR(L103="",K103=""),"",MAX(L103-K103,0))</f>
        <v/>
      </c>
      <c r="N103" s="59">
        <f>IF(M103="","",IF(N(J103)=0,1,J103))</f>
        <v/>
      </c>
    </row>
    <row r="104">
      <c r="A104" s="53" t="n">
        <v>84</v>
      </c>
      <c r="B104" s="67" t="n"/>
      <c r="C104" s="55" t="n"/>
      <c r="D104" s="68" t="n"/>
      <c r="E104" s="68" t="n"/>
      <c r="F104" s="59">
        <f>IF(OR(E104="",D104=""),"",MAX(E104-D104,0))</f>
        <v/>
      </c>
      <c r="G104" s="59">
        <f>IF(F104="","",IF(N(C104)=0,1,C104))</f>
        <v/>
      </c>
      <c r="H104" s="53" t="n">
        <v>84</v>
      </c>
      <c r="I104" s="67" t="n"/>
      <c r="J104" s="55" t="n"/>
      <c r="K104" s="68" t="n"/>
      <c r="L104" s="68" t="n"/>
      <c r="M104" s="59">
        <f>IF(OR(L104="",K104=""),"",MAX(L104-K104,0))</f>
        <v/>
      </c>
      <c r="N104" s="59">
        <f>IF(M104="","",IF(N(J104)=0,1,J104))</f>
        <v/>
      </c>
    </row>
    <row r="105">
      <c r="A105" s="53" t="n">
        <v>85</v>
      </c>
      <c r="B105" s="67" t="n"/>
      <c r="C105" s="55" t="n"/>
      <c r="D105" s="68" t="n"/>
      <c r="E105" s="68" t="n"/>
      <c r="F105" s="59">
        <f>IF(OR(E105="",D105=""),"",MAX(E105-D105,0))</f>
        <v/>
      </c>
      <c r="G105" s="59">
        <f>IF(F105="","",IF(N(C105)=0,1,C105))</f>
        <v/>
      </c>
      <c r="H105" s="53" t="n">
        <v>85</v>
      </c>
      <c r="I105" s="67" t="n"/>
      <c r="J105" s="55" t="n"/>
      <c r="K105" s="68" t="n"/>
      <c r="L105" s="68" t="n"/>
      <c r="M105" s="59">
        <f>IF(OR(L105="",K105=""),"",MAX(L105-K105,0))</f>
        <v/>
      </c>
      <c r="N105" s="59">
        <f>IF(M105="","",IF(N(J105)=0,1,J105))</f>
        <v/>
      </c>
    </row>
    <row r="106">
      <c r="A106" s="53" t="n">
        <v>86</v>
      </c>
      <c r="B106" s="67" t="n"/>
      <c r="C106" s="55" t="n"/>
      <c r="D106" s="68" t="n"/>
      <c r="E106" s="68" t="n"/>
      <c r="F106" s="59">
        <f>IF(OR(E106="",D106=""),"",MAX(E106-D106,0))</f>
        <v/>
      </c>
      <c r="G106" s="59">
        <f>IF(F106="","",IF(N(C106)=0,1,C106))</f>
        <v/>
      </c>
      <c r="H106" s="53" t="n">
        <v>86</v>
      </c>
      <c r="I106" s="67" t="n"/>
      <c r="J106" s="55" t="n"/>
      <c r="K106" s="68" t="n"/>
      <c r="L106" s="68" t="n"/>
      <c r="M106" s="59">
        <f>IF(OR(L106="",K106=""),"",MAX(L106-K106,0))</f>
        <v/>
      </c>
      <c r="N106" s="59">
        <f>IF(M106="","",IF(N(J106)=0,1,J106))</f>
        <v/>
      </c>
    </row>
    <row r="107">
      <c r="A107" s="53" t="n">
        <v>87</v>
      </c>
      <c r="B107" s="67" t="n"/>
      <c r="C107" s="55" t="n"/>
      <c r="D107" s="68" t="n"/>
      <c r="E107" s="68" t="n"/>
      <c r="F107" s="59">
        <f>IF(OR(E107="",D107=""),"",MAX(E107-D107,0))</f>
        <v/>
      </c>
      <c r="G107" s="59">
        <f>IF(F107="","",IF(N(C107)=0,1,C107))</f>
        <v/>
      </c>
      <c r="H107" s="53" t="n">
        <v>87</v>
      </c>
      <c r="I107" s="67" t="n"/>
      <c r="J107" s="55" t="n"/>
      <c r="K107" s="68" t="n"/>
      <c r="L107" s="68" t="n"/>
      <c r="M107" s="59">
        <f>IF(OR(L107="",K107=""),"",MAX(L107-K107,0))</f>
        <v/>
      </c>
      <c r="N107" s="59">
        <f>IF(M107="","",IF(N(J107)=0,1,J107))</f>
        <v/>
      </c>
    </row>
    <row r="108">
      <c r="A108" s="53" t="n">
        <v>88</v>
      </c>
      <c r="B108" s="67" t="n"/>
      <c r="C108" s="55" t="n"/>
      <c r="D108" s="68" t="n"/>
      <c r="E108" s="68" t="n"/>
      <c r="F108" s="59">
        <f>IF(OR(E108="",D108=""),"",MAX(E108-D108,0))</f>
        <v/>
      </c>
      <c r="G108" s="59">
        <f>IF(F108="","",IF(N(C108)=0,1,C108))</f>
        <v/>
      </c>
      <c r="H108" s="53" t="n">
        <v>88</v>
      </c>
      <c r="I108" s="67" t="n"/>
      <c r="J108" s="55" t="n"/>
      <c r="K108" s="68" t="n"/>
      <c r="L108" s="68" t="n"/>
      <c r="M108" s="59">
        <f>IF(OR(L108="",K108=""),"",MAX(L108-K108,0))</f>
        <v/>
      </c>
      <c r="N108" s="59">
        <f>IF(M108="","",IF(N(J108)=0,1,J108))</f>
        <v/>
      </c>
    </row>
    <row r="109">
      <c r="A109" s="53" t="n">
        <v>89</v>
      </c>
      <c r="B109" s="67" t="n"/>
      <c r="C109" s="55" t="n"/>
      <c r="D109" s="68" t="n"/>
      <c r="E109" s="68" t="n"/>
      <c r="F109" s="59">
        <f>IF(OR(E109="",D109=""),"",MAX(E109-D109,0))</f>
        <v/>
      </c>
      <c r="G109" s="59">
        <f>IF(F109="","",IF(N(C109)=0,1,C109))</f>
        <v/>
      </c>
      <c r="H109" s="53" t="n">
        <v>89</v>
      </c>
      <c r="I109" s="67" t="n"/>
      <c r="J109" s="55" t="n"/>
      <c r="K109" s="68" t="n"/>
      <c r="L109" s="68" t="n"/>
      <c r="M109" s="59">
        <f>IF(OR(L109="",K109=""),"",MAX(L109-K109,0))</f>
        <v/>
      </c>
      <c r="N109" s="59">
        <f>IF(M109="","",IF(N(J109)=0,1,J109))</f>
        <v/>
      </c>
    </row>
    <row r="110">
      <c r="A110" s="53" t="n">
        <v>90</v>
      </c>
      <c r="B110" s="67" t="n"/>
      <c r="C110" s="55" t="n"/>
      <c r="D110" s="68" t="n"/>
      <c r="E110" s="68" t="n"/>
      <c r="F110" s="59">
        <f>IF(OR(E110="",D110=""),"",MAX(E110-D110,0))</f>
        <v/>
      </c>
      <c r="G110" s="59">
        <f>IF(F110="","",IF(N(C110)=0,1,C110))</f>
        <v/>
      </c>
      <c r="H110" s="53" t="n">
        <v>90</v>
      </c>
      <c r="I110" s="67" t="n"/>
      <c r="J110" s="55" t="n"/>
      <c r="K110" s="68" t="n"/>
      <c r="L110" s="68" t="n"/>
      <c r="M110" s="59">
        <f>IF(OR(L110="",K110=""),"",MAX(L110-K110,0))</f>
        <v/>
      </c>
      <c r="N110" s="59">
        <f>IF(M110="","",IF(N(J110)=0,1,J110))</f>
        <v/>
      </c>
    </row>
    <row r="111">
      <c r="A111" s="53" t="n">
        <v>91</v>
      </c>
      <c r="B111" s="67" t="n"/>
      <c r="C111" s="55" t="n"/>
      <c r="D111" s="68" t="n"/>
      <c r="E111" s="68" t="n"/>
      <c r="F111" s="59">
        <f>IF(OR(E111="",D111=""),"",MAX(E111-D111,0))</f>
        <v/>
      </c>
      <c r="G111" s="59">
        <f>IF(F111="","",IF(N(C111)=0,1,C111))</f>
        <v/>
      </c>
      <c r="H111" s="53" t="n">
        <v>91</v>
      </c>
      <c r="I111" s="67" t="n"/>
      <c r="J111" s="55" t="n"/>
      <c r="K111" s="68" t="n"/>
      <c r="L111" s="68" t="n"/>
      <c r="M111" s="59">
        <f>IF(OR(L111="",K111=""),"",MAX(L111-K111,0))</f>
        <v/>
      </c>
      <c r="N111" s="59">
        <f>IF(M111="","",IF(N(J111)=0,1,J111))</f>
        <v/>
      </c>
    </row>
    <row r="112">
      <c r="A112" s="53" t="n">
        <v>92</v>
      </c>
      <c r="B112" s="67" t="n"/>
      <c r="C112" s="55" t="n"/>
      <c r="D112" s="68" t="n"/>
      <c r="E112" s="68" t="n"/>
      <c r="F112" s="59">
        <f>IF(OR(E112="",D112=""),"",MAX(E112-D112,0))</f>
        <v/>
      </c>
      <c r="G112" s="59">
        <f>IF(F112="","",IF(N(C112)=0,1,C112))</f>
        <v/>
      </c>
      <c r="H112" s="53" t="n">
        <v>92</v>
      </c>
      <c r="I112" s="67" t="n"/>
      <c r="J112" s="55" t="n"/>
      <c r="K112" s="68" t="n"/>
      <c r="L112" s="68" t="n"/>
      <c r="M112" s="59">
        <f>IF(OR(L112="",K112=""),"",MAX(L112-K112,0))</f>
        <v/>
      </c>
      <c r="N112" s="59">
        <f>IF(M112="","",IF(N(J112)=0,1,J112))</f>
        <v/>
      </c>
    </row>
    <row r="113">
      <c r="A113" s="53" t="n">
        <v>93</v>
      </c>
      <c r="B113" s="67" t="n"/>
      <c r="C113" s="55" t="n"/>
      <c r="D113" s="68" t="n"/>
      <c r="E113" s="68" t="n"/>
      <c r="F113" s="59">
        <f>IF(OR(E113="",D113=""),"",MAX(E113-D113,0))</f>
        <v/>
      </c>
      <c r="G113" s="59">
        <f>IF(F113="","",IF(N(C113)=0,1,C113))</f>
        <v/>
      </c>
      <c r="H113" s="53" t="n">
        <v>93</v>
      </c>
      <c r="I113" s="67" t="n"/>
      <c r="J113" s="55" t="n"/>
      <c r="K113" s="68" t="n"/>
      <c r="L113" s="68" t="n"/>
      <c r="M113" s="59">
        <f>IF(OR(L113="",K113=""),"",MAX(L113-K113,0))</f>
        <v/>
      </c>
      <c r="N113" s="59">
        <f>IF(M113="","",IF(N(J113)=0,1,J113))</f>
        <v/>
      </c>
    </row>
    <row r="114">
      <c r="A114" s="53" t="n">
        <v>94</v>
      </c>
      <c r="B114" s="67" t="n"/>
      <c r="C114" s="55" t="n"/>
      <c r="D114" s="68" t="n"/>
      <c r="E114" s="68" t="n"/>
      <c r="F114" s="59">
        <f>IF(OR(E114="",D114=""),"",MAX(E114-D114,0))</f>
        <v/>
      </c>
      <c r="G114" s="59">
        <f>IF(F114="","",IF(N(C114)=0,1,C114))</f>
        <v/>
      </c>
      <c r="H114" s="53" t="n">
        <v>94</v>
      </c>
      <c r="I114" s="67" t="n"/>
      <c r="J114" s="55" t="n"/>
      <c r="K114" s="68" t="n"/>
      <c r="L114" s="68" t="n"/>
      <c r="M114" s="59">
        <f>IF(OR(L114="",K114=""),"",MAX(L114-K114,0))</f>
        <v/>
      </c>
      <c r="N114" s="59">
        <f>IF(M114="","",IF(N(J114)=0,1,J114))</f>
        <v/>
      </c>
    </row>
    <row r="115">
      <c r="A115" s="53" t="n">
        <v>95</v>
      </c>
      <c r="B115" s="67" t="n"/>
      <c r="C115" s="55" t="n"/>
      <c r="D115" s="68" t="n"/>
      <c r="E115" s="68" t="n"/>
      <c r="F115" s="59">
        <f>IF(OR(E115="",D115=""),"",MAX(E115-D115,0))</f>
        <v/>
      </c>
      <c r="G115" s="59">
        <f>IF(F115="","",IF(N(C115)=0,1,C115))</f>
        <v/>
      </c>
      <c r="H115" s="53" t="n">
        <v>95</v>
      </c>
      <c r="I115" s="67" t="n"/>
      <c r="J115" s="55" t="n"/>
      <c r="K115" s="68" t="n"/>
      <c r="L115" s="68" t="n"/>
      <c r="M115" s="59">
        <f>IF(OR(L115="",K115=""),"",MAX(L115-K115,0))</f>
        <v/>
      </c>
      <c r="N115" s="59">
        <f>IF(M115="","",IF(N(J115)=0,1,J115))</f>
        <v/>
      </c>
    </row>
    <row r="116">
      <c r="A116" s="53" t="n">
        <v>96</v>
      </c>
      <c r="B116" s="67" t="n"/>
      <c r="C116" s="55" t="n"/>
      <c r="D116" s="68" t="n"/>
      <c r="E116" s="68" t="n"/>
      <c r="F116" s="59">
        <f>IF(OR(E116="",D116=""),"",MAX(E116-D116,0))</f>
        <v/>
      </c>
      <c r="G116" s="59">
        <f>IF(F116="","",IF(N(C116)=0,1,C116))</f>
        <v/>
      </c>
      <c r="H116" s="53" t="n">
        <v>96</v>
      </c>
      <c r="I116" s="67" t="n"/>
      <c r="J116" s="55" t="n"/>
      <c r="K116" s="68" t="n"/>
      <c r="L116" s="68" t="n"/>
      <c r="M116" s="59">
        <f>IF(OR(L116="",K116=""),"",MAX(L116-K116,0))</f>
        <v/>
      </c>
      <c r="N116" s="59">
        <f>IF(M116="","",IF(N(J116)=0,1,J116))</f>
        <v/>
      </c>
    </row>
    <row r="117">
      <c r="A117" s="53" t="n">
        <v>97</v>
      </c>
      <c r="B117" s="67" t="n"/>
      <c r="C117" s="55" t="n"/>
      <c r="D117" s="68" t="n"/>
      <c r="E117" s="68" t="n"/>
      <c r="F117" s="59">
        <f>IF(OR(E117="",D117=""),"",MAX(E117-D117,0))</f>
        <v/>
      </c>
      <c r="G117" s="59">
        <f>IF(F117="","",IF(N(C117)=0,1,C117))</f>
        <v/>
      </c>
      <c r="H117" s="53" t="n">
        <v>97</v>
      </c>
      <c r="I117" s="67" t="n"/>
      <c r="J117" s="55" t="n"/>
      <c r="K117" s="68" t="n"/>
      <c r="L117" s="68" t="n"/>
      <c r="M117" s="59">
        <f>IF(OR(L117="",K117=""),"",MAX(L117-K117,0))</f>
        <v/>
      </c>
      <c r="N117" s="59">
        <f>IF(M117="","",IF(N(J117)=0,1,J117))</f>
        <v/>
      </c>
    </row>
    <row r="118">
      <c r="A118" s="53" t="n">
        <v>98</v>
      </c>
      <c r="B118" s="67" t="n"/>
      <c r="C118" s="55" t="n"/>
      <c r="D118" s="68" t="n"/>
      <c r="E118" s="68" t="n"/>
      <c r="F118" s="59">
        <f>IF(OR(E118="",D118=""),"",MAX(E118-D118,0))</f>
        <v/>
      </c>
      <c r="G118" s="59">
        <f>IF(F118="","",IF(N(C118)=0,1,C118))</f>
        <v/>
      </c>
      <c r="H118" s="53" t="n">
        <v>98</v>
      </c>
      <c r="I118" s="67" t="n"/>
      <c r="J118" s="55" t="n"/>
      <c r="K118" s="68" t="n"/>
      <c r="L118" s="68" t="n"/>
      <c r="M118" s="59">
        <f>IF(OR(L118="",K118=""),"",MAX(L118-K118,0))</f>
        <v/>
      </c>
      <c r="N118" s="59">
        <f>IF(M118="","",IF(N(J118)=0,1,J118))</f>
        <v/>
      </c>
    </row>
    <row r="119">
      <c r="A119" s="53" t="n">
        <v>99</v>
      </c>
      <c r="B119" s="67" t="n"/>
      <c r="C119" s="55" t="n"/>
      <c r="D119" s="68" t="n"/>
      <c r="E119" s="68" t="n"/>
      <c r="F119" s="59">
        <f>IF(OR(E119="",D119=""),"",MAX(E119-D119,0))</f>
        <v/>
      </c>
      <c r="G119" s="59">
        <f>IF(F119="","",IF(N(C119)=0,1,C119))</f>
        <v/>
      </c>
      <c r="H119" s="53" t="n">
        <v>99</v>
      </c>
      <c r="I119" s="67" t="n"/>
      <c r="J119" s="55" t="n"/>
      <c r="K119" s="68" t="n"/>
      <c r="L119" s="68" t="n"/>
      <c r="M119" s="59">
        <f>IF(OR(L119="",K119=""),"",MAX(L119-K119,0))</f>
        <v/>
      </c>
      <c r="N119" s="59">
        <f>IF(M119="","",IF(N(J119)=0,1,J119))</f>
        <v/>
      </c>
    </row>
    <row r="120">
      <c r="A120" s="53" t="n">
        <v>100</v>
      </c>
      <c r="B120" s="67" t="n"/>
      <c r="C120" s="55" t="n"/>
      <c r="D120" s="68" t="n"/>
      <c r="E120" s="68" t="n"/>
      <c r="F120" s="59">
        <f>IF(OR(E120="",D120=""),"",MAX(E120-D120,0))</f>
        <v/>
      </c>
      <c r="G120" s="59">
        <f>IF(F120="","",IF(N(C120)=0,1,C120))</f>
        <v/>
      </c>
      <c r="H120" s="53" t="n">
        <v>100</v>
      </c>
      <c r="I120" s="67" t="n"/>
      <c r="J120" s="55" t="n"/>
      <c r="K120" s="68" t="n"/>
      <c r="L120" s="68" t="n"/>
      <c r="M120" s="59">
        <f>IF(OR(L120="",K120=""),"",MAX(L120-K120,0))</f>
        <v/>
      </c>
      <c r="N120" s="59">
        <f>IF(M120="","",IF(N(J120)=0,1,J120))</f>
        <v/>
      </c>
    </row>
    <row r="121">
      <c r="A121" s="53" t="n">
        <v>101</v>
      </c>
      <c r="B121" s="67" t="n"/>
      <c r="C121" s="55" t="n"/>
      <c r="D121" s="68" t="n"/>
      <c r="E121" s="68" t="n"/>
      <c r="F121" s="59">
        <f>IF(OR(E121="",D121=""),"",MAX(E121-D121,0))</f>
        <v/>
      </c>
      <c r="G121" s="59">
        <f>IF(F121="","",IF(N(C121)=0,1,C121))</f>
        <v/>
      </c>
      <c r="H121" s="53" t="n">
        <v>101</v>
      </c>
      <c r="I121" s="67" t="n"/>
      <c r="J121" s="55" t="n"/>
      <c r="K121" s="68" t="n"/>
      <c r="L121" s="68" t="n"/>
      <c r="M121" s="59">
        <f>IF(OR(L121="",K121=""),"",MAX(L121-K121,0))</f>
        <v/>
      </c>
      <c r="N121" s="59">
        <f>IF(M121="","",IF(N(J121)=0,1,J121))</f>
        <v/>
      </c>
    </row>
    <row r="122">
      <c r="A122" s="53" t="n">
        <v>102</v>
      </c>
      <c r="B122" s="67" t="n"/>
      <c r="C122" s="55" t="n"/>
      <c r="D122" s="68" t="n"/>
      <c r="E122" s="68" t="n"/>
      <c r="F122" s="59">
        <f>IF(OR(E122="",D122=""),"",MAX(E122-D122,0))</f>
        <v/>
      </c>
      <c r="G122" s="59">
        <f>IF(F122="","",IF(N(C122)=0,1,C122))</f>
        <v/>
      </c>
      <c r="H122" s="53" t="n">
        <v>102</v>
      </c>
      <c r="I122" s="67" t="n"/>
      <c r="J122" s="55" t="n"/>
      <c r="K122" s="68" t="n"/>
      <c r="L122" s="68" t="n"/>
      <c r="M122" s="59">
        <f>IF(OR(L122="",K122=""),"",MAX(L122-K122,0))</f>
        <v/>
      </c>
      <c r="N122" s="59">
        <f>IF(M122="","",IF(N(J122)=0,1,J122))</f>
        <v/>
      </c>
    </row>
    <row r="123">
      <c r="A123" s="53" t="n">
        <v>103</v>
      </c>
      <c r="B123" s="67" t="n"/>
      <c r="C123" s="55" t="n"/>
      <c r="D123" s="68" t="n"/>
      <c r="E123" s="68" t="n"/>
      <c r="F123" s="59">
        <f>IF(OR(E123="",D123=""),"",MAX(E123-D123,0))</f>
        <v/>
      </c>
      <c r="G123" s="59">
        <f>IF(F123="","",IF(N(C123)=0,1,C123))</f>
        <v/>
      </c>
      <c r="H123" s="53" t="n">
        <v>103</v>
      </c>
      <c r="I123" s="67" t="n"/>
      <c r="J123" s="55" t="n"/>
      <c r="K123" s="68" t="n"/>
      <c r="L123" s="68" t="n"/>
      <c r="M123" s="59">
        <f>IF(OR(L123="",K123=""),"",MAX(L123-K123,0))</f>
        <v/>
      </c>
      <c r="N123" s="59">
        <f>IF(M123="","",IF(N(J123)=0,1,J123))</f>
        <v/>
      </c>
    </row>
    <row r="124">
      <c r="A124" s="53" t="n">
        <v>104</v>
      </c>
      <c r="B124" s="67" t="n"/>
      <c r="C124" s="55" t="n"/>
      <c r="D124" s="68" t="n"/>
      <c r="E124" s="68" t="n"/>
      <c r="F124" s="59">
        <f>IF(OR(E124="",D124=""),"",MAX(E124-D124,0))</f>
        <v/>
      </c>
      <c r="G124" s="59">
        <f>IF(F124="","",IF(N(C124)=0,1,C124))</f>
        <v/>
      </c>
      <c r="H124" s="53" t="n">
        <v>104</v>
      </c>
      <c r="I124" s="67" t="n"/>
      <c r="J124" s="55" t="n"/>
      <c r="K124" s="68" t="n"/>
      <c r="L124" s="68" t="n"/>
      <c r="M124" s="59">
        <f>IF(OR(L124="",K124=""),"",MAX(L124-K124,0))</f>
        <v/>
      </c>
      <c r="N124" s="59">
        <f>IF(M124="","",IF(N(J124)=0,1,J124))</f>
        <v/>
      </c>
    </row>
    <row r="125">
      <c r="A125" s="53" t="n">
        <v>105</v>
      </c>
      <c r="B125" s="67" t="n"/>
      <c r="C125" s="55" t="n"/>
      <c r="D125" s="68" t="n"/>
      <c r="E125" s="68" t="n"/>
      <c r="F125" s="59">
        <f>IF(OR(E125="",D125=""),"",MAX(E125-D125,0))</f>
        <v/>
      </c>
      <c r="G125" s="59">
        <f>IF(F125="","",IF(N(C125)=0,1,C125))</f>
        <v/>
      </c>
      <c r="H125" s="53" t="n">
        <v>105</v>
      </c>
      <c r="I125" s="67" t="n"/>
      <c r="J125" s="55" t="n"/>
      <c r="K125" s="68" t="n"/>
      <c r="L125" s="68" t="n"/>
      <c r="M125" s="59">
        <f>IF(OR(L125="",K125=""),"",MAX(L125-K125,0))</f>
        <v/>
      </c>
      <c r="N125" s="59">
        <f>IF(M125="","",IF(N(J125)=0,1,J125))</f>
        <v/>
      </c>
    </row>
    <row r="126">
      <c r="A126" s="53" t="n">
        <v>106</v>
      </c>
      <c r="B126" s="67" t="n"/>
      <c r="C126" s="55" t="n"/>
      <c r="D126" s="68" t="n"/>
      <c r="E126" s="68" t="n"/>
      <c r="F126" s="59">
        <f>IF(OR(E126="",D126=""),"",MAX(E126-D126,0))</f>
        <v/>
      </c>
      <c r="G126" s="59">
        <f>IF(F126="","",IF(N(C126)=0,1,C126))</f>
        <v/>
      </c>
      <c r="H126" s="53" t="n">
        <v>106</v>
      </c>
      <c r="I126" s="67" t="n"/>
      <c r="J126" s="55" t="n"/>
      <c r="K126" s="68" t="n"/>
      <c r="L126" s="68" t="n"/>
      <c r="M126" s="59">
        <f>IF(OR(L126="",K126=""),"",MAX(L126-K126,0))</f>
        <v/>
      </c>
      <c r="N126" s="59">
        <f>IF(M126="","",IF(N(J126)=0,1,J126))</f>
        <v/>
      </c>
    </row>
    <row r="127">
      <c r="A127" s="53" t="n">
        <v>107</v>
      </c>
      <c r="B127" s="67" t="n"/>
      <c r="C127" s="55" t="n"/>
      <c r="D127" s="68" t="n"/>
      <c r="E127" s="68" t="n"/>
      <c r="F127" s="59">
        <f>IF(OR(E127="",D127=""),"",MAX(E127-D127,0))</f>
        <v/>
      </c>
      <c r="G127" s="59">
        <f>IF(F127="","",IF(N(C127)=0,1,C127))</f>
        <v/>
      </c>
      <c r="H127" s="53" t="n">
        <v>107</v>
      </c>
      <c r="I127" s="67" t="n"/>
      <c r="J127" s="55" t="n"/>
      <c r="K127" s="68" t="n"/>
      <c r="L127" s="68" t="n"/>
      <c r="M127" s="59">
        <f>IF(OR(L127="",K127=""),"",MAX(L127-K127,0))</f>
        <v/>
      </c>
      <c r="N127" s="59">
        <f>IF(M127="","",IF(N(J127)=0,1,J127))</f>
        <v/>
      </c>
    </row>
    <row r="128">
      <c r="A128" s="53" t="n">
        <v>108</v>
      </c>
      <c r="B128" s="67" t="n"/>
      <c r="C128" s="55" t="n"/>
      <c r="D128" s="68" t="n"/>
      <c r="E128" s="68" t="n"/>
      <c r="F128" s="59">
        <f>IF(OR(E128="",D128=""),"",MAX(E128-D128,0))</f>
        <v/>
      </c>
      <c r="G128" s="59">
        <f>IF(F128="","",IF(N(C128)=0,1,C128))</f>
        <v/>
      </c>
      <c r="H128" s="53" t="n">
        <v>108</v>
      </c>
      <c r="I128" s="67" t="n"/>
      <c r="J128" s="55" t="n"/>
      <c r="K128" s="68" t="n"/>
      <c r="L128" s="68" t="n"/>
      <c r="M128" s="59">
        <f>IF(OR(L128="",K128=""),"",MAX(L128-K128,0))</f>
        <v/>
      </c>
      <c r="N128" s="59">
        <f>IF(M128="","",IF(N(J128)=0,1,J128))</f>
        <v/>
      </c>
    </row>
    <row r="129">
      <c r="A129" s="53" t="n">
        <v>109</v>
      </c>
      <c r="B129" s="67" t="n"/>
      <c r="C129" s="55" t="n"/>
      <c r="D129" s="68" t="n"/>
      <c r="E129" s="68" t="n"/>
      <c r="F129" s="59">
        <f>IF(OR(E129="",D129=""),"",MAX(E129-D129,0))</f>
        <v/>
      </c>
      <c r="G129" s="59">
        <f>IF(F129="","",IF(N(C129)=0,1,C129))</f>
        <v/>
      </c>
      <c r="H129" s="53" t="n">
        <v>109</v>
      </c>
      <c r="I129" s="67" t="n"/>
      <c r="J129" s="55" t="n"/>
      <c r="K129" s="68" t="n"/>
      <c r="L129" s="68" t="n"/>
      <c r="M129" s="59">
        <f>IF(OR(L129="",K129=""),"",MAX(L129-K129,0))</f>
        <v/>
      </c>
      <c r="N129" s="59">
        <f>IF(M129="","",IF(N(J129)=0,1,J129))</f>
        <v/>
      </c>
    </row>
    <row r="130">
      <c r="A130" s="53" t="n">
        <v>110</v>
      </c>
      <c r="B130" s="67" t="n"/>
      <c r="C130" s="55" t="n"/>
      <c r="D130" s="68" t="n"/>
      <c r="E130" s="68" t="n"/>
      <c r="F130" s="59">
        <f>IF(OR(E130="",D130=""),"",MAX(E130-D130,0))</f>
        <v/>
      </c>
      <c r="G130" s="59">
        <f>IF(F130="","",IF(N(C130)=0,1,C130))</f>
        <v/>
      </c>
      <c r="H130" s="53" t="n">
        <v>110</v>
      </c>
      <c r="I130" s="67" t="n"/>
      <c r="J130" s="55" t="n"/>
      <c r="K130" s="68" t="n"/>
      <c r="L130" s="68" t="n"/>
      <c r="M130" s="59">
        <f>IF(OR(L130="",K130=""),"",MAX(L130-K130,0))</f>
        <v/>
      </c>
      <c r="N130" s="59">
        <f>IF(M130="","",IF(N(J130)=0,1,J130))</f>
        <v/>
      </c>
    </row>
    <row r="131">
      <c r="A131" s="53" t="n">
        <v>111</v>
      </c>
      <c r="B131" s="67" t="n"/>
      <c r="C131" s="55" t="n"/>
      <c r="D131" s="68" t="n"/>
      <c r="E131" s="68" t="n"/>
      <c r="F131" s="59">
        <f>IF(OR(E131="",D131=""),"",MAX(E131-D131,0))</f>
        <v/>
      </c>
      <c r="G131" s="59">
        <f>IF(F131="","",IF(N(C131)=0,1,C131))</f>
        <v/>
      </c>
      <c r="H131" s="53" t="n">
        <v>111</v>
      </c>
      <c r="I131" s="67" t="n"/>
      <c r="J131" s="55" t="n"/>
      <c r="K131" s="68" t="n"/>
      <c r="L131" s="68" t="n"/>
      <c r="M131" s="59">
        <f>IF(OR(L131="",K131=""),"",MAX(L131-K131,0))</f>
        <v/>
      </c>
      <c r="N131" s="59">
        <f>IF(M131="","",IF(N(J131)=0,1,J131))</f>
        <v/>
      </c>
    </row>
    <row r="132">
      <c r="A132" s="53" t="n">
        <v>112</v>
      </c>
      <c r="B132" s="67" t="n"/>
      <c r="C132" s="55" t="n"/>
      <c r="D132" s="68" t="n"/>
      <c r="E132" s="68" t="n"/>
      <c r="F132" s="59">
        <f>IF(OR(E132="",D132=""),"",MAX(E132-D132,0))</f>
        <v/>
      </c>
      <c r="G132" s="59">
        <f>IF(F132="","",IF(N(C132)=0,1,C132))</f>
        <v/>
      </c>
      <c r="H132" s="53" t="n">
        <v>112</v>
      </c>
      <c r="I132" s="67" t="n"/>
      <c r="J132" s="55" t="n"/>
      <c r="K132" s="68" t="n"/>
      <c r="L132" s="68" t="n"/>
      <c r="M132" s="59">
        <f>IF(OR(L132="",K132=""),"",MAX(L132-K132,0))</f>
        <v/>
      </c>
      <c r="N132" s="59">
        <f>IF(M132="","",IF(N(J132)=0,1,J132))</f>
        <v/>
      </c>
    </row>
    <row r="133">
      <c r="A133" s="53" t="n">
        <v>113</v>
      </c>
      <c r="B133" s="67" t="n"/>
      <c r="C133" s="55" t="n"/>
      <c r="D133" s="68" t="n"/>
      <c r="E133" s="68" t="n"/>
      <c r="F133" s="59">
        <f>IF(OR(E133="",D133=""),"",MAX(E133-D133,0))</f>
        <v/>
      </c>
      <c r="G133" s="59">
        <f>IF(F133="","",IF(N(C133)=0,1,C133))</f>
        <v/>
      </c>
      <c r="H133" s="53" t="n">
        <v>113</v>
      </c>
      <c r="I133" s="67" t="n"/>
      <c r="J133" s="55" t="n"/>
      <c r="K133" s="68" t="n"/>
      <c r="L133" s="68" t="n"/>
      <c r="M133" s="59">
        <f>IF(OR(L133="",K133=""),"",MAX(L133-K133,0))</f>
        <v/>
      </c>
      <c r="N133" s="59">
        <f>IF(M133="","",IF(N(J133)=0,1,J133))</f>
        <v/>
      </c>
    </row>
    <row r="134">
      <c r="A134" s="53" t="n">
        <v>114</v>
      </c>
      <c r="B134" s="67" t="n"/>
      <c r="C134" s="55" t="n"/>
      <c r="D134" s="68" t="n"/>
      <c r="E134" s="68" t="n"/>
      <c r="F134" s="59">
        <f>IF(OR(E134="",D134=""),"",MAX(E134-D134,0))</f>
        <v/>
      </c>
      <c r="G134" s="59">
        <f>IF(F134="","",IF(N(C134)=0,1,C134))</f>
        <v/>
      </c>
      <c r="H134" s="53" t="n">
        <v>114</v>
      </c>
      <c r="I134" s="67" t="n"/>
      <c r="J134" s="55" t="n"/>
      <c r="K134" s="68" t="n"/>
      <c r="L134" s="68" t="n"/>
      <c r="M134" s="59">
        <f>IF(OR(L134="",K134=""),"",MAX(L134-K134,0))</f>
        <v/>
      </c>
      <c r="N134" s="59">
        <f>IF(M134="","",IF(N(J134)=0,1,J134))</f>
        <v/>
      </c>
    </row>
    <row r="135">
      <c r="A135" s="53" t="n">
        <v>115</v>
      </c>
      <c r="B135" s="67" t="n"/>
      <c r="C135" s="55" t="n"/>
      <c r="D135" s="68" t="n"/>
      <c r="E135" s="68" t="n"/>
      <c r="F135" s="59">
        <f>IF(OR(E135="",D135=""),"",MAX(E135-D135,0))</f>
        <v/>
      </c>
      <c r="G135" s="59">
        <f>IF(F135="","",IF(N(C135)=0,1,C135))</f>
        <v/>
      </c>
      <c r="H135" s="53" t="n">
        <v>115</v>
      </c>
      <c r="I135" s="67" t="n"/>
      <c r="J135" s="55" t="n"/>
      <c r="K135" s="68" t="n"/>
      <c r="L135" s="68" t="n"/>
      <c r="M135" s="59">
        <f>IF(OR(L135="",K135=""),"",MAX(L135-K135,0))</f>
        <v/>
      </c>
      <c r="N135" s="59">
        <f>IF(M135="","",IF(N(J135)=0,1,J135))</f>
        <v/>
      </c>
    </row>
    <row r="136">
      <c r="A136" s="53" t="n">
        <v>116</v>
      </c>
      <c r="B136" s="67" t="n"/>
      <c r="C136" s="55" t="n"/>
      <c r="D136" s="68" t="n"/>
      <c r="E136" s="68" t="n"/>
      <c r="F136" s="59">
        <f>IF(OR(E136="",D136=""),"",MAX(E136-D136,0))</f>
        <v/>
      </c>
      <c r="G136" s="59">
        <f>IF(F136="","",IF(N(C136)=0,1,C136))</f>
        <v/>
      </c>
      <c r="H136" s="53" t="n">
        <v>116</v>
      </c>
      <c r="I136" s="67" t="n"/>
      <c r="J136" s="55" t="n"/>
      <c r="K136" s="68" t="n"/>
      <c r="L136" s="68" t="n"/>
      <c r="M136" s="59">
        <f>IF(OR(L136="",K136=""),"",MAX(L136-K136,0))</f>
        <v/>
      </c>
      <c r="N136" s="59">
        <f>IF(M136="","",IF(N(J136)=0,1,J136))</f>
        <v/>
      </c>
    </row>
    <row r="137">
      <c r="A137" s="53" t="n">
        <v>117</v>
      </c>
      <c r="B137" s="67" t="n"/>
      <c r="C137" s="55" t="n"/>
      <c r="D137" s="68" t="n"/>
      <c r="E137" s="68" t="n"/>
      <c r="F137" s="59">
        <f>IF(OR(E137="",D137=""),"",MAX(E137-D137,0))</f>
        <v/>
      </c>
      <c r="G137" s="59">
        <f>IF(F137="","",IF(N(C137)=0,1,C137))</f>
        <v/>
      </c>
      <c r="H137" s="53" t="n">
        <v>117</v>
      </c>
      <c r="I137" s="67" t="n"/>
      <c r="J137" s="55" t="n"/>
      <c r="K137" s="68" t="n"/>
      <c r="L137" s="68" t="n"/>
      <c r="M137" s="59">
        <f>IF(OR(L137="",K137=""),"",MAX(L137-K137,0))</f>
        <v/>
      </c>
      <c r="N137" s="59">
        <f>IF(M137="","",IF(N(J137)=0,1,J137))</f>
        <v/>
      </c>
    </row>
    <row r="138">
      <c r="A138" s="53" t="n">
        <v>118</v>
      </c>
      <c r="B138" s="67" t="n"/>
      <c r="C138" s="55" t="n"/>
      <c r="D138" s="68" t="n"/>
      <c r="E138" s="68" t="n"/>
      <c r="F138" s="59">
        <f>IF(OR(E138="",D138=""),"",MAX(E138-D138,0))</f>
        <v/>
      </c>
      <c r="G138" s="59">
        <f>IF(F138="","",IF(N(C138)=0,1,C138))</f>
        <v/>
      </c>
      <c r="H138" s="53" t="n">
        <v>118</v>
      </c>
      <c r="I138" s="67" t="n"/>
      <c r="J138" s="55" t="n"/>
      <c r="K138" s="68" t="n"/>
      <c r="L138" s="68" t="n"/>
      <c r="M138" s="59">
        <f>IF(OR(L138="",K138=""),"",MAX(L138-K138,0))</f>
        <v/>
      </c>
      <c r="N138" s="59">
        <f>IF(M138="","",IF(N(J138)=0,1,J138))</f>
        <v/>
      </c>
    </row>
    <row r="139">
      <c r="A139" s="53" t="n">
        <v>119</v>
      </c>
      <c r="B139" s="67" t="n"/>
      <c r="C139" s="55" t="n"/>
      <c r="D139" s="68" t="n"/>
      <c r="E139" s="68" t="n"/>
      <c r="F139" s="59">
        <f>IF(OR(E139="",D139=""),"",MAX(E139-D139,0))</f>
        <v/>
      </c>
      <c r="G139" s="59">
        <f>IF(F139="","",IF(N(C139)=0,1,C139))</f>
        <v/>
      </c>
      <c r="H139" s="53" t="n">
        <v>119</v>
      </c>
      <c r="I139" s="67" t="n"/>
      <c r="J139" s="55" t="n"/>
      <c r="K139" s="68" t="n"/>
      <c r="L139" s="68" t="n"/>
      <c r="M139" s="59">
        <f>IF(OR(L139="",K139=""),"",MAX(L139-K139,0))</f>
        <v/>
      </c>
      <c r="N139" s="59">
        <f>IF(M139="","",IF(N(J139)=0,1,J139))</f>
        <v/>
      </c>
    </row>
    <row r="140">
      <c r="A140" s="53" t="n">
        <v>120</v>
      </c>
      <c r="B140" s="67" t="n"/>
      <c r="C140" s="55" t="n"/>
      <c r="D140" s="68" t="n"/>
      <c r="E140" s="68" t="n"/>
      <c r="F140" s="59">
        <f>IF(OR(E140="",D140=""),"",MAX(E140-D140,0))</f>
        <v/>
      </c>
      <c r="G140" s="59">
        <f>IF(F140="","",IF(N(C140)=0,1,C140))</f>
        <v/>
      </c>
      <c r="H140" s="53" t="n">
        <v>120</v>
      </c>
      <c r="I140" s="67" t="n"/>
      <c r="J140" s="55" t="n"/>
      <c r="K140" s="68" t="n"/>
      <c r="L140" s="68" t="n"/>
      <c r="M140" s="59">
        <f>IF(OR(L140="",K140=""),"",MAX(L140-K140,0))</f>
        <v/>
      </c>
      <c r="N140" s="59">
        <f>IF(M140="","",IF(N(J140)=0,1,J140))</f>
        <v/>
      </c>
    </row>
    <row r="141">
      <c r="A141" s="53" t="n">
        <v>121</v>
      </c>
      <c r="B141" s="67" t="n"/>
      <c r="C141" s="55" t="n"/>
      <c r="D141" s="68" t="n"/>
      <c r="E141" s="68" t="n"/>
      <c r="F141" s="59">
        <f>IF(OR(E141="",D141=""),"",MAX(E141-D141,0))</f>
        <v/>
      </c>
      <c r="G141" s="59">
        <f>IF(F141="","",IF(N(C141)=0,1,C141))</f>
        <v/>
      </c>
      <c r="H141" s="53" t="n">
        <v>121</v>
      </c>
      <c r="I141" s="67" t="n"/>
      <c r="J141" s="55" t="n"/>
      <c r="K141" s="68" t="n"/>
      <c r="L141" s="68" t="n"/>
      <c r="M141" s="59">
        <f>IF(OR(L141="",K141=""),"",MAX(L141-K141,0))</f>
        <v/>
      </c>
      <c r="N141" s="59">
        <f>IF(M141="","",IF(N(J141)=0,1,J141))</f>
        <v/>
      </c>
    </row>
    <row r="142">
      <c r="A142" s="53" t="n">
        <v>122</v>
      </c>
      <c r="B142" s="67" t="n"/>
      <c r="C142" s="55" t="n"/>
      <c r="D142" s="68" t="n"/>
      <c r="E142" s="68" t="n"/>
      <c r="F142" s="59">
        <f>IF(OR(E142="",D142=""),"",MAX(E142-D142,0))</f>
        <v/>
      </c>
      <c r="G142" s="59">
        <f>IF(F142="","",IF(N(C142)=0,1,C142))</f>
        <v/>
      </c>
      <c r="H142" s="53" t="n">
        <v>122</v>
      </c>
      <c r="I142" s="67" t="n"/>
      <c r="J142" s="55" t="n"/>
      <c r="K142" s="68" t="n"/>
      <c r="L142" s="68" t="n"/>
      <c r="M142" s="59">
        <f>IF(OR(L142="",K142=""),"",MAX(L142-K142,0))</f>
        <v/>
      </c>
      <c r="N142" s="59">
        <f>IF(M142="","",IF(N(J142)=0,1,J142))</f>
        <v/>
      </c>
    </row>
    <row r="143">
      <c r="A143" s="53" t="n">
        <v>123</v>
      </c>
      <c r="B143" s="67" t="n"/>
      <c r="C143" s="55" t="n"/>
      <c r="D143" s="68" t="n"/>
      <c r="E143" s="68" t="n"/>
      <c r="F143" s="59">
        <f>IF(OR(E143="",D143=""),"",MAX(E143-D143,0))</f>
        <v/>
      </c>
      <c r="G143" s="59">
        <f>IF(F143="","",IF(N(C143)=0,1,C143))</f>
        <v/>
      </c>
      <c r="H143" s="53" t="n">
        <v>123</v>
      </c>
      <c r="I143" s="67" t="n"/>
      <c r="J143" s="55" t="n"/>
      <c r="K143" s="68" t="n"/>
      <c r="L143" s="68" t="n"/>
      <c r="M143" s="59">
        <f>IF(OR(L143="",K143=""),"",MAX(L143-K143,0))</f>
        <v/>
      </c>
      <c r="N143" s="59">
        <f>IF(M143="","",IF(N(J143)=0,1,J143))</f>
        <v/>
      </c>
    </row>
    <row r="144">
      <c r="A144" s="53" t="n">
        <v>124</v>
      </c>
      <c r="B144" s="67" t="n"/>
      <c r="C144" s="55" t="n"/>
      <c r="D144" s="68" t="n"/>
      <c r="E144" s="68" t="n"/>
      <c r="F144" s="59">
        <f>IF(OR(E144="",D144=""),"",MAX(E144-D144,0))</f>
        <v/>
      </c>
      <c r="G144" s="59">
        <f>IF(F144="","",IF(N(C144)=0,1,C144))</f>
        <v/>
      </c>
      <c r="H144" s="53" t="n">
        <v>124</v>
      </c>
      <c r="I144" s="67" t="n"/>
      <c r="J144" s="55" t="n"/>
      <c r="K144" s="68" t="n"/>
      <c r="L144" s="68" t="n"/>
      <c r="M144" s="59">
        <f>IF(OR(L144="",K144=""),"",MAX(L144-K144,0))</f>
        <v/>
      </c>
      <c r="N144" s="59">
        <f>IF(M144="","",IF(N(J144)=0,1,J144))</f>
        <v/>
      </c>
    </row>
    <row r="145">
      <c r="A145" s="53" t="n">
        <v>125</v>
      </c>
      <c r="B145" s="67" t="n"/>
      <c r="C145" s="55" t="n"/>
      <c r="D145" s="68" t="n"/>
      <c r="E145" s="68" t="n"/>
      <c r="F145" s="59">
        <f>IF(OR(E145="",D145=""),"",MAX(E145-D145,0))</f>
        <v/>
      </c>
      <c r="G145" s="59">
        <f>IF(F145="","",IF(N(C145)=0,1,C145))</f>
        <v/>
      </c>
      <c r="H145" s="53" t="n">
        <v>125</v>
      </c>
      <c r="I145" s="67" t="n"/>
      <c r="J145" s="55" t="n"/>
      <c r="K145" s="68" t="n"/>
      <c r="L145" s="68" t="n"/>
      <c r="M145" s="59">
        <f>IF(OR(L145="",K145=""),"",MAX(L145-K145,0))</f>
        <v/>
      </c>
      <c r="N145" s="59">
        <f>IF(M145="","",IF(N(J145)=0,1,J145))</f>
        <v/>
      </c>
    </row>
    <row r="146">
      <c r="A146" s="53" t="n">
        <v>126</v>
      </c>
      <c r="B146" s="67" t="n"/>
      <c r="C146" s="55" t="n"/>
      <c r="D146" s="68" t="n"/>
      <c r="E146" s="68" t="n"/>
      <c r="F146" s="59">
        <f>IF(OR(E146="",D146=""),"",MAX(E146-D146,0))</f>
        <v/>
      </c>
      <c r="G146" s="59">
        <f>IF(F146="","",IF(N(C146)=0,1,C146))</f>
        <v/>
      </c>
      <c r="H146" s="53" t="n">
        <v>126</v>
      </c>
      <c r="I146" s="67" t="n"/>
      <c r="J146" s="55" t="n"/>
      <c r="K146" s="68" t="n"/>
      <c r="L146" s="68" t="n"/>
      <c r="M146" s="59">
        <f>IF(OR(L146="",K146=""),"",MAX(L146-K146,0))</f>
        <v/>
      </c>
      <c r="N146" s="59">
        <f>IF(M146="","",IF(N(J146)=0,1,J146))</f>
        <v/>
      </c>
    </row>
    <row r="147">
      <c r="A147" s="53" t="n">
        <v>127</v>
      </c>
      <c r="B147" s="67" t="n"/>
      <c r="C147" s="55" t="n"/>
      <c r="D147" s="68" t="n"/>
      <c r="E147" s="68" t="n"/>
      <c r="F147" s="59">
        <f>IF(OR(E147="",D147=""),"",MAX(E147-D147,0))</f>
        <v/>
      </c>
      <c r="G147" s="59">
        <f>IF(F147="","",IF(N(C147)=0,1,C147))</f>
        <v/>
      </c>
      <c r="H147" s="53" t="n">
        <v>127</v>
      </c>
      <c r="I147" s="67" t="n"/>
      <c r="J147" s="55" t="n"/>
      <c r="K147" s="68" t="n"/>
      <c r="L147" s="68" t="n"/>
      <c r="M147" s="59">
        <f>IF(OR(L147="",K147=""),"",MAX(L147-K147,0))</f>
        <v/>
      </c>
      <c r="N147" s="59">
        <f>IF(M147="","",IF(N(J147)=0,1,J147))</f>
        <v/>
      </c>
    </row>
    <row r="148">
      <c r="A148" s="53" t="n">
        <v>128</v>
      </c>
      <c r="B148" s="67" t="n"/>
      <c r="C148" s="55" t="n"/>
      <c r="D148" s="68" t="n"/>
      <c r="E148" s="68" t="n"/>
      <c r="F148" s="59">
        <f>IF(OR(E148="",D148=""),"",MAX(E148-D148,0))</f>
        <v/>
      </c>
      <c r="G148" s="59">
        <f>IF(F148="","",IF(N(C148)=0,1,C148))</f>
        <v/>
      </c>
      <c r="H148" s="53" t="n">
        <v>128</v>
      </c>
      <c r="I148" s="67" t="n"/>
      <c r="J148" s="55" t="n"/>
      <c r="K148" s="68" t="n"/>
      <c r="L148" s="68" t="n"/>
      <c r="M148" s="59">
        <f>IF(OR(L148="",K148=""),"",MAX(L148-K148,0))</f>
        <v/>
      </c>
      <c r="N148" s="59">
        <f>IF(M148="","",IF(N(J148)=0,1,J148))</f>
        <v/>
      </c>
    </row>
    <row r="149">
      <c r="A149" s="53" t="n">
        <v>129</v>
      </c>
      <c r="B149" s="67" t="n"/>
      <c r="C149" s="55" t="n"/>
      <c r="D149" s="68" t="n"/>
      <c r="E149" s="68" t="n"/>
      <c r="F149" s="59">
        <f>IF(OR(E149="",D149=""),"",MAX(E149-D149,0))</f>
        <v/>
      </c>
      <c r="G149" s="59">
        <f>IF(F149="","",IF(N(C149)=0,1,C149))</f>
        <v/>
      </c>
      <c r="H149" s="53" t="n">
        <v>129</v>
      </c>
      <c r="I149" s="67" t="n"/>
      <c r="J149" s="55" t="n"/>
      <c r="K149" s="68" t="n"/>
      <c r="L149" s="68" t="n"/>
      <c r="M149" s="59">
        <f>IF(OR(L149="",K149=""),"",MAX(L149-K149,0))</f>
        <v/>
      </c>
      <c r="N149" s="59">
        <f>IF(M149="","",IF(N(J149)=0,1,J149))</f>
        <v/>
      </c>
    </row>
    <row r="150">
      <c r="A150" s="53" t="n">
        <v>130</v>
      </c>
      <c r="B150" s="67" t="n"/>
      <c r="C150" s="55" t="n"/>
      <c r="D150" s="68" t="n"/>
      <c r="E150" s="68" t="n"/>
      <c r="F150" s="59">
        <f>IF(OR(E150="",D150=""),"",MAX(E150-D150,0))</f>
        <v/>
      </c>
      <c r="G150" s="59">
        <f>IF(F150="","",IF(N(C150)=0,1,C150))</f>
        <v/>
      </c>
      <c r="H150" s="53" t="n">
        <v>130</v>
      </c>
      <c r="I150" s="67" t="n"/>
      <c r="J150" s="55" t="n"/>
      <c r="K150" s="68" t="n"/>
      <c r="L150" s="68" t="n"/>
      <c r="M150" s="59">
        <f>IF(OR(L150="",K150=""),"",MAX(L150-K150,0))</f>
        <v/>
      </c>
      <c r="N150" s="59">
        <f>IF(M150="","",IF(N(J150)=0,1,J150))</f>
        <v/>
      </c>
    </row>
    <row r="151">
      <c r="A151" s="53" t="n">
        <v>131</v>
      </c>
      <c r="B151" s="67" t="n"/>
      <c r="C151" s="55" t="n"/>
      <c r="D151" s="68" t="n"/>
      <c r="E151" s="68" t="n"/>
      <c r="F151" s="59">
        <f>IF(OR(E151="",D151=""),"",MAX(E151-D151,0))</f>
        <v/>
      </c>
      <c r="G151" s="59">
        <f>IF(F151="","",IF(N(C151)=0,1,C151))</f>
        <v/>
      </c>
      <c r="H151" s="53" t="n">
        <v>131</v>
      </c>
      <c r="I151" s="67" t="n"/>
      <c r="J151" s="55" t="n"/>
      <c r="K151" s="68" t="n"/>
      <c r="L151" s="68" t="n"/>
      <c r="M151" s="59">
        <f>IF(OR(L151="",K151=""),"",MAX(L151-K151,0))</f>
        <v/>
      </c>
      <c r="N151" s="59">
        <f>IF(M151="","",IF(N(J151)=0,1,J151))</f>
        <v/>
      </c>
    </row>
    <row r="152">
      <c r="A152" s="53" t="n">
        <v>132</v>
      </c>
      <c r="B152" s="67" t="n"/>
      <c r="C152" s="55" t="n"/>
      <c r="D152" s="68" t="n"/>
      <c r="E152" s="68" t="n"/>
      <c r="F152" s="59">
        <f>IF(OR(E152="",D152=""),"",MAX(E152-D152,0))</f>
        <v/>
      </c>
      <c r="G152" s="59">
        <f>IF(F152="","",IF(N(C152)=0,1,C152))</f>
        <v/>
      </c>
      <c r="H152" s="53" t="n">
        <v>132</v>
      </c>
      <c r="I152" s="67" t="n"/>
      <c r="J152" s="55" t="n"/>
      <c r="K152" s="68" t="n"/>
      <c r="L152" s="68" t="n"/>
      <c r="M152" s="59">
        <f>IF(OR(L152="",K152=""),"",MAX(L152-K152,0))</f>
        <v/>
      </c>
      <c r="N152" s="59">
        <f>IF(M152="","",IF(N(J152)=0,1,J152))</f>
        <v/>
      </c>
    </row>
    <row r="153">
      <c r="A153" s="53" t="n">
        <v>133</v>
      </c>
      <c r="B153" s="67" t="n"/>
      <c r="C153" s="55" t="n"/>
      <c r="D153" s="68" t="n"/>
      <c r="E153" s="68" t="n"/>
      <c r="F153" s="59">
        <f>IF(OR(E153="",D153=""),"",MAX(E153-D153,0))</f>
        <v/>
      </c>
      <c r="G153" s="59">
        <f>IF(F153="","",IF(N(C153)=0,1,C153))</f>
        <v/>
      </c>
      <c r="H153" s="53" t="n">
        <v>133</v>
      </c>
      <c r="I153" s="67" t="n"/>
      <c r="J153" s="55" t="n"/>
      <c r="K153" s="68" t="n"/>
      <c r="L153" s="68" t="n"/>
      <c r="M153" s="59">
        <f>IF(OR(L153="",K153=""),"",MAX(L153-K153,0))</f>
        <v/>
      </c>
      <c r="N153" s="59">
        <f>IF(M153="","",IF(N(J153)=0,1,J153))</f>
        <v/>
      </c>
    </row>
    <row r="154">
      <c r="A154" s="53" t="n">
        <v>134</v>
      </c>
      <c r="B154" s="67" t="n"/>
      <c r="C154" s="55" t="n"/>
      <c r="D154" s="68" t="n"/>
      <c r="E154" s="68" t="n"/>
      <c r="F154" s="59">
        <f>IF(OR(E154="",D154=""),"",MAX(E154-D154,0))</f>
        <v/>
      </c>
      <c r="G154" s="59">
        <f>IF(F154="","",IF(N(C154)=0,1,C154))</f>
        <v/>
      </c>
      <c r="H154" s="53" t="n">
        <v>134</v>
      </c>
      <c r="I154" s="67" t="n"/>
      <c r="J154" s="55" t="n"/>
      <c r="K154" s="68" t="n"/>
      <c r="L154" s="68" t="n"/>
      <c r="M154" s="59">
        <f>IF(OR(L154="",K154=""),"",MAX(L154-K154,0))</f>
        <v/>
      </c>
      <c r="N154" s="59">
        <f>IF(M154="","",IF(N(J154)=0,1,J154))</f>
        <v/>
      </c>
    </row>
    <row r="155">
      <c r="A155" s="53" t="n">
        <v>135</v>
      </c>
      <c r="B155" s="67" t="n"/>
      <c r="C155" s="55" t="n"/>
      <c r="D155" s="68" t="n"/>
      <c r="E155" s="68" t="n"/>
      <c r="F155" s="59">
        <f>IF(OR(E155="",D155=""),"",MAX(E155-D155,0))</f>
        <v/>
      </c>
      <c r="G155" s="59">
        <f>IF(F155="","",IF(N(C155)=0,1,C155))</f>
        <v/>
      </c>
      <c r="H155" s="53" t="n">
        <v>135</v>
      </c>
      <c r="I155" s="67" t="n"/>
      <c r="J155" s="55" t="n"/>
      <c r="K155" s="68" t="n"/>
      <c r="L155" s="68" t="n"/>
      <c r="M155" s="59">
        <f>IF(OR(L155="",K155=""),"",MAX(L155-K155,0))</f>
        <v/>
      </c>
      <c r="N155" s="59">
        <f>IF(M155="","",IF(N(J155)=0,1,J155))</f>
        <v/>
      </c>
    </row>
    <row r="156">
      <c r="A156" s="53" t="n">
        <v>136</v>
      </c>
      <c r="B156" s="67" t="n"/>
      <c r="C156" s="55" t="n"/>
      <c r="D156" s="68" t="n"/>
      <c r="E156" s="68" t="n"/>
      <c r="F156" s="59">
        <f>IF(OR(E156="",D156=""),"",MAX(E156-D156,0))</f>
        <v/>
      </c>
      <c r="G156" s="59">
        <f>IF(F156="","",IF(N(C156)=0,1,C156))</f>
        <v/>
      </c>
      <c r="H156" s="53" t="n">
        <v>136</v>
      </c>
      <c r="I156" s="67" t="n"/>
      <c r="J156" s="55" t="n"/>
      <c r="K156" s="68" t="n"/>
      <c r="L156" s="68" t="n"/>
      <c r="M156" s="59">
        <f>IF(OR(L156="",K156=""),"",MAX(L156-K156,0))</f>
        <v/>
      </c>
      <c r="N156" s="59">
        <f>IF(M156="","",IF(N(J156)=0,1,J156))</f>
        <v/>
      </c>
    </row>
    <row r="157">
      <c r="A157" s="53" t="n">
        <v>137</v>
      </c>
      <c r="B157" s="67" t="n"/>
      <c r="C157" s="55" t="n"/>
      <c r="D157" s="68" t="n"/>
      <c r="E157" s="68" t="n"/>
      <c r="F157" s="59">
        <f>IF(OR(E157="",D157=""),"",MAX(E157-D157,0))</f>
        <v/>
      </c>
      <c r="G157" s="59">
        <f>IF(F157="","",IF(N(C157)=0,1,C157))</f>
        <v/>
      </c>
      <c r="H157" s="53" t="n">
        <v>137</v>
      </c>
      <c r="I157" s="67" t="n"/>
      <c r="J157" s="55" t="n"/>
      <c r="K157" s="68" t="n"/>
      <c r="L157" s="68" t="n"/>
      <c r="M157" s="59">
        <f>IF(OR(L157="",K157=""),"",MAX(L157-K157,0))</f>
        <v/>
      </c>
      <c r="N157" s="59">
        <f>IF(M157="","",IF(N(J157)=0,1,J157))</f>
        <v/>
      </c>
    </row>
    <row r="158">
      <c r="A158" s="53" t="n">
        <v>138</v>
      </c>
      <c r="B158" s="67" t="n"/>
      <c r="C158" s="55" t="n"/>
      <c r="D158" s="68" t="n"/>
      <c r="E158" s="68" t="n"/>
      <c r="F158" s="59">
        <f>IF(OR(E158="",D158=""),"",MAX(E158-D158,0))</f>
        <v/>
      </c>
      <c r="G158" s="59">
        <f>IF(F158="","",IF(N(C158)=0,1,C158))</f>
        <v/>
      </c>
      <c r="H158" s="53" t="n">
        <v>138</v>
      </c>
      <c r="I158" s="67" t="n"/>
      <c r="J158" s="55" t="n"/>
      <c r="K158" s="68" t="n"/>
      <c r="L158" s="68" t="n"/>
      <c r="M158" s="59">
        <f>IF(OR(L158="",K158=""),"",MAX(L158-K158,0))</f>
        <v/>
      </c>
      <c r="N158" s="59">
        <f>IF(M158="","",IF(N(J158)=0,1,J158))</f>
        <v/>
      </c>
    </row>
    <row r="159">
      <c r="A159" s="53" t="n">
        <v>139</v>
      </c>
      <c r="B159" s="67" t="n"/>
      <c r="C159" s="55" t="n"/>
      <c r="D159" s="68" t="n"/>
      <c r="E159" s="68" t="n"/>
      <c r="F159" s="59">
        <f>IF(OR(E159="",D159=""),"",MAX(E159-D159,0))</f>
        <v/>
      </c>
      <c r="G159" s="59">
        <f>IF(F159="","",IF(N(C159)=0,1,C159))</f>
        <v/>
      </c>
      <c r="H159" s="53" t="n">
        <v>139</v>
      </c>
      <c r="I159" s="67" t="n"/>
      <c r="J159" s="55" t="n"/>
      <c r="K159" s="68" t="n"/>
      <c r="L159" s="68" t="n"/>
      <c r="M159" s="59">
        <f>IF(OR(L159="",K159=""),"",MAX(L159-K159,0))</f>
        <v/>
      </c>
      <c r="N159" s="59">
        <f>IF(M159="","",IF(N(J159)=0,1,J159))</f>
        <v/>
      </c>
    </row>
    <row r="160">
      <c r="A160" s="53" t="n">
        <v>140</v>
      </c>
      <c r="B160" s="67" t="n"/>
      <c r="C160" s="55" t="n"/>
      <c r="D160" s="68" t="n"/>
      <c r="E160" s="68" t="n"/>
      <c r="F160" s="59">
        <f>IF(OR(E160="",D160=""),"",MAX(E160-D160,0))</f>
        <v/>
      </c>
      <c r="G160" s="59">
        <f>IF(F160="","",IF(N(C160)=0,1,C160))</f>
        <v/>
      </c>
      <c r="H160" s="53" t="n">
        <v>140</v>
      </c>
      <c r="I160" s="67" t="n"/>
      <c r="J160" s="55" t="n"/>
      <c r="K160" s="68" t="n"/>
      <c r="L160" s="68" t="n"/>
      <c r="M160" s="59">
        <f>IF(OR(L160="",K160=""),"",MAX(L160-K160,0))</f>
        <v/>
      </c>
      <c r="N160" s="59">
        <f>IF(M160="","",IF(N(J160)=0,1,J160))</f>
        <v/>
      </c>
    </row>
    <row r="161">
      <c r="A161" s="53" t="n">
        <v>141</v>
      </c>
      <c r="B161" s="67" t="n"/>
      <c r="C161" s="55" t="n"/>
      <c r="D161" s="68" t="n"/>
      <c r="E161" s="68" t="n"/>
      <c r="F161" s="59">
        <f>IF(OR(E161="",D161=""),"",MAX(E161-D161,0))</f>
        <v/>
      </c>
      <c r="G161" s="59">
        <f>IF(F161="","",IF(N(C161)=0,1,C161))</f>
        <v/>
      </c>
      <c r="H161" s="53" t="n">
        <v>141</v>
      </c>
      <c r="I161" s="67" t="n"/>
      <c r="J161" s="55" t="n"/>
      <c r="K161" s="68" t="n"/>
      <c r="L161" s="68" t="n"/>
      <c r="M161" s="59">
        <f>IF(OR(L161="",K161=""),"",MAX(L161-K161,0))</f>
        <v/>
      </c>
      <c r="N161" s="59">
        <f>IF(M161="","",IF(N(J161)=0,1,J161))</f>
        <v/>
      </c>
    </row>
    <row r="162">
      <c r="A162" s="53" t="n">
        <v>142</v>
      </c>
      <c r="B162" s="67" t="n"/>
      <c r="C162" s="55" t="n"/>
      <c r="D162" s="68" t="n"/>
      <c r="E162" s="68" t="n"/>
      <c r="F162" s="59">
        <f>IF(OR(E162="",D162=""),"",MAX(E162-D162,0))</f>
        <v/>
      </c>
      <c r="G162" s="59">
        <f>IF(F162="","",IF(N(C162)=0,1,C162))</f>
        <v/>
      </c>
      <c r="H162" s="53" t="n">
        <v>142</v>
      </c>
      <c r="I162" s="67" t="n"/>
      <c r="J162" s="55" t="n"/>
      <c r="K162" s="68" t="n"/>
      <c r="L162" s="68" t="n"/>
      <c r="M162" s="59">
        <f>IF(OR(L162="",K162=""),"",MAX(L162-K162,0))</f>
        <v/>
      </c>
      <c r="N162" s="59">
        <f>IF(M162="","",IF(N(J162)=0,1,J162))</f>
        <v/>
      </c>
    </row>
    <row r="163">
      <c r="A163" s="53" t="n">
        <v>143</v>
      </c>
      <c r="B163" s="67" t="n"/>
      <c r="C163" s="55" t="n"/>
      <c r="D163" s="68" t="n"/>
      <c r="E163" s="68" t="n"/>
      <c r="F163" s="59">
        <f>IF(OR(E163="",D163=""),"",MAX(E163-D163,0))</f>
        <v/>
      </c>
      <c r="G163" s="59">
        <f>IF(F163="","",IF(N(C163)=0,1,C163))</f>
        <v/>
      </c>
      <c r="H163" s="53" t="n">
        <v>143</v>
      </c>
      <c r="I163" s="67" t="n"/>
      <c r="J163" s="55" t="n"/>
      <c r="K163" s="68" t="n"/>
      <c r="L163" s="68" t="n"/>
      <c r="M163" s="59">
        <f>IF(OR(L163="",K163=""),"",MAX(L163-K163,0))</f>
        <v/>
      </c>
      <c r="N163" s="59">
        <f>IF(M163="","",IF(N(J163)=0,1,J163))</f>
        <v/>
      </c>
    </row>
    <row r="164">
      <c r="A164" s="53" t="n">
        <v>144</v>
      </c>
      <c r="B164" s="67" t="n"/>
      <c r="C164" s="55" t="n"/>
      <c r="D164" s="68" t="n"/>
      <c r="E164" s="68" t="n"/>
      <c r="F164" s="59">
        <f>IF(OR(E164="",D164=""),"",MAX(E164-D164,0))</f>
        <v/>
      </c>
      <c r="G164" s="59">
        <f>IF(F164="","",IF(N(C164)=0,1,C164))</f>
        <v/>
      </c>
      <c r="H164" s="53" t="n">
        <v>144</v>
      </c>
      <c r="I164" s="67" t="n"/>
      <c r="J164" s="55" t="n"/>
      <c r="K164" s="68" t="n"/>
      <c r="L164" s="68" t="n"/>
      <c r="M164" s="59">
        <f>IF(OR(L164="",K164=""),"",MAX(L164-K164,0))</f>
        <v/>
      </c>
      <c r="N164" s="59">
        <f>IF(M164="","",IF(N(J164)=0,1,J164))</f>
        <v/>
      </c>
    </row>
    <row r="165">
      <c r="A165" s="53" t="n">
        <v>145</v>
      </c>
      <c r="B165" s="67" t="n"/>
      <c r="C165" s="55" t="n"/>
      <c r="D165" s="68" t="n"/>
      <c r="E165" s="68" t="n"/>
      <c r="F165" s="59">
        <f>IF(OR(E165="",D165=""),"",MAX(E165-D165,0))</f>
        <v/>
      </c>
      <c r="G165" s="59">
        <f>IF(F165="","",IF(N(C165)=0,1,C165))</f>
        <v/>
      </c>
      <c r="H165" s="53" t="n">
        <v>145</v>
      </c>
      <c r="I165" s="67" t="n"/>
      <c r="J165" s="55" t="n"/>
      <c r="K165" s="68" t="n"/>
      <c r="L165" s="68" t="n"/>
      <c r="M165" s="59">
        <f>IF(OR(L165="",K165=""),"",MAX(L165-K165,0))</f>
        <v/>
      </c>
      <c r="N165" s="59">
        <f>IF(M165="","",IF(N(J165)=0,1,J165))</f>
        <v/>
      </c>
    </row>
    <row r="166">
      <c r="A166" s="53" t="n">
        <v>146</v>
      </c>
      <c r="B166" s="67" t="n"/>
      <c r="C166" s="55" t="n"/>
      <c r="D166" s="68" t="n"/>
      <c r="E166" s="68" t="n"/>
      <c r="F166" s="59">
        <f>IF(OR(E166="",D166=""),"",MAX(E166-D166,0))</f>
        <v/>
      </c>
      <c r="G166" s="59">
        <f>IF(F166="","",IF(N(C166)=0,1,C166))</f>
        <v/>
      </c>
      <c r="H166" s="53" t="n">
        <v>146</v>
      </c>
      <c r="I166" s="67" t="n"/>
      <c r="J166" s="55" t="n"/>
      <c r="K166" s="68" t="n"/>
      <c r="L166" s="68" t="n"/>
      <c r="M166" s="59">
        <f>IF(OR(L166="",K166=""),"",MAX(L166-K166,0))</f>
        <v/>
      </c>
      <c r="N166" s="59">
        <f>IF(M166="","",IF(N(J166)=0,1,J166))</f>
        <v/>
      </c>
    </row>
    <row r="167">
      <c r="A167" s="53" t="n">
        <v>147</v>
      </c>
      <c r="B167" s="67" t="n"/>
      <c r="C167" s="55" t="n"/>
      <c r="D167" s="68" t="n"/>
      <c r="E167" s="68" t="n"/>
      <c r="F167" s="59">
        <f>IF(OR(E167="",D167=""),"",MAX(E167-D167,0))</f>
        <v/>
      </c>
      <c r="G167" s="59">
        <f>IF(F167="","",IF(N(C167)=0,1,C167))</f>
        <v/>
      </c>
      <c r="H167" s="53" t="n">
        <v>147</v>
      </c>
      <c r="I167" s="67" t="n"/>
      <c r="J167" s="55" t="n"/>
      <c r="K167" s="68" t="n"/>
      <c r="L167" s="68" t="n"/>
      <c r="M167" s="59">
        <f>IF(OR(L167="",K167=""),"",MAX(L167-K167,0))</f>
        <v/>
      </c>
      <c r="N167" s="59">
        <f>IF(M167="","",IF(N(J167)=0,1,J167))</f>
        <v/>
      </c>
    </row>
    <row r="168">
      <c r="A168" s="53" t="n">
        <v>148</v>
      </c>
      <c r="B168" s="67" t="n"/>
      <c r="C168" s="55" t="n"/>
      <c r="D168" s="68" t="n"/>
      <c r="E168" s="68" t="n"/>
      <c r="F168" s="59">
        <f>IF(OR(E168="",D168=""),"",MAX(E168-D168,0))</f>
        <v/>
      </c>
      <c r="G168" s="59">
        <f>IF(F168="","",IF(N(C168)=0,1,C168))</f>
        <v/>
      </c>
      <c r="H168" s="53" t="n">
        <v>148</v>
      </c>
      <c r="I168" s="67" t="n"/>
      <c r="J168" s="55" t="n"/>
      <c r="K168" s="68" t="n"/>
      <c r="L168" s="68" t="n"/>
      <c r="M168" s="59">
        <f>IF(OR(L168="",K168=""),"",MAX(L168-K168,0))</f>
        <v/>
      </c>
      <c r="N168" s="59">
        <f>IF(M168="","",IF(N(J168)=0,1,J168))</f>
        <v/>
      </c>
    </row>
    <row r="169">
      <c r="A169" s="53" t="n">
        <v>149</v>
      </c>
      <c r="B169" s="67" t="n"/>
      <c r="C169" s="55" t="n"/>
      <c r="D169" s="68" t="n"/>
      <c r="E169" s="68" t="n"/>
      <c r="F169" s="59">
        <f>IF(OR(E169="",D169=""),"",MAX(E169-D169,0))</f>
        <v/>
      </c>
      <c r="G169" s="59">
        <f>IF(F169="","",IF(N(C169)=0,1,C169))</f>
        <v/>
      </c>
      <c r="H169" s="53" t="n">
        <v>149</v>
      </c>
      <c r="I169" s="67" t="n"/>
      <c r="J169" s="55" t="n"/>
      <c r="K169" s="68" t="n"/>
      <c r="L169" s="68" t="n"/>
      <c r="M169" s="59">
        <f>IF(OR(L169="",K169=""),"",MAX(L169-K169,0))</f>
        <v/>
      </c>
      <c r="N169" s="59">
        <f>IF(M169="","",IF(N(J169)=0,1,J169))</f>
        <v/>
      </c>
    </row>
    <row r="170">
      <c r="A170" s="53" t="n">
        <v>150</v>
      </c>
      <c r="B170" s="67" t="n"/>
      <c r="C170" s="55" t="n"/>
      <c r="D170" s="68" t="n"/>
      <c r="E170" s="68" t="n"/>
      <c r="F170" s="59">
        <f>IF(OR(E170="",D170=""),"",MAX(E170-D170,0))</f>
        <v/>
      </c>
      <c r="G170" s="59">
        <f>IF(F170="","",IF(N(C170)=0,1,C170))</f>
        <v/>
      </c>
      <c r="H170" s="53" t="n">
        <v>150</v>
      </c>
      <c r="I170" s="67" t="n"/>
      <c r="J170" s="55" t="n"/>
      <c r="K170" s="68" t="n"/>
      <c r="L170" s="68" t="n"/>
      <c r="M170" s="59">
        <f>IF(OR(L170="",K170=""),"",MAX(L170-K170,0))</f>
        <v/>
      </c>
      <c r="N170" s="59">
        <f>IF(M170="","",IF(N(J170)=0,1,J170))</f>
        <v/>
      </c>
    </row>
    <row r="171">
      <c r="A171" s="53" t="n">
        <v>151</v>
      </c>
      <c r="B171" s="67" t="n"/>
      <c r="C171" s="55" t="n"/>
      <c r="D171" s="68" t="n"/>
      <c r="E171" s="68" t="n"/>
      <c r="F171" s="59">
        <f>IF(OR(E171="",D171=""),"",MAX(E171-D171,0))</f>
        <v/>
      </c>
      <c r="G171" s="59">
        <f>IF(F171="","",IF(N(C171)=0,1,C171))</f>
        <v/>
      </c>
      <c r="H171" s="53" t="n">
        <v>151</v>
      </c>
      <c r="I171" s="67" t="n"/>
      <c r="J171" s="55" t="n"/>
      <c r="K171" s="68" t="n"/>
      <c r="L171" s="68" t="n"/>
      <c r="M171" s="59">
        <f>IF(OR(L171="",K171=""),"",MAX(L171-K171,0))</f>
        <v/>
      </c>
      <c r="N171" s="59">
        <f>IF(M171="","",IF(N(J171)=0,1,J171))</f>
        <v/>
      </c>
    </row>
    <row r="172">
      <c r="A172" s="53" t="n">
        <v>152</v>
      </c>
      <c r="B172" s="67" t="n"/>
      <c r="C172" s="55" t="n"/>
      <c r="D172" s="68" t="n"/>
      <c r="E172" s="68" t="n"/>
      <c r="F172" s="59">
        <f>IF(OR(E172="",D172=""),"",MAX(E172-D172,0))</f>
        <v/>
      </c>
      <c r="G172" s="59">
        <f>IF(F172="","",IF(N(C172)=0,1,C172))</f>
        <v/>
      </c>
      <c r="H172" s="53" t="n">
        <v>152</v>
      </c>
      <c r="I172" s="67" t="n"/>
      <c r="J172" s="55" t="n"/>
      <c r="K172" s="68" t="n"/>
      <c r="L172" s="68" t="n"/>
      <c r="M172" s="59">
        <f>IF(OR(L172="",K172=""),"",MAX(L172-K172,0))</f>
        <v/>
      </c>
      <c r="N172" s="59">
        <f>IF(M172="","",IF(N(J172)=0,1,J172))</f>
        <v/>
      </c>
    </row>
    <row r="173">
      <c r="A173" s="53" t="n">
        <v>153</v>
      </c>
      <c r="B173" s="67" t="n"/>
      <c r="C173" s="55" t="n"/>
      <c r="D173" s="68" t="n"/>
      <c r="E173" s="68" t="n"/>
      <c r="F173" s="59">
        <f>IF(OR(E173="",D173=""),"",MAX(E173-D173,0))</f>
        <v/>
      </c>
      <c r="G173" s="59">
        <f>IF(F173="","",IF(N(C173)=0,1,C173))</f>
        <v/>
      </c>
      <c r="H173" s="53" t="n">
        <v>153</v>
      </c>
      <c r="I173" s="67" t="n"/>
      <c r="J173" s="55" t="n"/>
      <c r="K173" s="68" t="n"/>
      <c r="L173" s="68" t="n"/>
      <c r="M173" s="59">
        <f>IF(OR(L173="",K173=""),"",MAX(L173-K173,0))</f>
        <v/>
      </c>
      <c r="N173" s="59">
        <f>IF(M173="","",IF(N(J173)=0,1,J173))</f>
        <v/>
      </c>
    </row>
    <row r="174">
      <c r="A174" s="53" t="n">
        <v>154</v>
      </c>
      <c r="B174" s="67" t="n"/>
      <c r="C174" s="55" t="n"/>
      <c r="D174" s="68" t="n"/>
      <c r="E174" s="68" t="n"/>
      <c r="F174" s="59">
        <f>IF(OR(E174="",D174=""),"",MAX(E174-D174,0))</f>
        <v/>
      </c>
      <c r="G174" s="59">
        <f>IF(F174="","",IF(N(C174)=0,1,C174))</f>
        <v/>
      </c>
      <c r="H174" s="53" t="n">
        <v>154</v>
      </c>
      <c r="I174" s="67" t="n"/>
      <c r="J174" s="55" t="n"/>
      <c r="K174" s="68" t="n"/>
      <c r="L174" s="68" t="n"/>
      <c r="M174" s="59">
        <f>IF(OR(L174="",K174=""),"",MAX(L174-K174,0))</f>
        <v/>
      </c>
      <c r="N174" s="59">
        <f>IF(M174="","",IF(N(J174)=0,1,J174))</f>
        <v/>
      </c>
    </row>
    <row r="175">
      <c r="A175" s="53" t="n">
        <v>155</v>
      </c>
      <c r="B175" s="67" t="n"/>
      <c r="C175" s="55" t="n"/>
      <c r="D175" s="68" t="n"/>
      <c r="E175" s="68" t="n"/>
      <c r="F175" s="59">
        <f>IF(OR(E175="",D175=""),"",MAX(E175-D175,0))</f>
        <v/>
      </c>
      <c r="G175" s="59">
        <f>IF(F175="","",IF(N(C175)=0,1,C175))</f>
        <v/>
      </c>
      <c r="H175" s="53" t="n">
        <v>155</v>
      </c>
      <c r="I175" s="67" t="n"/>
      <c r="J175" s="55" t="n"/>
      <c r="K175" s="68" t="n"/>
      <c r="L175" s="68" t="n"/>
      <c r="M175" s="59">
        <f>IF(OR(L175="",K175=""),"",MAX(L175-K175,0))</f>
        <v/>
      </c>
      <c r="N175" s="59">
        <f>IF(M175="","",IF(N(J175)=0,1,J175))</f>
        <v/>
      </c>
    </row>
    <row r="176">
      <c r="A176" s="53" t="n">
        <v>156</v>
      </c>
      <c r="B176" s="67" t="n"/>
      <c r="C176" s="55" t="n"/>
      <c r="D176" s="68" t="n"/>
      <c r="E176" s="68" t="n"/>
      <c r="F176" s="59">
        <f>IF(OR(E176="",D176=""),"",MAX(E176-D176,0))</f>
        <v/>
      </c>
      <c r="G176" s="59">
        <f>IF(F176="","",IF(N(C176)=0,1,C176))</f>
        <v/>
      </c>
      <c r="H176" s="53" t="n">
        <v>156</v>
      </c>
      <c r="I176" s="67" t="n"/>
      <c r="J176" s="55" t="n"/>
      <c r="K176" s="68" t="n"/>
      <c r="L176" s="68" t="n"/>
      <c r="M176" s="59">
        <f>IF(OR(L176="",K176=""),"",MAX(L176-K176,0))</f>
        <v/>
      </c>
      <c r="N176" s="59">
        <f>IF(M176="","",IF(N(J176)=0,1,J176))</f>
        <v/>
      </c>
    </row>
    <row r="177">
      <c r="A177" s="53" t="n">
        <v>157</v>
      </c>
      <c r="B177" s="67" t="n"/>
      <c r="C177" s="55" t="n"/>
      <c r="D177" s="68" t="n"/>
      <c r="E177" s="68" t="n"/>
      <c r="F177" s="59">
        <f>IF(OR(E177="",D177=""),"",MAX(E177-D177,0))</f>
        <v/>
      </c>
      <c r="G177" s="59">
        <f>IF(F177="","",IF(N(C177)=0,1,C177))</f>
        <v/>
      </c>
      <c r="H177" s="53" t="n">
        <v>157</v>
      </c>
      <c r="I177" s="67" t="n"/>
      <c r="J177" s="55" t="n"/>
      <c r="K177" s="68" t="n"/>
      <c r="L177" s="68" t="n"/>
      <c r="M177" s="59">
        <f>IF(OR(L177="",K177=""),"",MAX(L177-K177,0))</f>
        <v/>
      </c>
      <c r="N177" s="59">
        <f>IF(M177="","",IF(N(J177)=0,1,J177))</f>
        <v/>
      </c>
    </row>
    <row r="178">
      <c r="A178" s="53" t="n">
        <v>158</v>
      </c>
      <c r="B178" s="67" t="n"/>
      <c r="C178" s="55" t="n"/>
      <c r="D178" s="68" t="n"/>
      <c r="E178" s="68" t="n"/>
      <c r="F178" s="59">
        <f>IF(OR(E178="",D178=""),"",MAX(E178-D178,0))</f>
        <v/>
      </c>
      <c r="G178" s="59">
        <f>IF(F178="","",IF(N(C178)=0,1,C178))</f>
        <v/>
      </c>
      <c r="H178" s="53" t="n">
        <v>158</v>
      </c>
      <c r="I178" s="67" t="n"/>
      <c r="J178" s="55" t="n"/>
      <c r="K178" s="68" t="n"/>
      <c r="L178" s="68" t="n"/>
      <c r="M178" s="59">
        <f>IF(OR(L178="",K178=""),"",MAX(L178-K178,0))</f>
        <v/>
      </c>
      <c r="N178" s="59">
        <f>IF(M178="","",IF(N(J178)=0,1,J178))</f>
        <v/>
      </c>
    </row>
    <row r="179">
      <c r="A179" s="53" t="n">
        <v>159</v>
      </c>
      <c r="B179" s="67" t="n"/>
      <c r="C179" s="55" t="n"/>
      <c r="D179" s="68" t="n"/>
      <c r="E179" s="68" t="n"/>
      <c r="F179" s="59">
        <f>IF(OR(E179="",D179=""),"",MAX(E179-D179,0))</f>
        <v/>
      </c>
      <c r="G179" s="59">
        <f>IF(F179="","",IF(N(C179)=0,1,C179))</f>
        <v/>
      </c>
      <c r="H179" s="53" t="n">
        <v>159</v>
      </c>
      <c r="I179" s="67" t="n"/>
      <c r="J179" s="55" t="n"/>
      <c r="K179" s="68" t="n"/>
      <c r="L179" s="68" t="n"/>
      <c r="M179" s="59">
        <f>IF(OR(L179="",K179=""),"",MAX(L179-K179,0))</f>
        <v/>
      </c>
      <c r="N179" s="59">
        <f>IF(M179="","",IF(N(J179)=0,1,J179))</f>
        <v/>
      </c>
    </row>
    <row r="180">
      <c r="A180" s="53" t="n">
        <v>160</v>
      </c>
      <c r="B180" s="67" t="n"/>
      <c r="C180" s="55" t="n"/>
      <c r="D180" s="68" t="n"/>
      <c r="E180" s="68" t="n"/>
      <c r="F180" s="59">
        <f>IF(OR(E180="",D180=""),"",MAX(E180-D180,0))</f>
        <v/>
      </c>
      <c r="G180" s="59">
        <f>IF(F180="","",IF(N(C180)=0,1,C180))</f>
        <v/>
      </c>
      <c r="H180" s="53" t="n">
        <v>160</v>
      </c>
      <c r="I180" s="67" t="n"/>
      <c r="J180" s="55" t="n"/>
      <c r="K180" s="68" t="n"/>
      <c r="L180" s="68" t="n"/>
      <c r="M180" s="59">
        <f>IF(OR(L180="",K180=""),"",MAX(L180-K180,0))</f>
        <v/>
      </c>
      <c r="N180" s="59">
        <f>IF(M180="","",IF(N(J180)=0,1,J180))</f>
        <v/>
      </c>
    </row>
    <row r="181">
      <c r="A181" s="53" t="n">
        <v>161</v>
      </c>
      <c r="B181" s="67" t="n"/>
      <c r="C181" s="55" t="n"/>
      <c r="D181" s="68" t="n"/>
      <c r="E181" s="68" t="n"/>
      <c r="F181" s="59">
        <f>IF(OR(E181="",D181=""),"",MAX(E181-D181,0))</f>
        <v/>
      </c>
      <c r="G181" s="59">
        <f>IF(F181="","",IF(N(C181)=0,1,C181))</f>
        <v/>
      </c>
      <c r="H181" s="53" t="n">
        <v>161</v>
      </c>
      <c r="I181" s="67" t="n"/>
      <c r="J181" s="55" t="n"/>
      <c r="K181" s="68" t="n"/>
      <c r="L181" s="68" t="n"/>
      <c r="M181" s="59">
        <f>IF(OR(L181="",K181=""),"",MAX(L181-K181,0))</f>
        <v/>
      </c>
      <c r="N181" s="59">
        <f>IF(M181="","",IF(N(J181)=0,1,J181))</f>
        <v/>
      </c>
    </row>
    <row r="182">
      <c r="A182" s="53" t="n">
        <v>162</v>
      </c>
      <c r="B182" s="67" t="n"/>
      <c r="C182" s="55" t="n"/>
      <c r="D182" s="68" t="n"/>
      <c r="E182" s="68" t="n"/>
      <c r="F182" s="59">
        <f>IF(OR(E182="",D182=""),"",MAX(E182-D182,0))</f>
        <v/>
      </c>
      <c r="G182" s="59">
        <f>IF(F182="","",IF(N(C182)=0,1,C182))</f>
        <v/>
      </c>
      <c r="H182" s="53" t="n">
        <v>162</v>
      </c>
      <c r="I182" s="67" t="n"/>
      <c r="J182" s="55" t="n"/>
      <c r="K182" s="68" t="n"/>
      <c r="L182" s="68" t="n"/>
      <c r="M182" s="59">
        <f>IF(OR(L182="",K182=""),"",MAX(L182-K182,0))</f>
        <v/>
      </c>
      <c r="N182" s="59">
        <f>IF(M182="","",IF(N(J182)=0,1,J182))</f>
        <v/>
      </c>
    </row>
    <row r="183">
      <c r="A183" s="53" t="n">
        <v>163</v>
      </c>
      <c r="B183" s="67" t="n"/>
      <c r="C183" s="55" t="n"/>
      <c r="D183" s="68" t="n"/>
      <c r="E183" s="68" t="n"/>
      <c r="F183" s="59">
        <f>IF(OR(E183="",D183=""),"",MAX(E183-D183,0))</f>
        <v/>
      </c>
      <c r="G183" s="59">
        <f>IF(F183="","",IF(N(C183)=0,1,C183))</f>
        <v/>
      </c>
      <c r="H183" s="53" t="n">
        <v>163</v>
      </c>
      <c r="I183" s="67" t="n"/>
      <c r="J183" s="55" t="n"/>
      <c r="K183" s="68" t="n"/>
      <c r="L183" s="68" t="n"/>
      <c r="M183" s="59">
        <f>IF(OR(L183="",K183=""),"",MAX(L183-K183,0))</f>
        <v/>
      </c>
      <c r="N183" s="59">
        <f>IF(M183="","",IF(N(J183)=0,1,J183))</f>
        <v/>
      </c>
    </row>
    <row r="184">
      <c r="A184" s="53" t="n">
        <v>164</v>
      </c>
      <c r="B184" s="67" t="n"/>
      <c r="C184" s="55" t="n"/>
      <c r="D184" s="68" t="n"/>
      <c r="E184" s="68" t="n"/>
      <c r="F184" s="59">
        <f>IF(OR(E184="",D184=""),"",MAX(E184-D184,0))</f>
        <v/>
      </c>
      <c r="G184" s="59">
        <f>IF(F184="","",IF(N(C184)=0,1,C184))</f>
        <v/>
      </c>
      <c r="H184" s="53" t="n">
        <v>164</v>
      </c>
      <c r="I184" s="67" t="n"/>
      <c r="J184" s="55" t="n"/>
      <c r="K184" s="68" t="n"/>
      <c r="L184" s="68" t="n"/>
      <c r="M184" s="59">
        <f>IF(OR(L184="",K184=""),"",MAX(L184-K184,0))</f>
        <v/>
      </c>
      <c r="N184" s="59">
        <f>IF(M184="","",IF(N(J184)=0,1,J184))</f>
        <v/>
      </c>
    </row>
    <row r="185">
      <c r="A185" s="53" t="n">
        <v>165</v>
      </c>
      <c r="B185" s="67" t="n"/>
      <c r="C185" s="55" t="n"/>
      <c r="D185" s="68" t="n"/>
      <c r="E185" s="68" t="n"/>
      <c r="F185" s="59">
        <f>IF(OR(E185="",D185=""),"",MAX(E185-D185,0))</f>
        <v/>
      </c>
      <c r="G185" s="59">
        <f>IF(F185="","",IF(N(C185)=0,1,C185))</f>
        <v/>
      </c>
      <c r="H185" s="53" t="n">
        <v>165</v>
      </c>
      <c r="I185" s="67" t="n"/>
      <c r="J185" s="55" t="n"/>
      <c r="K185" s="68" t="n"/>
      <c r="L185" s="68" t="n"/>
      <c r="M185" s="59">
        <f>IF(OR(L185="",K185=""),"",MAX(L185-K185,0))</f>
        <v/>
      </c>
      <c r="N185" s="59">
        <f>IF(M185="","",IF(N(J185)=0,1,J185))</f>
        <v/>
      </c>
    </row>
    <row r="186">
      <c r="A186" s="53" t="n">
        <v>166</v>
      </c>
      <c r="B186" s="67" t="n"/>
      <c r="C186" s="55" t="n"/>
      <c r="D186" s="68" t="n"/>
      <c r="E186" s="68" t="n"/>
      <c r="F186" s="59">
        <f>IF(OR(E186="",D186=""),"",MAX(E186-D186,0))</f>
        <v/>
      </c>
      <c r="G186" s="59">
        <f>IF(F186="","",IF(N(C186)=0,1,C186))</f>
        <v/>
      </c>
      <c r="H186" s="53" t="n">
        <v>166</v>
      </c>
      <c r="I186" s="67" t="n"/>
      <c r="J186" s="55" t="n"/>
      <c r="K186" s="68" t="n"/>
      <c r="L186" s="68" t="n"/>
      <c r="M186" s="59">
        <f>IF(OR(L186="",K186=""),"",MAX(L186-K186,0))</f>
        <v/>
      </c>
      <c r="N186" s="59">
        <f>IF(M186="","",IF(N(J186)=0,1,J186))</f>
        <v/>
      </c>
    </row>
    <row r="187">
      <c r="A187" s="53" t="n">
        <v>167</v>
      </c>
      <c r="B187" s="67" t="n"/>
      <c r="C187" s="55" t="n"/>
      <c r="D187" s="68" t="n"/>
      <c r="E187" s="68" t="n"/>
      <c r="F187" s="59">
        <f>IF(OR(E187="",D187=""),"",MAX(E187-D187,0))</f>
        <v/>
      </c>
      <c r="G187" s="59">
        <f>IF(F187="","",IF(N(C187)=0,1,C187))</f>
        <v/>
      </c>
      <c r="H187" s="53" t="n">
        <v>167</v>
      </c>
      <c r="I187" s="67" t="n"/>
      <c r="J187" s="55" t="n"/>
      <c r="K187" s="68" t="n"/>
      <c r="L187" s="68" t="n"/>
      <c r="M187" s="59">
        <f>IF(OR(L187="",K187=""),"",MAX(L187-K187,0))</f>
        <v/>
      </c>
      <c r="N187" s="59">
        <f>IF(M187="","",IF(N(J187)=0,1,J187))</f>
        <v/>
      </c>
    </row>
    <row r="188">
      <c r="A188" s="53" t="n">
        <v>168</v>
      </c>
      <c r="B188" s="67" t="n"/>
      <c r="C188" s="55" t="n"/>
      <c r="D188" s="68" t="n"/>
      <c r="E188" s="68" t="n"/>
      <c r="F188" s="59">
        <f>IF(OR(E188="",D188=""),"",MAX(E188-D188,0))</f>
        <v/>
      </c>
      <c r="G188" s="59">
        <f>IF(F188="","",IF(N(C188)=0,1,C188))</f>
        <v/>
      </c>
      <c r="H188" s="53" t="n">
        <v>168</v>
      </c>
      <c r="I188" s="67" t="n"/>
      <c r="J188" s="55" t="n"/>
      <c r="K188" s="68" t="n"/>
      <c r="L188" s="68" t="n"/>
      <c r="M188" s="59">
        <f>IF(OR(L188="",K188=""),"",MAX(L188-K188,0))</f>
        <v/>
      </c>
      <c r="N188" s="59">
        <f>IF(M188="","",IF(N(J188)=0,1,J188))</f>
        <v/>
      </c>
    </row>
    <row r="189">
      <c r="A189" s="53" t="n">
        <v>169</v>
      </c>
      <c r="B189" s="67" t="n"/>
      <c r="C189" s="55" t="n"/>
      <c r="D189" s="68" t="n"/>
      <c r="E189" s="68" t="n"/>
      <c r="F189" s="59">
        <f>IF(OR(E189="",D189=""),"",MAX(E189-D189,0))</f>
        <v/>
      </c>
      <c r="G189" s="59">
        <f>IF(F189="","",IF(N(C189)=0,1,C189))</f>
        <v/>
      </c>
      <c r="H189" s="53" t="n">
        <v>169</v>
      </c>
      <c r="I189" s="67" t="n"/>
      <c r="J189" s="55" t="n"/>
      <c r="K189" s="68" t="n"/>
      <c r="L189" s="68" t="n"/>
      <c r="M189" s="59">
        <f>IF(OR(L189="",K189=""),"",MAX(L189-K189,0))</f>
        <v/>
      </c>
      <c r="N189" s="59">
        <f>IF(M189="","",IF(N(J189)=0,1,J189))</f>
        <v/>
      </c>
    </row>
    <row r="190">
      <c r="A190" s="53" t="n">
        <v>170</v>
      </c>
      <c r="B190" s="67" t="n"/>
      <c r="C190" s="55" t="n"/>
      <c r="D190" s="68" t="n"/>
      <c r="E190" s="68" t="n"/>
      <c r="F190" s="59">
        <f>IF(OR(E190="",D190=""),"",MAX(E190-D190,0))</f>
        <v/>
      </c>
      <c r="G190" s="59">
        <f>IF(F190="","",IF(N(C190)=0,1,C190))</f>
        <v/>
      </c>
      <c r="H190" s="53" t="n">
        <v>170</v>
      </c>
      <c r="I190" s="67" t="n"/>
      <c r="J190" s="55" t="n"/>
      <c r="K190" s="68" t="n"/>
      <c r="L190" s="68" t="n"/>
      <c r="M190" s="59">
        <f>IF(OR(L190="",K190=""),"",MAX(L190-K190,0))</f>
        <v/>
      </c>
      <c r="N190" s="59">
        <f>IF(M190="","",IF(N(J190)=0,1,J190))</f>
        <v/>
      </c>
    </row>
    <row r="191">
      <c r="A191" s="53" t="n">
        <v>171</v>
      </c>
      <c r="B191" s="67" t="n"/>
      <c r="C191" s="55" t="n"/>
      <c r="D191" s="68" t="n"/>
      <c r="E191" s="68" t="n"/>
      <c r="F191" s="59">
        <f>IF(OR(E191="",D191=""),"",MAX(E191-D191,0))</f>
        <v/>
      </c>
      <c r="G191" s="59">
        <f>IF(F191="","",IF(N(C191)=0,1,C191))</f>
        <v/>
      </c>
      <c r="H191" s="53" t="n">
        <v>171</v>
      </c>
      <c r="I191" s="67" t="n"/>
      <c r="J191" s="55" t="n"/>
      <c r="K191" s="68" t="n"/>
      <c r="L191" s="68" t="n"/>
      <c r="M191" s="59">
        <f>IF(OR(L191="",K191=""),"",MAX(L191-K191,0))</f>
        <v/>
      </c>
      <c r="N191" s="59">
        <f>IF(M191="","",IF(N(J191)=0,1,J191))</f>
        <v/>
      </c>
    </row>
    <row r="192">
      <c r="A192" s="53" t="n">
        <v>172</v>
      </c>
      <c r="B192" s="67" t="n"/>
      <c r="C192" s="55" t="n"/>
      <c r="D192" s="68" t="n"/>
      <c r="E192" s="68" t="n"/>
      <c r="F192" s="59">
        <f>IF(OR(E192="",D192=""),"",MAX(E192-D192,0))</f>
        <v/>
      </c>
      <c r="G192" s="59">
        <f>IF(F192="","",IF(N(C192)=0,1,C192))</f>
        <v/>
      </c>
      <c r="H192" s="53" t="n">
        <v>172</v>
      </c>
      <c r="I192" s="67" t="n"/>
      <c r="J192" s="55" t="n"/>
      <c r="K192" s="68" t="n"/>
      <c r="L192" s="68" t="n"/>
      <c r="M192" s="59">
        <f>IF(OR(L192="",K192=""),"",MAX(L192-K192,0))</f>
        <v/>
      </c>
      <c r="N192" s="59">
        <f>IF(M192="","",IF(N(J192)=0,1,J192))</f>
        <v/>
      </c>
    </row>
    <row r="193">
      <c r="A193" s="53" t="n">
        <v>173</v>
      </c>
      <c r="B193" s="67" t="n"/>
      <c r="C193" s="55" t="n"/>
      <c r="D193" s="68" t="n"/>
      <c r="E193" s="68" t="n"/>
      <c r="F193" s="59">
        <f>IF(OR(E193="",D193=""),"",MAX(E193-D193,0))</f>
        <v/>
      </c>
      <c r="G193" s="59">
        <f>IF(F193="","",IF(N(C193)=0,1,C193))</f>
        <v/>
      </c>
      <c r="H193" s="53" t="n">
        <v>173</v>
      </c>
      <c r="I193" s="67" t="n"/>
      <c r="J193" s="55" t="n"/>
      <c r="K193" s="68" t="n"/>
      <c r="L193" s="68" t="n"/>
      <c r="M193" s="59">
        <f>IF(OR(L193="",K193=""),"",MAX(L193-K193,0))</f>
        <v/>
      </c>
      <c r="N193" s="59">
        <f>IF(M193="","",IF(N(J193)=0,1,J193))</f>
        <v/>
      </c>
    </row>
    <row r="194">
      <c r="A194" s="53" t="n">
        <v>174</v>
      </c>
      <c r="B194" s="67" t="n"/>
      <c r="C194" s="55" t="n"/>
      <c r="D194" s="68" t="n"/>
      <c r="E194" s="68" t="n"/>
      <c r="F194" s="59">
        <f>IF(OR(E194="",D194=""),"",MAX(E194-D194,0))</f>
        <v/>
      </c>
      <c r="G194" s="59">
        <f>IF(F194="","",IF(N(C194)=0,1,C194))</f>
        <v/>
      </c>
      <c r="H194" s="53" t="n">
        <v>174</v>
      </c>
      <c r="I194" s="67" t="n"/>
      <c r="J194" s="55" t="n"/>
      <c r="K194" s="68" t="n"/>
      <c r="L194" s="68" t="n"/>
      <c r="M194" s="59">
        <f>IF(OR(L194="",K194=""),"",MAX(L194-K194,0))</f>
        <v/>
      </c>
      <c r="N194" s="59">
        <f>IF(M194="","",IF(N(J194)=0,1,J194))</f>
        <v/>
      </c>
    </row>
    <row r="195">
      <c r="A195" s="53" t="n">
        <v>175</v>
      </c>
      <c r="B195" s="67" t="n"/>
      <c r="C195" s="55" t="n"/>
      <c r="D195" s="68" t="n"/>
      <c r="E195" s="68" t="n"/>
      <c r="F195" s="59">
        <f>IF(OR(E195="",D195=""),"",MAX(E195-D195,0))</f>
        <v/>
      </c>
      <c r="G195" s="59">
        <f>IF(F195="","",IF(N(C195)=0,1,C195))</f>
        <v/>
      </c>
      <c r="H195" s="53" t="n">
        <v>175</v>
      </c>
      <c r="I195" s="67" t="n"/>
      <c r="J195" s="55" t="n"/>
      <c r="K195" s="68" t="n"/>
      <c r="L195" s="68" t="n"/>
      <c r="M195" s="59">
        <f>IF(OR(L195="",K195=""),"",MAX(L195-K195,0))</f>
        <v/>
      </c>
      <c r="N195" s="59">
        <f>IF(M195="","",IF(N(J195)=0,1,J195))</f>
        <v/>
      </c>
    </row>
    <row r="196">
      <c r="A196" s="53" t="n">
        <v>176</v>
      </c>
      <c r="B196" s="67" t="n"/>
      <c r="C196" s="55" t="n"/>
      <c r="D196" s="68" t="n"/>
      <c r="E196" s="68" t="n"/>
      <c r="F196" s="59">
        <f>IF(OR(E196="",D196=""),"",MAX(E196-D196,0))</f>
        <v/>
      </c>
      <c r="G196" s="59">
        <f>IF(F196="","",IF(N(C196)=0,1,C196))</f>
        <v/>
      </c>
      <c r="H196" s="53" t="n">
        <v>176</v>
      </c>
      <c r="I196" s="67" t="n"/>
      <c r="J196" s="55" t="n"/>
      <c r="K196" s="68" t="n"/>
      <c r="L196" s="68" t="n"/>
      <c r="M196" s="59">
        <f>IF(OR(L196="",K196=""),"",MAX(L196-K196,0))</f>
        <v/>
      </c>
      <c r="N196" s="59">
        <f>IF(M196="","",IF(N(J196)=0,1,J196))</f>
        <v/>
      </c>
    </row>
    <row r="197">
      <c r="A197" s="53" t="n">
        <v>177</v>
      </c>
      <c r="B197" s="67" t="n"/>
      <c r="C197" s="55" t="n"/>
      <c r="D197" s="68" t="n"/>
      <c r="E197" s="68" t="n"/>
      <c r="F197" s="59">
        <f>IF(OR(E197="",D197=""),"",MAX(E197-D197,0))</f>
        <v/>
      </c>
      <c r="G197" s="59">
        <f>IF(F197="","",IF(N(C197)=0,1,C197))</f>
        <v/>
      </c>
      <c r="H197" s="53" t="n">
        <v>177</v>
      </c>
      <c r="I197" s="67" t="n"/>
      <c r="J197" s="55" t="n"/>
      <c r="K197" s="68" t="n"/>
      <c r="L197" s="68" t="n"/>
      <c r="M197" s="59">
        <f>IF(OR(L197="",K197=""),"",MAX(L197-K197,0))</f>
        <v/>
      </c>
      <c r="N197" s="59">
        <f>IF(M197="","",IF(N(J197)=0,1,J197))</f>
        <v/>
      </c>
    </row>
    <row r="198">
      <c r="A198" s="53" t="n">
        <v>178</v>
      </c>
      <c r="B198" s="67" t="n"/>
      <c r="C198" s="55" t="n"/>
      <c r="D198" s="68" t="n"/>
      <c r="E198" s="68" t="n"/>
      <c r="F198" s="59">
        <f>IF(OR(E198="",D198=""),"",MAX(E198-D198,0))</f>
        <v/>
      </c>
      <c r="G198" s="59">
        <f>IF(F198="","",IF(N(C198)=0,1,C198))</f>
        <v/>
      </c>
      <c r="H198" s="53" t="n">
        <v>178</v>
      </c>
      <c r="I198" s="67" t="n"/>
      <c r="J198" s="55" t="n"/>
      <c r="K198" s="68" t="n"/>
      <c r="L198" s="68" t="n"/>
      <c r="M198" s="59">
        <f>IF(OR(L198="",K198=""),"",MAX(L198-K198,0))</f>
        <v/>
      </c>
      <c r="N198" s="59">
        <f>IF(M198="","",IF(N(J198)=0,1,J198))</f>
        <v/>
      </c>
    </row>
    <row r="199">
      <c r="A199" s="53" t="n">
        <v>179</v>
      </c>
      <c r="B199" s="67" t="n"/>
      <c r="C199" s="55" t="n"/>
      <c r="D199" s="68" t="n"/>
      <c r="E199" s="68" t="n"/>
      <c r="F199" s="59">
        <f>IF(OR(E199="",D199=""),"",MAX(E199-D199,0))</f>
        <v/>
      </c>
      <c r="G199" s="59">
        <f>IF(F199="","",IF(N(C199)=0,1,C199))</f>
        <v/>
      </c>
      <c r="H199" s="53" t="n">
        <v>179</v>
      </c>
      <c r="I199" s="67" t="n"/>
      <c r="J199" s="55" t="n"/>
      <c r="K199" s="68" t="n"/>
      <c r="L199" s="68" t="n"/>
      <c r="M199" s="59">
        <f>IF(OR(L199="",K199=""),"",MAX(L199-K199,0))</f>
        <v/>
      </c>
      <c r="N199" s="59">
        <f>IF(M199="","",IF(N(J199)=0,1,J199))</f>
        <v/>
      </c>
    </row>
    <row r="200">
      <c r="A200" s="53" t="n">
        <v>180</v>
      </c>
      <c r="B200" s="67" t="n"/>
      <c r="C200" s="55" t="n"/>
      <c r="D200" s="68" t="n"/>
      <c r="E200" s="68" t="n"/>
      <c r="F200" s="59">
        <f>IF(OR(E200="",D200=""),"",MAX(E200-D200,0))</f>
        <v/>
      </c>
      <c r="G200" s="59">
        <f>IF(F200="","",IF(N(C200)=0,1,C200))</f>
        <v/>
      </c>
      <c r="H200" s="53" t="n">
        <v>180</v>
      </c>
      <c r="I200" s="67" t="n"/>
      <c r="J200" s="55" t="n"/>
      <c r="K200" s="68" t="n"/>
      <c r="L200" s="68" t="n"/>
      <c r="M200" s="59">
        <f>IF(OR(L200="",K200=""),"",MAX(L200-K200,0))</f>
        <v/>
      </c>
      <c r="N200" s="59">
        <f>IF(M200="","",IF(N(J200)=0,1,J200))</f>
        <v/>
      </c>
    </row>
    <row r="201">
      <c r="A201" s="53" t="n">
        <v>181</v>
      </c>
      <c r="B201" s="67" t="n"/>
      <c r="C201" s="55" t="n"/>
      <c r="D201" s="68" t="n"/>
      <c r="E201" s="68" t="n"/>
      <c r="F201" s="59">
        <f>IF(OR(E201="",D201=""),"",MAX(E201-D201,0))</f>
        <v/>
      </c>
      <c r="G201" s="59">
        <f>IF(F201="","",IF(N(C201)=0,1,C201))</f>
        <v/>
      </c>
      <c r="H201" s="53" t="n">
        <v>181</v>
      </c>
      <c r="I201" s="67" t="n"/>
      <c r="J201" s="55" t="n"/>
      <c r="K201" s="68" t="n"/>
      <c r="L201" s="68" t="n"/>
      <c r="M201" s="59">
        <f>IF(OR(L201="",K201=""),"",MAX(L201-K201,0))</f>
        <v/>
      </c>
      <c r="N201" s="59">
        <f>IF(M201="","",IF(N(J201)=0,1,J201))</f>
        <v/>
      </c>
    </row>
    <row r="202">
      <c r="A202" s="53" t="n">
        <v>182</v>
      </c>
      <c r="B202" s="67" t="n"/>
      <c r="C202" s="55" t="n"/>
      <c r="D202" s="68" t="n"/>
      <c r="E202" s="68" t="n"/>
      <c r="F202" s="59">
        <f>IF(OR(E202="",D202=""),"",MAX(E202-D202,0))</f>
        <v/>
      </c>
      <c r="G202" s="59">
        <f>IF(F202="","",IF(N(C202)=0,1,C202))</f>
        <v/>
      </c>
      <c r="H202" s="53" t="n">
        <v>182</v>
      </c>
      <c r="I202" s="67" t="n"/>
      <c r="J202" s="55" t="n"/>
      <c r="K202" s="68" t="n"/>
      <c r="L202" s="68" t="n"/>
      <c r="M202" s="59">
        <f>IF(OR(L202="",K202=""),"",MAX(L202-K202,0))</f>
        <v/>
      </c>
      <c r="N202" s="59">
        <f>IF(M202="","",IF(N(J202)=0,1,J202))</f>
        <v/>
      </c>
    </row>
    <row r="203">
      <c r="A203" s="53" t="n">
        <v>183</v>
      </c>
      <c r="B203" s="67" t="n"/>
      <c r="C203" s="55" t="n"/>
      <c r="D203" s="68" t="n"/>
      <c r="E203" s="68" t="n"/>
      <c r="F203" s="59">
        <f>IF(OR(E203="",D203=""),"",MAX(E203-D203,0))</f>
        <v/>
      </c>
      <c r="G203" s="59">
        <f>IF(F203="","",IF(N(C203)=0,1,C203))</f>
        <v/>
      </c>
      <c r="H203" s="53" t="n">
        <v>183</v>
      </c>
      <c r="I203" s="67" t="n"/>
      <c r="J203" s="55" t="n"/>
      <c r="K203" s="68" t="n"/>
      <c r="L203" s="68" t="n"/>
      <c r="M203" s="59">
        <f>IF(OR(L203="",K203=""),"",MAX(L203-K203,0))</f>
        <v/>
      </c>
      <c r="N203" s="59">
        <f>IF(M203="","",IF(N(J203)=0,1,J203))</f>
        <v/>
      </c>
    </row>
    <row r="204">
      <c r="A204" s="53" t="n">
        <v>184</v>
      </c>
      <c r="B204" s="67" t="n"/>
      <c r="C204" s="55" t="n"/>
      <c r="D204" s="68" t="n"/>
      <c r="E204" s="68" t="n"/>
      <c r="F204" s="59">
        <f>IF(OR(E204="",D204=""),"",MAX(E204-D204,0))</f>
        <v/>
      </c>
      <c r="G204" s="59">
        <f>IF(F204="","",IF(N(C204)=0,1,C204))</f>
        <v/>
      </c>
      <c r="H204" s="53" t="n">
        <v>184</v>
      </c>
      <c r="I204" s="67" t="n"/>
      <c r="J204" s="55" t="n"/>
      <c r="K204" s="68" t="n"/>
      <c r="L204" s="68" t="n"/>
      <c r="M204" s="59">
        <f>IF(OR(L204="",K204=""),"",MAX(L204-K204,0))</f>
        <v/>
      </c>
      <c r="N204" s="59">
        <f>IF(M204="","",IF(N(J204)=0,1,J204))</f>
        <v/>
      </c>
    </row>
    <row r="205">
      <c r="A205" s="53" t="n">
        <v>185</v>
      </c>
      <c r="B205" s="67" t="n"/>
      <c r="C205" s="55" t="n"/>
      <c r="D205" s="68" t="n"/>
      <c r="E205" s="68" t="n"/>
      <c r="F205" s="59">
        <f>IF(OR(E205="",D205=""),"",MAX(E205-D205,0))</f>
        <v/>
      </c>
      <c r="G205" s="59">
        <f>IF(F205="","",IF(N(C205)=0,1,C205))</f>
        <v/>
      </c>
      <c r="H205" s="53" t="n">
        <v>185</v>
      </c>
      <c r="I205" s="67" t="n"/>
      <c r="J205" s="55" t="n"/>
      <c r="K205" s="68" t="n"/>
      <c r="L205" s="68" t="n"/>
      <c r="M205" s="59">
        <f>IF(OR(L205="",K205=""),"",MAX(L205-K205,0))</f>
        <v/>
      </c>
      <c r="N205" s="59">
        <f>IF(M205="","",IF(N(J205)=0,1,J205))</f>
        <v/>
      </c>
    </row>
    <row r="206">
      <c r="A206" s="53" t="n">
        <v>186</v>
      </c>
      <c r="B206" s="67" t="n"/>
      <c r="C206" s="55" t="n"/>
      <c r="D206" s="68" t="n"/>
      <c r="E206" s="68" t="n"/>
      <c r="F206" s="59">
        <f>IF(OR(E206="",D206=""),"",MAX(E206-D206,0))</f>
        <v/>
      </c>
      <c r="G206" s="59">
        <f>IF(F206="","",IF(N(C206)=0,1,C206))</f>
        <v/>
      </c>
      <c r="H206" s="53" t="n">
        <v>186</v>
      </c>
      <c r="I206" s="67" t="n"/>
      <c r="J206" s="55" t="n"/>
      <c r="K206" s="68" t="n"/>
      <c r="L206" s="68" t="n"/>
      <c r="M206" s="59">
        <f>IF(OR(L206="",K206=""),"",MAX(L206-K206,0))</f>
        <v/>
      </c>
      <c r="N206" s="59">
        <f>IF(M206="","",IF(N(J206)=0,1,J206))</f>
        <v/>
      </c>
    </row>
    <row r="207">
      <c r="A207" s="53" t="n">
        <v>187</v>
      </c>
      <c r="B207" s="67" t="n"/>
      <c r="C207" s="55" t="n"/>
      <c r="D207" s="68" t="n"/>
      <c r="E207" s="68" t="n"/>
      <c r="F207" s="59">
        <f>IF(OR(E207="",D207=""),"",MAX(E207-D207,0))</f>
        <v/>
      </c>
      <c r="G207" s="59">
        <f>IF(F207="","",IF(N(C207)=0,1,C207))</f>
        <v/>
      </c>
      <c r="H207" s="53" t="n">
        <v>187</v>
      </c>
      <c r="I207" s="67" t="n"/>
      <c r="J207" s="55" t="n"/>
      <c r="K207" s="68" t="n"/>
      <c r="L207" s="68" t="n"/>
      <c r="M207" s="59">
        <f>IF(OR(L207="",K207=""),"",MAX(L207-K207,0))</f>
        <v/>
      </c>
      <c r="N207" s="59">
        <f>IF(M207="","",IF(N(J207)=0,1,J207))</f>
        <v/>
      </c>
    </row>
    <row r="208">
      <c r="A208" s="53" t="n">
        <v>188</v>
      </c>
      <c r="B208" s="67" t="n"/>
      <c r="C208" s="55" t="n"/>
      <c r="D208" s="68" t="n"/>
      <c r="E208" s="68" t="n"/>
      <c r="F208" s="59">
        <f>IF(OR(E208="",D208=""),"",MAX(E208-D208,0))</f>
        <v/>
      </c>
      <c r="G208" s="59">
        <f>IF(F208="","",IF(N(C208)=0,1,C208))</f>
        <v/>
      </c>
      <c r="H208" s="53" t="n">
        <v>188</v>
      </c>
      <c r="I208" s="67" t="n"/>
      <c r="J208" s="55" t="n"/>
      <c r="K208" s="68" t="n"/>
      <c r="L208" s="68" t="n"/>
      <c r="M208" s="59">
        <f>IF(OR(L208="",K208=""),"",MAX(L208-K208,0))</f>
        <v/>
      </c>
      <c r="N208" s="59">
        <f>IF(M208="","",IF(N(J208)=0,1,J208))</f>
        <v/>
      </c>
    </row>
    <row r="209">
      <c r="A209" s="53" t="n">
        <v>189</v>
      </c>
      <c r="B209" s="67" t="n"/>
      <c r="C209" s="55" t="n"/>
      <c r="D209" s="68" t="n"/>
      <c r="E209" s="68" t="n"/>
      <c r="F209" s="59">
        <f>IF(OR(E209="",D209=""),"",MAX(E209-D209,0))</f>
        <v/>
      </c>
      <c r="G209" s="59">
        <f>IF(F209="","",IF(N(C209)=0,1,C209))</f>
        <v/>
      </c>
      <c r="H209" s="53" t="n">
        <v>189</v>
      </c>
      <c r="I209" s="67" t="n"/>
      <c r="J209" s="55" t="n"/>
      <c r="K209" s="68" t="n"/>
      <c r="L209" s="68" t="n"/>
      <c r="M209" s="59">
        <f>IF(OR(L209="",K209=""),"",MAX(L209-K209,0))</f>
        <v/>
      </c>
      <c r="N209" s="59">
        <f>IF(M209="","",IF(N(J209)=0,1,J209))</f>
        <v/>
      </c>
    </row>
    <row r="210">
      <c r="A210" s="53" t="n">
        <v>190</v>
      </c>
      <c r="B210" s="67" t="n"/>
      <c r="C210" s="55" t="n"/>
      <c r="D210" s="68" t="n"/>
      <c r="E210" s="68" t="n"/>
      <c r="F210" s="59">
        <f>IF(OR(E210="",D210=""),"",MAX(E210-D210,0))</f>
        <v/>
      </c>
      <c r="G210" s="59">
        <f>IF(F210="","",IF(N(C210)=0,1,C210))</f>
        <v/>
      </c>
      <c r="H210" s="53" t="n">
        <v>190</v>
      </c>
      <c r="I210" s="67" t="n"/>
      <c r="J210" s="55" t="n"/>
      <c r="K210" s="68" t="n"/>
      <c r="L210" s="68" t="n"/>
      <c r="M210" s="59">
        <f>IF(OR(L210="",K210=""),"",MAX(L210-K210,0))</f>
        <v/>
      </c>
      <c r="N210" s="59">
        <f>IF(M210="","",IF(N(J210)=0,1,J210))</f>
        <v/>
      </c>
    </row>
    <row r="211">
      <c r="A211" s="53" t="n">
        <v>191</v>
      </c>
      <c r="B211" s="67" t="n"/>
      <c r="C211" s="55" t="n"/>
      <c r="D211" s="68" t="n"/>
      <c r="E211" s="68" t="n"/>
      <c r="F211" s="59">
        <f>IF(OR(E211="",D211=""),"",MAX(E211-D211,0))</f>
        <v/>
      </c>
      <c r="G211" s="59">
        <f>IF(F211="","",IF(N(C211)=0,1,C211))</f>
        <v/>
      </c>
      <c r="H211" s="53" t="n">
        <v>191</v>
      </c>
      <c r="I211" s="67" t="n"/>
      <c r="J211" s="55" t="n"/>
      <c r="K211" s="68" t="n"/>
      <c r="L211" s="68" t="n"/>
      <c r="M211" s="59">
        <f>IF(OR(L211="",K211=""),"",MAX(L211-K211,0))</f>
        <v/>
      </c>
      <c r="N211" s="59">
        <f>IF(M211="","",IF(N(J211)=0,1,J211))</f>
        <v/>
      </c>
    </row>
    <row r="212">
      <c r="A212" s="53" t="n">
        <v>192</v>
      </c>
      <c r="B212" s="67" t="n"/>
      <c r="C212" s="55" t="n"/>
      <c r="D212" s="68" t="n"/>
      <c r="E212" s="68" t="n"/>
      <c r="F212" s="59">
        <f>IF(OR(E212="",D212=""),"",MAX(E212-D212,0))</f>
        <v/>
      </c>
      <c r="G212" s="59">
        <f>IF(F212="","",IF(N(C212)=0,1,C212))</f>
        <v/>
      </c>
      <c r="H212" s="53" t="n">
        <v>192</v>
      </c>
      <c r="I212" s="67" t="n"/>
      <c r="J212" s="55" t="n"/>
      <c r="K212" s="68" t="n"/>
      <c r="L212" s="68" t="n"/>
      <c r="M212" s="59">
        <f>IF(OR(L212="",K212=""),"",MAX(L212-K212,0))</f>
        <v/>
      </c>
      <c r="N212" s="59">
        <f>IF(M212="","",IF(N(J212)=0,1,J212))</f>
        <v/>
      </c>
    </row>
    <row r="213">
      <c r="A213" s="53" t="n">
        <v>193</v>
      </c>
      <c r="B213" s="67" t="n"/>
      <c r="C213" s="55" t="n"/>
      <c r="D213" s="68" t="n"/>
      <c r="E213" s="68" t="n"/>
      <c r="F213" s="59">
        <f>IF(OR(E213="",D213=""),"",MAX(E213-D213,0))</f>
        <v/>
      </c>
      <c r="G213" s="59">
        <f>IF(F213="","",IF(N(C213)=0,1,C213))</f>
        <v/>
      </c>
      <c r="H213" s="53" t="n">
        <v>193</v>
      </c>
      <c r="I213" s="67" t="n"/>
      <c r="J213" s="55" t="n"/>
      <c r="K213" s="68" t="n"/>
      <c r="L213" s="68" t="n"/>
      <c r="M213" s="59">
        <f>IF(OR(L213="",K213=""),"",MAX(L213-K213,0))</f>
        <v/>
      </c>
      <c r="N213" s="59">
        <f>IF(M213="","",IF(N(J213)=0,1,J213))</f>
        <v/>
      </c>
    </row>
    <row r="214">
      <c r="A214" s="53" t="n">
        <v>194</v>
      </c>
      <c r="B214" s="67" t="n"/>
      <c r="C214" s="55" t="n"/>
      <c r="D214" s="68" t="n"/>
      <c r="E214" s="68" t="n"/>
      <c r="F214" s="59">
        <f>IF(OR(E214="",D214=""),"",MAX(E214-D214,0))</f>
        <v/>
      </c>
      <c r="G214" s="59">
        <f>IF(F214="","",IF(N(C214)=0,1,C214))</f>
        <v/>
      </c>
      <c r="H214" s="53" t="n">
        <v>194</v>
      </c>
      <c r="I214" s="67" t="n"/>
      <c r="J214" s="55" t="n"/>
      <c r="K214" s="68" t="n"/>
      <c r="L214" s="68" t="n"/>
      <c r="M214" s="59">
        <f>IF(OR(L214="",K214=""),"",MAX(L214-K214,0))</f>
        <v/>
      </c>
      <c r="N214" s="59">
        <f>IF(M214="","",IF(N(J214)=0,1,J214))</f>
        <v/>
      </c>
    </row>
    <row r="215">
      <c r="A215" s="53" t="n">
        <v>195</v>
      </c>
      <c r="B215" s="67" t="n"/>
      <c r="C215" s="55" t="n"/>
      <c r="D215" s="68" t="n"/>
      <c r="E215" s="68" t="n"/>
      <c r="F215" s="59">
        <f>IF(OR(E215="",D215=""),"",MAX(E215-D215,0))</f>
        <v/>
      </c>
      <c r="G215" s="59">
        <f>IF(F215="","",IF(N(C215)=0,1,C215))</f>
        <v/>
      </c>
      <c r="H215" s="53" t="n">
        <v>195</v>
      </c>
      <c r="I215" s="67" t="n"/>
      <c r="J215" s="55" t="n"/>
      <c r="K215" s="68" t="n"/>
      <c r="L215" s="68" t="n"/>
      <c r="M215" s="59">
        <f>IF(OR(L215="",K215=""),"",MAX(L215-K215,0))</f>
        <v/>
      </c>
      <c r="N215" s="59">
        <f>IF(M215="","",IF(N(J215)=0,1,J215))</f>
        <v/>
      </c>
    </row>
    <row r="216">
      <c r="A216" s="53" t="n">
        <v>196</v>
      </c>
      <c r="B216" s="67" t="n"/>
      <c r="C216" s="55" t="n"/>
      <c r="D216" s="68" t="n"/>
      <c r="E216" s="68" t="n"/>
      <c r="F216" s="59">
        <f>IF(OR(E216="",D216=""),"",MAX(E216-D216,0))</f>
        <v/>
      </c>
      <c r="G216" s="59">
        <f>IF(F216="","",IF(N(C216)=0,1,C216))</f>
        <v/>
      </c>
      <c r="H216" s="53" t="n">
        <v>196</v>
      </c>
      <c r="I216" s="67" t="n"/>
      <c r="J216" s="55" t="n"/>
      <c r="K216" s="68" t="n"/>
      <c r="L216" s="68" t="n"/>
      <c r="M216" s="59">
        <f>IF(OR(L216="",K216=""),"",MAX(L216-K216,0))</f>
        <v/>
      </c>
      <c r="N216" s="59">
        <f>IF(M216="","",IF(N(J216)=0,1,J216))</f>
        <v/>
      </c>
    </row>
    <row r="217">
      <c r="A217" s="53" t="n">
        <v>197</v>
      </c>
      <c r="B217" s="67" t="n"/>
      <c r="C217" s="55" t="n"/>
      <c r="D217" s="68" t="n"/>
      <c r="E217" s="68" t="n"/>
      <c r="F217" s="59">
        <f>IF(OR(E217="",D217=""),"",MAX(E217-D217,0))</f>
        <v/>
      </c>
      <c r="G217" s="59">
        <f>IF(F217="","",IF(N(C217)=0,1,C217))</f>
        <v/>
      </c>
      <c r="H217" s="53" t="n">
        <v>197</v>
      </c>
      <c r="I217" s="67" t="n"/>
      <c r="J217" s="55" t="n"/>
      <c r="K217" s="68" t="n"/>
      <c r="L217" s="68" t="n"/>
      <c r="M217" s="59">
        <f>IF(OR(L217="",K217=""),"",MAX(L217-K217,0))</f>
        <v/>
      </c>
      <c r="N217" s="59">
        <f>IF(M217="","",IF(N(J217)=0,1,J217))</f>
        <v/>
      </c>
    </row>
    <row r="218">
      <c r="A218" s="53" t="n">
        <v>198</v>
      </c>
      <c r="B218" s="67" t="n"/>
      <c r="C218" s="55" t="n"/>
      <c r="D218" s="68" t="n"/>
      <c r="E218" s="68" t="n"/>
      <c r="F218" s="59">
        <f>IF(OR(E218="",D218=""),"",MAX(E218-D218,0))</f>
        <v/>
      </c>
      <c r="G218" s="59">
        <f>IF(F218="","",IF(N(C218)=0,1,C218))</f>
        <v/>
      </c>
      <c r="H218" s="53" t="n">
        <v>198</v>
      </c>
      <c r="I218" s="67" t="n"/>
      <c r="J218" s="55" t="n"/>
      <c r="K218" s="68" t="n"/>
      <c r="L218" s="68" t="n"/>
      <c r="M218" s="59">
        <f>IF(OR(L218="",K218=""),"",MAX(L218-K218,0))</f>
        <v/>
      </c>
      <c r="N218" s="59">
        <f>IF(M218="","",IF(N(J218)=0,1,J218))</f>
        <v/>
      </c>
    </row>
    <row r="219">
      <c r="A219" s="53" t="n">
        <v>199</v>
      </c>
      <c r="B219" s="67" t="n"/>
      <c r="C219" s="55" t="n"/>
      <c r="D219" s="68" t="n"/>
      <c r="E219" s="68" t="n"/>
      <c r="F219" s="59">
        <f>IF(OR(E219="",D219=""),"",MAX(E219-D219,0))</f>
        <v/>
      </c>
      <c r="G219" s="59">
        <f>IF(F219="","",IF(N(C219)=0,1,C219))</f>
        <v/>
      </c>
      <c r="H219" s="53" t="n">
        <v>199</v>
      </c>
      <c r="I219" s="67" t="n"/>
      <c r="J219" s="55" t="n"/>
      <c r="K219" s="68" t="n"/>
      <c r="L219" s="68" t="n"/>
      <c r="M219" s="59">
        <f>IF(OR(L219="",K219=""),"",MAX(L219-K219,0))</f>
        <v/>
      </c>
      <c r="N219" s="59">
        <f>IF(M219="","",IF(N(J219)=0,1,J219))</f>
        <v/>
      </c>
    </row>
    <row r="220">
      <c r="A220" s="53" t="n">
        <v>200</v>
      </c>
      <c r="B220" s="67" t="n"/>
      <c r="C220" s="55" t="n"/>
      <c r="D220" s="68" t="n"/>
      <c r="E220" s="68" t="n"/>
      <c r="F220" s="59">
        <f>IF(OR(E220="",D220=""),"",MAX(E220-D220,0))</f>
        <v/>
      </c>
      <c r="G220" s="59">
        <f>IF(F220="","",IF(N(C220)=0,1,C220))</f>
        <v/>
      </c>
      <c r="H220" s="53" t="n">
        <v>200</v>
      </c>
      <c r="I220" s="67" t="n"/>
      <c r="J220" s="55" t="n"/>
      <c r="K220" s="68" t="n"/>
      <c r="L220" s="68" t="n"/>
      <c r="M220" s="59">
        <f>IF(OR(L220="",K220=""),"",MAX(L220-K220,0))</f>
        <v/>
      </c>
      <c r="N220" s="59">
        <f>IF(M220="","",IF(N(J220)=0,1,J220))</f>
        <v/>
      </c>
    </row>
    <row r="221">
      <c r="A221" s="53" t="n">
        <v>201</v>
      </c>
      <c r="B221" s="67" t="n"/>
      <c r="C221" s="55" t="n"/>
      <c r="D221" s="68" t="n"/>
      <c r="E221" s="68" t="n"/>
      <c r="F221" s="59">
        <f>IF(OR(E221="",D221=""),"",MAX(E221-D221,0))</f>
        <v/>
      </c>
      <c r="G221" s="59">
        <f>IF(F221="","",IF(N(C221)=0,1,C221))</f>
        <v/>
      </c>
      <c r="H221" s="53" t="n">
        <v>201</v>
      </c>
      <c r="I221" s="67" t="n"/>
      <c r="J221" s="55" t="n"/>
      <c r="K221" s="68" t="n"/>
      <c r="L221" s="68" t="n"/>
      <c r="M221" s="59">
        <f>IF(OR(L221="",K221=""),"",MAX(L221-K221,0))</f>
        <v/>
      </c>
      <c r="N221" s="59">
        <f>IF(M221="","",IF(N(J221)=0,1,J221))</f>
        <v/>
      </c>
    </row>
    <row r="222">
      <c r="A222" s="53" t="n">
        <v>202</v>
      </c>
      <c r="B222" s="67" t="n"/>
      <c r="C222" s="55" t="n"/>
      <c r="D222" s="68" t="n"/>
      <c r="E222" s="68" t="n"/>
      <c r="F222" s="59">
        <f>IF(OR(E222="",D222=""),"",MAX(E222-D222,0))</f>
        <v/>
      </c>
      <c r="G222" s="59">
        <f>IF(F222="","",IF(N(C222)=0,1,C222))</f>
        <v/>
      </c>
      <c r="H222" s="53" t="n">
        <v>202</v>
      </c>
      <c r="I222" s="67" t="n"/>
      <c r="J222" s="55" t="n"/>
      <c r="K222" s="68" t="n"/>
      <c r="L222" s="68" t="n"/>
      <c r="M222" s="59">
        <f>IF(OR(L222="",K222=""),"",MAX(L222-K222,0))</f>
        <v/>
      </c>
      <c r="N222" s="59">
        <f>IF(M222="","",IF(N(J222)=0,1,J222))</f>
        <v/>
      </c>
    </row>
    <row r="223">
      <c r="A223" s="53" t="n">
        <v>203</v>
      </c>
      <c r="B223" s="67" t="n"/>
      <c r="C223" s="55" t="n"/>
      <c r="D223" s="68" t="n"/>
      <c r="E223" s="68" t="n"/>
      <c r="F223" s="59">
        <f>IF(OR(E223="",D223=""),"",MAX(E223-D223,0))</f>
        <v/>
      </c>
      <c r="G223" s="59">
        <f>IF(F223="","",IF(N(C223)=0,1,C223))</f>
        <v/>
      </c>
      <c r="H223" s="53" t="n">
        <v>203</v>
      </c>
      <c r="I223" s="67" t="n"/>
      <c r="J223" s="55" t="n"/>
      <c r="K223" s="68" t="n"/>
      <c r="L223" s="68" t="n"/>
      <c r="M223" s="59">
        <f>IF(OR(L223="",K223=""),"",MAX(L223-K223,0))</f>
        <v/>
      </c>
      <c r="N223" s="59">
        <f>IF(M223="","",IF(N(J223)=0,1,J223))</f>
        <v/>
      </c>
    </row>
    <row r="224">
      <c r="A224" s="53" t="n">
        <v>204</v>
      </c>
      <c r="B224" s="67" t="n"/>
      <c r="C224" s="55" t="n"/>
      <c r="D224" s="68" t="n"/>
      <c r="E224" s="68" t="n"/>
      <c r="F224" s="59">
        <f>IF(OR(E224="",D224=""),"",MAX(E224-D224,0))</f>
        <v/>
      </c>
      <c r="G224" s="59">
        <f>IF(F224="","",IF(N(C224)=0,1,C224))</f>
        <v/>
      </c>
      <c r="H224" s="53" t="n">
        <v>204</v>
      </c>
      <c r="I224" s="67" t="n"/>
      <c r="J224" s="55" t="n"/>
      <c r="K224" s="68" t="n"/>
      <c r="L224" s="68" t="n"/>
      <c r="M224" s="59">
        <f>IF(OR(L224="",K224=""),"",MAX(L224-K224,0))</f>
        <v/>
      </c>
      <c r="N224" s="59">
        <f>IF(M224="","",IF(N(J224)=0,1,J224))</f>
        <v/>
      </c>
    </row>
    <row r="225">
      <c r="A225" s="53" t="n">
        <v>205</v>
      </c>
      <c r="B225" s="67" t="n"/>
      <c r="C225" s="55" t="n"/>
      <c r="D225" s="68" t="n"/>
      <c r="E225" s="68" t="n"/>
      <c r="F225" s="59">
        <f>IF(OR(E225="",D225=""),"",MAX(E225-D225,0))</f>
        <v/>
      </c>
      <c r="G225" s="59">
        <f>IF(F225="","",IF(N(C225)=0,1,C225))</f>
        <v/>
      </c>
      <c r="H225" s="53" t="n">
        <v>205</v>
      </c>
      <c r="I225" s="67" t="n"/>
      <c r="J225" s="55" t="n"/>
      <c r="K225" s="68" t="n"/>
      <c r="L225" s="68" t="n"/>
      <c r="M225" s="59">
        <f>IF(OR(L225="",K225=""),"",MAX(L225-K225,0))</f>
        <v/>
      </c>
      <c r="N225" s="59">
        <f>IF(M225="","",IF(N(J225)=0,1,J225))</f>
        <v/>
      </c>
    </row>
    <row r="226">
      <c r="A226" s="53" t="n">
        <v>206</v>
      </c>
      <c r="B226" s="67" t="n"/>
      <c r="C226" s="55" t="n"/>
      <c r="D226" s="68" t="n"/>
      <c r="E226" s="68" t="n"/>
      <c r="F226" s="59">
        <f>IF(OR(E226="",D226=""),"",MAX(E226-D226,0))</f>
        <v/>
      </c>
      <c r="G226" s="59">
        <f>IF(F226="","",IF(N(C226)=0,1,C226))</f>
        <v/>
      </c>
      <c r="H226" s="53" t="n">
        <v>206</v>
      </c>
      <c r="I226" s="67" t="n"/>
      <c r="J226" s="55" t="n"/>
      <c r="K226" s="68" t="n"/>
      <c r="L226" s="68" t="n"/>
      <c r="M226" s="59">
        <f>IF(OR(L226="",K226=""),"",MAX(L226-K226,0))</f>
        <v/>
      </c>
      <c r="N226" s="59">
        <f>IF(M226="","",IF(N(J226)=0,1,J226))</f>
        <v/>
      </c>
    </row>
    <row r="227">
      <c r="A227" s="53" t="n">
        <v>207</v>
      </c>
      <c r="B227" s="67" t="n"/>
      <c r="C227" s="55" t="n"/>
      <c r="D227" s="68" t="n"/>
      <c r="E227" s="68" t="n"/>
      <c r="F227" s="59">
        <f>IF(OR(E227="",D227=""),"",MAX(E227-D227,0))</f>
        <v/>
      </c>
      <c r="G227" s="59">
        <f>IF(F227="","",IF(N(C227)=0,1,C227))</f>
        <v/>
      </c>
      <c r="H227" s="53" t="n">
        <v>207</v>
      </c>
      <c r="I227" s="67" t="n"/>
      <c r="J227" s="55" t="n"/>
      <c r="K227" s="68" t="n"/>
      <c r="L227" s="68" t="n"/>
      <c r="M227" s="59">
        <f>IF(OR(L227="",K227=""),"",MAX(L227-K227,0))</f>
        <v/>
      </c>
      <c r="N227" s="59">
        <f>IF(M227="","",IF(N(J227)=0,1,J227))</f>
        <v/>
      </c>
    </row>
    <row r="228">
      <c r="A228" s="53" t="n">
        <v>208</v>
      </c>
      <c r="B228" s="67" t="n"/>
      <c r="C228" s="55" t="n"/>
      <c r="D228" s="68" t="n"/>
      <c r="E228" s="68" t="n"/>
      <c r="F228" s="59">
        <f>IF(OR(E228="",D228=""),"",MAX(E228-D228,0))</f>
        <v/>
      </c>
      <c r="G228" s="59">
        <f>IF(F228="","",IF(N(C228)=0,1,C228))</f>
        <v/>
      </c>
      <c r="H228" s="53" t="n">
        <v>208</v>
      </c>
      <c r="I228" s="67" t="n"/>
      <c r="J228" s="55" t="n"/>
      <c r="K228" s="68" t="n"/>
      <c r="L228" s="68" t="n"/>
      <c r="M228" s="59">
        <f>IF(OR(L228="",K228=""),"",MAX(L228-K228,0))</f>
        <v/>
      </c>
      <c r="N228" s="59">
        <f>IF(M228="","",IF(N(J228)=0,1,J228))</f>
        <v/>
      </c>
    </row>
    <row r="229">
      <c r="A229" s="53" t="n">
        <v>209</v>
      </c>
      <c r="B229" s="67" t="n"/>
      <c r="C229" s="55" t="n"/>
      <c r="D229" s="68" t="n"/>
      <c r="E229" s="68" t="n"/>
      <c r="F229" s="59">
        <f>IF(OR(E229="",D229=""),"",MAX(E229-D229,0))</f>
        <v/>
      </c>
      <c r="G229" s="59">
        <f>IF(F229="","",IF(N(C229)=0,1,C229))</f>
        <v/>
      </c>
      <c r="H229" s="53" t="n">
        <v>209</v>
      </c>
      <c r="I229" s="67" t="n"/>
      <c r="J229" s="55" t="n"/>
      <c r="K229" s="68" t="n"/>
      <c r="L229" s="68" t="n"/>
      <c r="M229" s="59">
        <f>IF(OR(L229="",K229=""),"",MAX(L229-K229,0))</f>
        <v/>
      </c>
      <c r="N229" s="59">
        <f>IF(M229="","",IF(N(J229)=0,1,J229))</f>
        <v/>
      </c>
    </row>
    <row r="230">
      <c r="A230" s="53" t="n">
        <v>210</v>
      </c>
      <c r="B230" s="67" t="n"/>
      <c r="C230" s="55" t="n"/>
      <c r="D230" s="68" t="n"/>
      <c r="E230" s="68" t="n"/>
      <c r="F230" s="59">
        <f>IF(OR(E230="",D230=""),"",MAX(E230-D230,0))</f>
        <v/>
      </c>
      <c r="G230" s="59">
        <f>IF(F230="","",IF(N(C230)=0,1,C230))</f>
        <v/>
      </c>
      <c r="H230" s="53" t="n">
        <v>210</v>
      </c>
      <c r="I230" s="67" t="n"/>
      <c r="J230" s="55" t="n"/>
      <c r="K230" s="68" t="n"/>
      <c r="L230" s="68" t="n"/>
      <c r="M230" s="59">
        <f>IF(OR(L230="",K230=""),"",MAX(L230-K230,0))</f>
        <v/>
      </c>
      <c r="N230" s="59">
        <f>IF(M230="","",IF(N(J230)=0,1,J230))</f>
        <v/>
      </c>
    </row>
    <row r="231">
      <c r="A231" s="53" t="n">
        <v>211</v>
      </c>
      <c r="B231" s="67" t="n"/>
      <c r="C231" s="55" t="n"/>
      <c r="D231" s="68" t="n"/>
      <c r="E231" s="68" t="n"/>
      <c r="F231" s="59">
        <f>IF(OR(E231="",D231=""),"",MAX(E231-D231,0))</f>
        <v/>
      </c>
      <c r="G231" s="59">
        <f>IF(F231="","",IF(N(C231)=0,1,C231))</f>
        <v/>
      </c>
      <c r="H231" s="53" t="n">
        <v>211</v>
      </c>
      <c r="I231" s="67" t="n"/>
      <c r="J231" s="55" t="n"/>
      <c r="K231" s="68" t="n"/>
      <c r="L231" s="68" t="n"/>
      <c r="M231" s="59">
        <f>IF(OR(L231="",K231=""),"",MAX(L231-K231,0))</f>
        <v/>
      </c>
      <c r="N231" s="59">
        <f>IF(M231="","",IF(N(J231)=0,1,J231))</f>
        <v/>
      </c>
    </row>
    <row r="232">
      <c r="A232" s="53" t="n">
        <v>212</v>
      </c>
      <c r="B232" s="67" t="n"/>
      <c r="C232" s="55" t="n"/>
      <c r="D232" s="68" t="n"/>
      <c r="E232" s="68" t="n"/>
      <c r="F232" s="59">
        <f>IF(OR(E232="",D232=""),"",MAX(E232-D232,0))</f>
        <v/>
      </c>
      <c r="G232" s="59">
        <f>IF(F232="","",IF(N(C232)=0,1,C232))</f>
        <v/>
      </c>
      <c r="H232" s="53" t="n">
        <v>212</v>
      </c>
      <c r="I232" s="67" t="n"/>
      <c r="J232" s="55" t="n"/>
      <c r="K232" s="68" t="n"/>
      <c r="L232" s="68" t="n"/>
      <c r="M232" s="59">
        <f>IF(OR(L232="",K232=""),"",MAX(L232-K232,0))</f>
        <v/>
      </c>
      <c r="N232" s="59">
        <f>IF(M232="","",IF(N(J232)=0,1,J232))</f>
        <v/>
      </c>
    </row>
    <row r="233">
      <c r="A233" s="53" t="n">
        <v>213</v>
      </c>
      <c r="B233" s="67" t="n"/>
      <c r="C233" s="55" t="n"/>
      <c r="D233" s="68" t="n"/>
      <c r="E233" s="68" t="n"/>
      <c r="F233" s="59">
        <f>IF(OR(E233="",D233=""),"",MAX(E233-D233,0))</f>
        <v/>
      </c>
      <c r="G233" s="59">
        <f>IF(F233="","",IF(N(C233)=0,1,C233))</f>
        <v/>
      </c>
      <c r="H233" s="53" t="n">
        <v>213</v>
      </c>
      <c r="I233" s="67" t="n"/>
      <c r="J233" s="55" t="n"/>
      <c r="K233" s="68" t="n"/>
      <c r="L233" s="68" t="n"/>
      <c r="M233" s="59">
        <f>IF(OR(L233="",K233=""),"",MAX(L233-K233,0))</f>
        <v/>
      </c>
      <c r="N233" s="59">
        <f>IF(M233="","",IF(N(J233)=0,1,J233))</f>
        <v/>
      </c>
    </row>
    <row r="234">
      <c r="A234" s="53" t="n">
        <v>214</v>
      </c>
      <c r="B234" s="67" t="n"/>
      <c r="C234" s="55" t="n"/>
      <c r="D234" s="68" t="n"/>
      <c r="E234" s="68" t="n"/>
      <c r="F234" s="59">
        <f>IF(OR(E234="",D234=""),"",MAX(E234-D234,0))</f>
        <v/>
      </c>
      <c r="G234" s="59">
        <f>IF(F234="","",IF(N(C234)=0,1,C234))</f>
        <v/>
      </c>
      <c r="H234" s="53" t="n">
        <v>214</v>
      </c>
      <c r="I234" s="67" t="n"/>
      <c r="J234" s="55" t="n"/>
      <c r="K234" s="68" t="n"/>
      <c r="L234" s="68" t="n"/>
      <c r="M234" s="59">
        <f>IF(OR(L234="",K234=""),"",MAX(L234-K234,0))</f>
        <v/>
      </c>
      <c r="N234" s="59">
        <f>IF(M234="","",IF(N(J234)=0,1,J234))</f>
        <v/>
      </c>
    </row>
    <row r="235">
      <c r="A235" s="53" t="n">
        <v>215</v>
      </c>
      <c r="B235" s="67" t="n"/>
      <c r="C235" s="55" t="n"/>
      <c r="D235" s="68" t="n"/>
      <c r="E235" s="68" t="n"/>
      <c r="F235" s="59">
        <f>IF(OR(E235="",D235=""),"",MAX(E235-D235,0))</f>
        <v/>
      </c>
      <c r="G235" s="59">
        <f>IF(F235="","",IF(N(C235)=0,1,C235))</f>
        <v/>
      </c>
      <c r="H235" s="53" t="n">
        <v>215</v>
      </c>
      <c r="I235" s="67" t="n"/>
      <c r="J235" s="55" t="n"/>
      <c r="K235" s="68" t="n"/>
      <c r="L235" s="68" t="n"/>
      <c r="M235" s="59">
        <f>IF(OR(L235="",K235=""),"",MAX(L235-K235,0))</f>
        <v/>
      </c>
      <c r="N235" s="59">
        <f>IF(M235="","",IF(N(J235)=0,1,J235))</f>
        <v/>
      </c>
    </row>
    <row r="236">
      <c r="A236" s="53" t="n">
        <v>216</v>
      </c>
      <c r="B236" s="67" t="n"/>
      <c r="C236" s="55" t="n"/>
      <c r="D236" s="68" t="n"/>
      <c r="E236" s="68" t="n"/>
      <c r="F236" s="59">
        <f>IF(OR(E236="",D236=""),"",MAX(E236-D236,0))</f>
        <v/>
      </c>
      <c r="G236" s="59">
        <f>IF(F236="","",IF(N(C236)=0,1,C236))</f>
        <v/>
      </c>
      <c r="H236" s="53" t="n">
        <v>216</v>
      </c>
      <c r="I236" s="67" t="n"/>
      <c r="J236" s="55" t="n"/>
      <c r="K236" s="68" t="n"/>
      <c r="L236" s="68" t="n"/>
      <c r="M236" s="59">
        <f>IF(OR(L236="",K236=""),"",MAX(L236-K236,0))</f>
        <v/>
      </c>
      <c r="N236" s="59">
        <f>IF(M236="","",IF(N(J236)=0,1,J236))</f>
        <v/>
      </c>
    </row>
    <row r="237">
      <c r="A237" s="53" t="n">
        <v>217</v>
      </c>
      <c r="B237" s="67" t="n"/>
      <c r="C237" s="55" t="n"/>
      <c r="D237" s="68" t="n"/>
      <c r="E237" s="68" t="n"/>
      <c r="F237" s="59">
        <f>IF(OR(E237="",D237=""),"",MAX(E237-D237,0))</f>
        <v/>
      </c>
      <c r="G237" s="59">
        <f>IF(F237="","",IF(N(C237)=0,1,C237))</f>
        <v/>
      </c>
      <c r="H237" s="53" t="n">
        <v>217</v>
      </c>
      <c r="I237" s="67" t="n"/>
      <c r="J237" s="55" t="n"/>
      <c r="K237" s="68" t="n"/>
      <c r="L237" s="68" t="n"/>
      <c r="M237" s="59">
        <f>IF(OR(L237="",K237=""),"",MAX(L237-K237,0))</f>
        <v/>
      </c>
      <c r="N237" s="59">
        <f>IF(M237="","",IF(N(J237)=0,1,J237))</f>
        <v/>
      </c>
    </row>
    <row r="238">
      <c r="A238" s="53" t="n">
        <v>218</v>
      </c>
      <c r="B238" s="67" t="n"/>
      <c r="C238" s="55" t="n"/>
      <c r="D238" s="68" t="n"/>
      <c r="E238" s="68" t="n"/>
      <c r="F238" s="59">
        <f>IF(OR(E238="",D238=""),"",MAX(E238-D238,0))</f>
        <v/>
      </c>
      <c r="G238" s="59">
        <f>IF(F238="","",IF(N(C238)=0,1,C238))</f>
        <v/>
      </c>
      <c r="H238" s="53" t="n">
        <v>218</v>
      </c>
      <c r="I238" s="67" t="n"/>
      <c r="J238" s="55" t="n"/>
      <c r="K238" s="68" t="n"/>
      <c r="L238" s="68" t="n"/>
      <c r="M238" s="59">
        <f>IF(OR(L238="",K238=""),"",MAX(L238-K238,0))</f>
        <v/>
      </c>
      <c r="N238" s="59">
        <f>IF(M238="","",IF(N(J238)=0,1,J238))</f>
        <v/>
      </c>
    </row>
    <row r="239">
      <c r="A239" s="53" t="n">
        <v>219</v>
      </c>
      <c r="B239" s="67" t="n"/>
      <c r="C239" s="55" t="n"/>
      <c r="D239" s="68" t="n"/>
      <c r="E239" s="68" t="n"/>
      <c r="F239" s="59">
        <f>IF(OR(E239="",D239=""),"",MAX(E239-D239,0))</f>
        <v/>
      </c>
      <c r="G239" s="59">
        <f>IF(F239="","",IF(N(C239)=0,1,C239))</f>
        <v/>
      </c>
      <c r="H239" s="53" t="n">
        <v>219</v>
      </c>
      <c r="I239" s="67" t="n"/>
      <c r="J239" s="55" t="n"/>
      <c r="K239" s="68" t="n"/>
      <c r="L239" s="68" t="n"/>
      <c r="M239" s="59">
        <f>IF(OR(L239="",K239=""),"",MAX(L239-K239,0))</f>
        <v/>
      </c>
      <c r="N239" s="59">
        <f>IF(M239="","",IF(N(J239)=0,1,J239))</f>
        <v/>
      </c>
    </row>
    <row r="240">
      <c r="A240" s="53" t="n">
        <v>220</v>
      </c>
      <c r="B240" s="67" t="n"/>
      <c r="C240" s="55" t="n"/>
      <c r="D240" s="68" t="n"/>
      <c r="E240" s="68" t="n"/>
      <c r="F240" s="59">
        <f>IF(OR(E240="",D240=""),"",MAX(E240-D240,0))</f>
        <v/>
      </c>
      <c r="G240" s="59">
        <f>IF(F240="","",IF(N(C240)=0,1,C240))</f>
        <v/>
      </c>
      <c r="H240" s="53" t="n">
        <v>220</v>
      </c>
      <c r="I240" s="67" t="n"/>
      <c r="J240" s="55" t="n"/>
      <c r="K240" s="68" t="n"/>
      <c r="L240" s="68" t="n"/>
      <c r="M240" s="59">
        <f>IF(OR(L240="",K240=""),"",MAX(L240-K240,0))</f>
        <v/>
      </c>
      <c r="N240" s="59">
        <f>IF(M240="","",IF(N(J240)=0,1,J240))</f>
        <v/>
      </c>
    </row>
    <row r="241">
      <c r="A241" s="53" t="n">
        <v>221</v>
      </c>
      <c r="B241" s="67" t="n"/>
      <c r="C241" s="55" t="n"/>
      <c r="D241" s="68" t="n"/>
      <c r="E241" s="68" t="n"/>
      <c r="F241" s="59">
        <f>IF(OR(E241="",D241=""),"",MAX(E241-D241,0))</f>
        <v/>
      </c>
      <c r="G241" s="59">
        <f>IF(F241="","",IF(N(C241)=0,1,C241))</f>
        <v/>
      </c>
      <c r="H241" s="53" t="n">
        <v>221</v>
      </c>
      <c r="I241" s="67" t="n"/>
      <c r="J241" s="55" t="n"/>
      <c r="K241" s="68" t="n"/>
      <c r="L241" s="68" t="n"/>
      <c r="M241" s="59">
        <f>IF(OR(L241="",K241=""),"",MAX(L241-K241,0))</f>
        <v/>
      </c>
      <c r="N241" s="59">
        <f>IF(M241="","",IF(N(J241)=0,1,J241))</f>
        <v/>
      </c>
    </row>
    <row r="242">
      <c r="A242" s="53" t="n">
        <v>222</v>
      </c>
      <c r="B242" s="67" t="n"/>
      <c r="C242" s="55" t="n"/>
      <c r="D242" s="68" t="n"/>
      <c r="E242" s="68" t="n"/>
      <c r="F242" s="59">
        <f>IF(OR(E242="",D242=""),"",MAX(E242-D242,0))</f>
        <v/>
      </c>
      <c r="G242" s="59">
        <f>IF(F242="","",IF(N(C242)=0,1,C242))</f>
        <v/>
      </c>
      <c r="H242" s="53" t="n">
        <v>222</v>
      </c>
      <c r="I242" s="67" t="n"/>
      <c r="J242" s="55" t="n"/>
      <c r="K242" s="68" t="n"/>
      <c r="L242" s="68" t="n"/>
      <c r="M242" s="59">
        <f>IF(OR(L242="",K242=""),"",MAX(L242-K242,0))</f>
        <v/>
      </c>
      <c r="N242" s="59">
        <f>IF(M242="","",IF(N(J242)=0,1,J242))</f>
        <v/>
      </c>
    </row>
    <row r="243">
      <c r="A243" s="53" t="n">
        <v>223</v>
      </c>
      <c r="B243" s="67" t="n"/>
      <c r="C243" s="55" t="n"/>
      <c r="D243" s="68" t="n"/>
      <c r="E243" s="68" t="n"/>
      <c r="F243" s="59">
        <f>IF(OR(E243="",D243=""),"",MAX(E243-D243,0))</f>
        <v/>
      </c>
      <c r="G243" s="59">
        <f>IF(F243="","",IF(N(C243)=0,1,C243))</f>
        <v/>
      </c>
      <c r="H243" s="53" t="n">
        <v>223</v>
      </c>
      <c r="I243" s="67" t="n"/>
      <c r="J243" s="55" t="n"/>
      <c r="K243" s="68" t="n"/>
      <c r="L243" s="68" t="n"/>
      <c r="M243" s="59">
        <f>IF(OR(L243="",K243=""),"",MAX(L243-K243,0))</f>
        <v/>
      </c>
      <c r="N243" s="59">
        <f>IF(M243="","",IF(N(J243)=0,1,J243))</f>
        <v/>
      </c>
    </row>
    <row r="244">
      <c r="A244" s="53" t="n">
        <v>224</v>
      </c>
      <c r="B244" s="67" t="n"/>
      <c r="C244" s="55" t="n"/>
      <c r="D244" s="68" t="n"/>
      <c r="E244" s="68" t="n"/>
      <c r="F244" s="59">
        <f>IF(OR(E244="",D244=""),"",MAX(E244-D244,0))</f>
        <v/>
      </c>
      <c r="G244" s="59">
        <f>IF(F244="","",IF(N(C244)=0,1,C244))</f>
        <v/>
      </c>
      <c r="H244" s="53" t="n">
        <v>224</v>
      </c>
      <c r="I244" s="67" t="n"/>
      <c r="J244" s="55" t="n"/>
      <c r="K244" s="68" t="n"/>
      <c r="L244" s="68" t="n"/>
      <c r="M244" s="59">
        <f>IF(OR(L244="",K244=""),"",MAX(L244-K244,0))</f>
        <v/>
      </c>
      <c r="N244" s="59">
        <f>IF(M244="","",IF(N(J244)=0,1,J244))</f>
        <v/>
      </c>
    </row>
    <row r="245">
      <c r="A245" s="53" t="n">
        <v>225</v>
      </c>
      <c r="B245" s="67" t="n"/>
      <c r="C245" s="55" t="n"/>
      <c r="D245" s="68" t="n"/>
      <c r="E245" s="68" t="n"/>
      <c r="F245" s="59">
        <f>IF(OR(E245="",D245=""),"",MAX(E245-D245,0))</f>
        <v/>
      </c>
      <c r="G245" s="59">
        <f>IF(F245="","",IF(N(C245)=0,1,C245))</f>
        <v/>
      </c>
      <c r="H245" s="53" t="n">
        <v>225</v>
      </c>
      <c r="I245" s="67" t="n"/>
      <c r="J245" s="55" t="n"/>
      <c r="K245" s="68" t="n"/>
      <c r="L245" s="68" t="n"/>
      <c r="M245" s="59">
        <f>IF(OR(L245="",K245=""),"",MAX(L245-K245,0))</f>
        <v/>
      </c>
      <c r="N245" s="59">
        <f>IF(M245="","",IF(N(J245)=0,1,J245))</f>
        <v/>
      </c>
    </row>
    <row r="246">
      <c r="A246" s="53" t="n">
        <v>226</v>
      </c>
      <c r="B246" s="67" t="n"/>
      <c r="C246" s="55" t="n"/>
      <c r="D246" s="68" t="n"/>
      <c r="E246" s="68" t="n"/>
      <c r="F246" s="59">
        <f>IF(OR(E246="",D246=""),"",MAX(E246-D246,0))</f>
        <v/>
      </c>
      <c r="G246" s="59">
        <f>IF(F246="","",IF(N(C246)=0,1,C246))</f>
        <v/>
      </c>
      <c r="H246" s="53" t="n">
        <v>226</v>
      </c>
      <c r="I246" s="67" t="n"/>
      <c r="J246" s="55" t="n"/>
      <c r="K246" s="68" t="n"/>
      <c r="L246" s="68" t="n"/>
      <c r="M246" s="59">
        <f>IF(OR(L246="",K246=""),"",MAX(L246-K246,0))</f>
        <v/>
      </c>
      <c r="N246" s="59">
        <f>IF(M246="","",IF(N(J246)=0,1,J246))</f>
        <v/>
      </c>
    </row>
    <row r="247">
      <c r="A247" s="53" t="n">
        <v>227</v>
      </c>
      <c r="B247" s="67" t="n"/>
      <c r="C247" s="55" t="n"/>
      <c r="D247" s="68" t="n"/>
      <c r="E247" s="68" t="n"/>
      <c r="F247" s="59">
        <f>IF(OR(E247="",D247=""),"",MAX(E247-D247,0))</f>
        <v/>
      </c>
      <c r="G247" s="59">
        <f>IF(F247="","",IF(N(C247)=0,1,C247))</f>
        <v/>
      </c>
      <c r="H247" s="53" t="n">
        <v>227</v>
      </c>
      <c r="I247" s="67" t="n"/>
      <c r="J247" s="55" t="n"/>
      <c r="K247" s="68" t="n"/>
      <c r="L247" s="68" t="n"/>
      <c r="M247" s="59">
        <f>IF(OR(L247="",K247=""),"",MAX(L247-K247,0))</f>
        <v/>
      </c>
      <c r="N247" s="59">
        <f>IF(M247="","",IF(N(J247)=0,1,J247))</f>
        <v/>
      </c>
    </row>
    <row r="248">
      <c r="A248" s="53" t="n">
        <v>228</v>
      </c>
      <c r="B248" s="67" t="n"/>
      <c r="C248" s="55" t="n"/>
      <c r="D248" s="68" t="n"/>
      <c r="E248" s="68" t="n"/>
      <c r="F248" s="59">
        <f>IF(OR(E248="",D248=""),"",MAX(E248-D248,0))</f>
        <v/>
      </c>
      <c r="G248" s="59">
        <f>IF(F248="","",IF(N(C248)=0,1,C248))</f>
        <v/>
      </c>
      <c r="H248" s="53" t="n">
        <v>228</v>
      </c>
      <c r="I248" s="67" t="n"/>
      <c r="J248" s="55" t="n"/>
      <c r="K248" s="68" t="n"/>
      <c r="L248" s="68" t="n"/>
      <c r="M248" s="59">
        <f>IF(OR(L248="",K248=""),"",MAX(L248-K248,0))</f>
        <v/>
      </c>
      <c r="N248" s="59">
        <f>IF(M248="","",IF(N(J248)=0,1,J248))</f>
        <v/>
      </c>
    </row>
    <row r="249">
      <c r="A249" s="53" t="n">
        <v>229</v>
      </c>
      <c r="B249" s="67" t="n"/>
      <c r="C249" s="55" t="n"/>
      <c r="D249" s="68" t="n"/>
      <c r="E249" s="68" t="n"/>
      <c r="F249" s="59">
        <f>IF(OR(E249="",D249=""),"",MAX(E249-D249,0))</f>
        <v/>
      </c>
      <c r="G249" s="59">
        <f>IF(F249="","",IF(N(C249)=0,1,C249))</f>
        <v/>
      </c>
      <c r="H249" s="53" t="n">
        <v>229</v>
      </c>
      <c r="I249" s="67" t="n"/>
      <c r="J249" s="55" t="n"/>
      <c r="K249" s="68" t="n"/>
      <c r="L249" s="68" t="n"/>
      <c r="M249" s="59">
        <f>IF(OR(L249="",K249=""),"",MAX(L249-K249,0))</f>
        <v/>
      </c>
      <c r="N249" s="59">
        <f>IF(M249="","",IF(N(J249)=0,1,J249))</f>
        <v/>
      </c>
    </row>
    <row r="250">
      <c r="A250" s="53" t="n">
        <v>230</v>
      </c>
      <c r="B250" s="67" t="n"/>
      <c r="C250" s="55" t="n"/>
      <c r="D250" s="68" t="n"/>
      <c r="E250" s="68" t="n"/>
      <c r="F250" s="59">
        <f>IF(OR(E250="",D250=""),"",MAX(E250-D250,0))</f>
        <v/>
      </c>
      <c r="G250" s="59">
        <f>IF(F250="","",IF(N(C250)=0,1,C250))</f>
        <v/>
      </c>
      <c r="H250" s="53" t="n">
        <v>230</v>
      </c>
      <c r="I250" s="67" t="n"/>
      <c r="J250" s="55" t="n"/>
      <c r="K250" s="68" t="n"/>
      <c r="L250" s="68" t="n"/>
      <c r="M250" s="59">
        <f>IF(OR(L250="",K250=""),"",MAX(L250-K250,0))</f>
        <v/>
      </c>
      <c r="N250" s="59">
        <f>IF(M250="","",IF(N(J250)=0,1,J250))</f>
        <v/>
      </c>
    </row>
    <row r="251">
      <c r="A251" s="53" t="n">
        <v>231</v>
      </c>
      <c r="B251" s="67" t="n"/>
      <c r="C251" s="55" t="n"/>
      <c r="D251" s="68" t="n"/>
      <c r="E251" s="68" t="n"/>
      <c r="F251" s="59">
        <f>IF(OR(E251="",D251=""),"",MAX(E251-D251,0))</f>
        <v/>
      </c>
      <c r="G251" s="59">
        <f>IF(F251="","",IF(N(C251)=0,1,C251))</f>
        <v/>
      </c>
      <c r="H251" s="53" t="n">
        <v>231</v>
      </c>
      <c r="I251" s="67" t="n"/>
      <c r="J251" s="55" t="n"/>
      <c r="K251" s="68" t="n"/>
      <c r="L251" s="68" t="n"/>
      <c r="M251" s="59">
        <f>IF(OR(L251="",K251=""),"",MAX(L251-K251,0))</f>
        <v/>
      </c>
      <c r="N251" s="59">
        <f>IF(M251="","",IF(N(J251)=0,1,J251))</f>
        <v/>
      </c>
    </row>
    <row r="252">
      <c r="A252" s="53" t="n">
        <v>232</v>
      </c>
      <c r="B252" s="67" t="n"/>
      <c r="C252" s="55" t="n"/>
      <c r="D252" s="68" t="n"/>
      <c r="E252" s="68" t="n"/>
      <c r="F252" s="59">
        <f>IF(OR(E252="",D252=""),"",MAX(E252-D252,0))</f>
        <v/>
      </c>
      <c r="G252" s="59">
        <f>IF(F252="","",IF(N(C252)=0,1,C252))</f>
        <v/>
      </c>
      <c r="H252" s="53" t="n">
        <v>232</v>
      </c>
      <c r="I252" s="67" t="n"/>
      <c r="J252" s="55" t="n"/>
      <c r="K252" s="68" t="n"/>
      <c r="L252" s="68" t="n"/>
      <c r="M252" s="59">
        <f>IF(OR(L252="",K252=""),"",MAX(L252-K252,0))</f>
        <v/>
      </c>
      <c r="N252" s="59">
        <f>IF(M252="","",IF(N(J252)=0,1,J252))</f>
        <v/>
      </c>
    </row>
    <row r="253">
      <c r="A253" s="53" t="n">
        <v>233</v>
      </c>
      <c r="B253" s="67" t="n"/>
      <c r="C253" s="55" t="n"/>
      <c r="D253" s="68" t="n"/>
      <c r="E253" s="68" t="n"/>
      <c r="F253" s="59">
        <f>IF(OR(E253="",D253=""),"",MAX(E253-D253,0))</f>
        <v/>
      </c>
      <c r="G253" s="59">
        <f>IF(F253="","",IF(N(C253)=0,1,C253))</f>
        <v/>
      </c>
      <c r="H253" s="53" t="n">
        <v>233</v>
      </c>
      <c r="I253" s="67" t="n"/>
      <c r="J253" s="55" t="n"/>
      <c r="K253" s="68" t="n"/>
      <c r="L253" s="68" t="n"/>
      <c r="M253" s="59">
        <f>IF(OR(L253="",K253=""),"",MAX(L253-K253,0))</f>
        <v/>
      </c>
      <c r="N253" s="59">
        <f>IF(M253="","",IF(N(J253)=0,1,J253))</f>
        <v/>
      </c>
    </row>
    <row r="254">
      <c r="A254" s="53" t="n">
        <v>234</v>
      </c>
      <c r="B254" s="67" t="n"/>
      <c r="C254" s="55" t="n"/>
      <c r="D254" s="68" t="n"/>
      <c r="E254" s="68" t="n"/>
      <c r="F254" s="59">
        <f>IF(OR(E254="",D254=""),"",MAX(E254-D254,0))</f>
        <v/>
      </c>
      <c r="G254" s="59">
        <f>IF(F254="","",IF(N(C254)=0,1,C254))</f>
        <v/>
      </c>
      <c r="H254" s="53" t="n">
        <v>234</v>
      </c>
      <c r="I254" s="67" t="n"/>
      <c r="J254" s="55" t="n"/>
      <c r="K254" s="68" t="n"/>
      <c r="L254" s="68" t="n"/>
      <c r="M254" s="59">
        <f>IF(OR(L254="",K254=""),"",MAX(L254-K254,0))</f>
        <v/>
      </c>
      <c r="N254" s="59">
        <f>IF(M254="","",IF(N(J254)=0,1,J254))</f>
        <v/>
      </c>
    </row>
    <row r="255">
      <c r="A255" s="53" t="n">
        <v>235</v>
      </c>
      <c r="B255" s="67" t="n"/>
      <c r="C255" s="55" t="n"/>
      <c r="D255" s="68" t="n"/>
      <c r="E255" s="68" t="n"/>
      <c r="F255" s="59">
        <f>IF(OR(E255="",D255=""),"",MAX(E255-D255,0))</f>
        <v/>
      </c>
      <c r="G255" s="59">
        <f>IF(F255="","",IF(N(C255)=0,1,C255))</f>
        <v/>
      </c>
      <c r="H255" s="53" t="n">
        <v>235</v>
      </c>
      <c r="I255" s="67" t="n"/>
      <c r="J255" s="55" t="n"/>
      <c r="K255" s="68" t="n"/>
      <c r="L255" s="68" t="n"/>
      <c r="M255" s="59">
        <f>IF(OR(L255="",K255=""),"",MAX(L255-K255,0))</f>
        <v/>
      </c>
      <c r="N255" s="59">
        <f>IF(M255="","",IF(N(J255)=0,1,J255))</f>
        <v/>
      </c>
    </row>
    <row r="256">
      <c r="A256" s="53" t="n">
        <v>236</v>
      </c>
      <c r="B256" s="67" t="n"/>
      <c r="C256" s="55" t="n"/>
      <c r="D256" s="68" t="n"/>
      <c r="E256" s="68" t="n"/>
      <c r="F256" s="59">
        <f>IF(OR(E256="",D256=""),"",MAX(E256-D256,0))</f>
        <v/>
      </c>
      <c r="G256" s="59">
        <f>IF(F256="","",IF(N(C256)=0,1,C256))</f>
        <v/>
      </c>
      <c r="H256" s="53" t="n">
        <v>236</v>
      </c>
      <c r="I256" s="67" t="n"/>
      <c r="J256" s="55" t="n"/>
      <c r="K256" s="68" t="n"/>
      <c r="L256" s="68" t="n"/>
      <c r="M256" s="59">
        <f>IF(OR(L256="",K256=""),"",MAX(L256-K256,0))</f>
        <v/>
      </c>
      <c r="N256" s="59">
        <f>IF(M256="","",IF(N(J256)=0,1,J256))</f>
        <v/>
      </c>
    </row>
    <row r="257">
      <c r="A257" s="53" t="n">
        <v>237</v>
      </c>
      <c r="B257" s="67" t="n"/>
      <c r="C257" s="55" t="n"/>
      <c r="D257" s="68" t="n"/>
      <c r="E257" s="68" t="n"/>
      <c r="F257" s="59">
        <f>IF(OR(E257="",D257=""),"",MAX(E257-D257,0))</f>
        <v/>
      </c>
      <c r="G257" s="59">
        <f>IF(F257="","",IF(N(C257)=0,1,C257))</f>
        <v/>
      </c>
      <c r="H257" s="53" t="n">
        <v>237</v>
      </c>
      <c r="I257" s="67" t="n"/>
      <c r="J257" s="55" t="n"/>
      <c r="K257" s="68" t="n"/>
      <c r="L257" s="68" t="n"/>
      <c r="M257" s="59">
        <f>IF(OR(L257="",K257=""),"",MAX(L257-K257,0))</f>
        <v/>
      </c>
      <c r="N257" s="59">
        <f>IF(M257="","",IF(N(J257)=0,1,J257))</f>
        <v/>
      </c>
    </row>
    <row r="258">
      <c r="A258" s="53" t="n">
        <v>238</v>
      </c>
      <c r="B258" s="67" t="n"/>
      <c r="C258" s="55" t="n"/>
      <c r="D258" s="68" t="n"/>
      <c r="E258" s="68" t="n"/>
      <c r="F258" s="59">
        <f>IF(OR(E258="",D258=""),"",MAX(E258-D258,0))</f>
        <v/>
      </c>
      <c r="G258" s="59">
        <f>IF(F258="","",IF(N(C258)=0,1,C258))</f>
        <v/>
      </c>
      <c r="H258" s="53" t="n">
        <v>238</v>
      </c>
      <c r="I258" s="67" t="n"/>
      <c r="J258" s="55" t="n"/>
      <c r="K258" s="68" t="n"/>
      <c r="L258" s="68" t="n"/>
      <c r="M258" s="59">
        <f>IF(OR(L258="",K258=""),"",MAX(L258-K258,0))</f>
        <v/>
      </c>
      <c r="N258" s="59">
        <f>IF(M258="","",IF(N(J258)=0,1,J258))</f>
        <v/>
      </c>
    </row>
    <row r="259">
      <c r="A259" s="53" t="n">
        <v>239</v>
      </c>
      <c r="B259" s="67" t="n"/>
      <c r="C259" s="55" t="n"/>
      <c r="D259" s="68" t="n"/>
      <c r="E259" s="68" t="n"/>
      <c r="F259" s="59">
        <f>IF(OR(E259="",D259=""),"",MAX(E259-D259,0))</f>
        <v/>
      </c>
      <c r="G259" s="59">
        <f>IF(F259="","",IF(N(C259)=0,1,C259))</f>
        <v/>
      </c>
      <c r="H259" s="53" t="n">
        <v>239</v>
      </c>
      <c r="I259" s="67" t="n"/>
      <c r="J259" s="55" t="n"/>
      <c r="K259" s="68" t="n"/>
      <c r="L259" s="68" t="n"/>
      <c r="M259" s="59">
        <f>IF(OR(L259="",K259=""),"",MAX(L259-K259,0))</f>
        <v/>
      </c>
      <c r="N259" s="59">
        <f>IF(M259="","",IF(N(J259)=0,1,J259))</f>
        <v/>
      </c>
    </row>
    <row r="260">
      <c r="A260" s="53" t="n">
        <v>240</v>
      </c>
      <c r="B260" s="67" t="n"/>
      <c r="C260" s="55" t="n"/>
      <c r="D260" s="68" t="n"/>
      <c r="E260" s="68" t="n"/>
      <c r="F260" s="59">
        <f>IF(OR(E260="",D260=""),"",MAX(E260-D260,0))</f>
        <v/>
      </c>
      <c r="G260" s="59">
        <f>IF(F260="","",IF(N(C260)=0,1,C260))</f>
        <v/>
      </c>
      <c r="H260" s="53" t="n">
        <v>240</v>
      </c>
      <c r="I260" s="67" t="n"/>
      <c r="J260" s="55" t="n"/>
      <c r="K260" s="68" t="n"/>
      <c r="L260" s="68" t="n"/>
      <c r="M260" s="59">
        <f>IF(OR(L260="",K260=""),"",MAX(L260-K260,0))</f>
        <v/>
      </c>
      <c r="N260" s="59">
        <f>IF(M260="","",IF(N(J260)=0,1,J260))</f>
        <v/>
      </c>
    </row>
    <row r="261">
      <c r="A261" s="53" t="n">
        <v>241</v>
      </c>
      <c r="B261" s="67" t="n"/>
      <c r="C261" s="55" t="n"/>
      <c r="D261" s="68" t="n"/>
      <c r="E261" s="68" t="n"/>
      <c r="F261" s="59">
        <f>IF(OR(E261="",D261=""),"",MAX(E261-D261,0))</f>
        <v/>
      </c>
      <c r="G261" s="59">
        <f>IF(F261="","",IF(N(C261)=0,1,C261))</f>
        <v/>
      </c>
      <c r="H261" s="53" t="n">
        <v>241</v>
      </c>
      <c r="I261" s="67" t="n"/>
      <c r="J261" s="55" t="n"/>
      <c r="K261" s="68" t="n"/>
      <c r="L261" s="68" t="n"/>
      <c r="M261" s="59">
        <f>IF(OR(L261="",K261=""),"",MAX(L261-K261,0))</f>
        <v/>
      </c>
      <c r="N261" s="59">
        <f>IF(M261="","",IF(N(J261)=0,1,J261))</f>
        <v/>
      </c>
    </row>
    <row r="262">
      <c r="A262" s="53" t="n">
        <v>242</v>
      </c>
      <c r="B262" s="67" t="n"/>
      <c r="C262" s="55" t="n"/>
      <c r="D262" s="68" t="n"/>
      <c r="E262" s="68" t="n"/>
      <c r="F262" s="59">
        <f>IF(OR(E262="",D262=""),"",MAX(E262-D262,0))</f>
        <v/>
      </c>
      <c r="G262" s="59">
        <f>IF(F262="","",IF(N(C262)=0,1,C262))</f>
        <v/>
      </c>
      <c r="H262" s="53" t="n">
        <v>242</v>
      </c>
      <c r="I262" s="67" t="n"/>
      <c r="J262" s="55" t="n"/>
      <c r="K262" s="68" t="n"/>
      <c r="L262" s="68" t="n"/>
      <c r="M262" s="59">
        <f>IF(OR(L262="",K262=""),"",MAX(L262-K262,0))</f>
        <v/>
      </c>
      <c r="N262" s="59">
        <f>IF(M262="","",IF(N(J262)=0,1,J262))</f>
        <v/>
      </c>
    </row>
    <row r="263">
      <c r="A263" s="53" t="n">
        <v>243</v>
      </c>
      <c r="B263" s="67" t="n"/>
      <c r="C263" s="55" t="n"/>
      <c r="D263" s="68" t="n"/>
      <c r="E263" s="68" t="n"/>
      <c r="F263" s="59">
        <f>IF(OR(E263="",D263=""),"",MAX(E263-D263,0))</f>
        <v/>
      </c>
      <c r="G263" s="59">
        <f>IF(F263="","",IF(N(C263)=0,1,C263))</f>
        <v/>
      </c>
      <c r="H263" s="53" t="n">
        <v>243</v>
      </c>
      <c r="I263" s="67" t="n"/>
      <c r="J263" s="55" t="n"/>
      <c r="K263" s="68" t="n"/>
      <c r="L263" s="68" t="n"/>
      <c r="M263" s="59">
        <f>IF(OR(L263="",K263=""),"",MAX(L263-K263,0))</f>
        <v/>
      </c>
      <c r="N263" s="59">
        <f>IF(M263="","",IF(N(J263)=0,1,J263))</f>
        <v/>
      </c>
    </row>
    <row r="264">
      <c r="A264" s="53" t="n">
        <v>244</v>
      </c>
      <c r="B264" s="67" t="n"/>
      <c r="C264" s="55" t="n"/>
      <c r="D264" s="68" t="n"/>
      <c r="E264" s="68" t="n"/>
      <c r="F264" s="59">
        <f>IF(OR(E264="",D264=""),"",MAX(E264-D264,0))</f>
        <v/>
      </c>
      <c r="G264" s="59">
        <f>IF(F264="","",IF(N(C264)=0,1,C264))</f>
        <v/>
      </c>
      <c r="H264" s="53" t="n">
        <v>244</v>
      </c>
      <c r="I264" s="67" t="n"/>
      <c r="J264" s="55" t="n"/>
      <c r="K264" s="68" t="n"/>
      <c r="L264" s="68" t="n"/>
      <c r="M264" s="59">
        <f>IF(OR(L264="",K264=""),"",MAX(L264-K264,0))</f>
        <v/>
      </c>
      <c r="N264" s="59">
        <f>IF(M264="","",IF(N(J264)=0,1,J264))</f>
        <v/>
      </c>
    </row>
    <row r="265">
      <c r="A265" s="53" t="n">
        <v>245</v>
      </c>
      <c r="B265" s="67" t="n"/>
      <c r="C265" s="55" t="n"/>
      <c r="D265" s="68" t="n"/>
      <c r="E265" s="68" t="n"/>
      <c r="F265" s="59">
        <f>IF(OR(E265="",D265=""),"",MAX(E265-D265,0))</f>
        <v/>
      </c>
      <c r="G265" s="59">
        <f>IF(F265="","",IF(N(C265)=0,1,C265))</f>
        <v/>
      </c>
      <c r="H265" s="53" t="n">
        <v>245</v>
      </c>
      <c r="I265" s="67" t="n"/>
      <c r="J265" s="55" t="n"/>
      <c r="K265" s="68" t="n"/>
      <c r="L265" s="68" t="n"/>
      <c r="M265" s="59">
        <f>IF(OR(L265="",K265=""),"",MAX(L265-K265,0))</f>
        <v/>
      </c>
      <c r="N265" s="59">
        <f>IF(M265="","",IF(N(J265)=0,1,J265))</f>
        <v/>
      </c>
    </row>
    <row r="266">
      <c r="A266" s="53" t="n">
        <v>246</v>
      </c>
      <c r="B266" s="67" t="n"/>
      <c r="C266" s="55" t="n"/>
      <c r="D266" s="68" t="n"/>
      <c r="E266" s="68" t="n"/>
      <c r="F266" s="59">
        <f>IF(OR(E266="",D266=""),"",MAX(E266-D266,0))</f>
        <v/>
      </c>
      <c r="G266" s="59">
        <f>IF(F266="","",IF(N(C266)=0,1,C266))</f>
        <v/>
      </c>
      <c r="H266" s="53" t="n">
        <v>246</v>
      </c>
      <c r="I266" s="67" t="n"/>
      <c r="J266" s="55" t="n"/>
      <c r="K266" s="68" t="n"/>
      <c r="L266" s="68" t="n"/>
      <c r="M266" s="59">
        <f>IF(OR(L266="",K266=""),"",MAX(L266-K266,0))</f>
        <v/>
      </c>
      <c r="N266" s="59">
        <f>IF(M266="","",IF(N(J266)=0,1,J266))</f>
        <v/>
      </c>
    </row>
    <row r="267">
      <c r="A267" s="53" t="n">
        <v>247</v>
      </c>
      <c r="B267" s="67" t="n"/>
      <c r="C267" s="55" t="n"/>
      <c r="D267" s="68" t="n"/>
      <c r="E267" s="68" t="n"/>
      <c r="F267" s="59">
        <f>IF(OR(E267="",D267=""),"",MAX(E267-D267,0))</f>
        <v/>
      </c>
      <c r="G267" s="59">
        <f>IF(F267="","",IF(N(C267)=0,1,C267))</f>
        <v/>
      </c>
      <c r="H267" s="53" t="n">
        <v>247</v>
      </c>
      <c r="I267" s="67" t="n"/>
      <c r="J267" s="55" t="n"/>
      <c r="K267" s="68" t="n"/>
      <c r="L267" s="68" t="n"/>
      <c r="M267" s="59">
        <f>IF(OR(L267="",K267=""),"",MAX(L267-K267,0))</f>
        <v/>
      </c>
      <c r="N267" s="59">
        <f>IF(M267="","",IF(N(J267)=0,1,J267))</f>
        <v/>
      </c>
    </row>
    <row r="268">
      <c r="A268" s="53" t="n">
        <v>248</v>
      </c>
      <c r="B268" s="67" t="n"/>
      <c r="C268" s="55" t="n"/>
      <c r="D268" s="68" t="n"/>
      <c r="E268" s="68" t="n"/>
      <c r="F268" s="59">
        <f>IF(OR(E268="",D268=""),"",MAX(E268-D268,0))</f>
        <v/>
      </c>
      <c r="G268" s="59">
        <f>IF(F268="","",IF(N(C268)=0,1,C268))</f>
        <v/>
      </c>
      <c r="H268" s="53" t="n">
        <v>248</v>
      </c>
      <c r="I268" s="67" t="n"/>
      <c r="J268" s="55" t="n"/>
      <c r="K268" s="68" t="n"/>
      <c r="L268" s="68" t="n"/>
      <c r="M268" s="59">
        <f>IF(OR(L268="",K268=""),"",MAX(L268-K268,0))</f>
        <v/>
      </c>
      <c r="N268" s="59">
        <f>IF(M268="","",IF(N(J268)=0,1,J268))</f>
        <v/>
      </c>
    </row>
    <row r="269">
      <c r="A269" s="53" t="n">
        <v>249</v>
      </c>
      <c r="B269" s="67" t="n"/>
      <c r="C269" s="55" t="n"/>
      <c r="D269" s="68" t="n"/>
      <c r="E269" s="68" t="n"/>
      <c r="F269" s="59">
        <f>IF(OR(E269="",D269=""),"",MAX(E269-D269,0))</f>
        <v/>
      </c>
      <c r="G269" s="59">
        <f>IF(F269="","",IF(N(C269)=0,1,C269))</f>
        <v/>
      </c>
      <c r="H269" s="53" t="n">
        <v>249</v>
      </c>
      <c r="I269" s="67" t="n"/>
      <c r="J269" s="55" t="n"/>
      <c r="K269" s="68" t="n"/>
      <c r="L269" s="68" t="n"/>
      <c r="M269" s="59">
        <f>IF(OR(L269="",K269=""),"",MAX(L269-K269,0))</f>
        <v/>
      </c>
      <c r="N269" s="59">
        <f>IF(M269="","",IF(N(J269)=0,1,J269))</f>
        <v/>
      </c>
    </row>
    <row r="270">
      <c r="A270" s="53" t="n">
        <v>250</v>
      </c>
      <c r="B270" s="67" t="n"/>
      <c r="C270" s="55" t="n"/>
      <c r="D270" s="68" t="n"/>
      <c r="E270" s="68" t="n"/>
      <c r="F270" s="59">
        <f>IF(OR(E270="",D270=""),"",MAX(E270-D270,0))</f>
        <v/>
      </c>
      <c r="G270" s="59">
        <f>IF(F270="","",IF(N(C270)=0,1,C270))</f>
        <v/>
      </c>
      <c r="H270" s="53" t="n">
        <v>250</v>
      </c>
      <c r="I270" s="67" t="n"/>
      <c r="J270" s="55" t="n"/>
      <c r="K270" s="68" t="n"/>
      <c r="L270" s="68" t="n"/>
      <c r="M270" s="59">
        <f>IF(OR(L270="",K270=""),"",MAX(L270-K270,0))</f>
        <v/>
      </c>
      <c r="N270" s="59">
        <f>IF(M270="","",IF(N(J270)=0,1,J270))</f>
        <v/>
      </c>
    </row>
    <row r="271">
      <c r="A271" s="53" t="n">
        <v>251</v>
      </c>
      <c r="B271" s="67" t="n"/>
      <c r="C271" s="55" t="n"/>
      <c r="D271" s="68" t="n"/>
      <c r="E271" s="68" t="n"/>
      <c r="F271" s="59">
        <f>IF(OR(E271="",D271=""),"",MAX(E271-D271,0))</f>
        <v/>
      </c>
      <c r="G271" s="59">
        <f>IF(F271="","",IF(N(C271)=0,1,C271))</f>
        <v/>
      </c>
      <c r="H271" s="53" t="n">
        <v>251</v>
      </c>
      <c r="I271" s="67" t="n"/>
      <c r="J271" s="55" t="n"/>
      <c r="K271" s="68" t="n"/>
      <c r="L271" s="68" t="n"/>
      <c r="M271" s="59">
        <f>IF(OR(L271="",K271=""),"",MAX(L271-K271,0))</f>
        <v/>
      </c>
      <c r="N271" s="59">
        <f>IF(M271="","",IF(N(J271)=0,1,J271))</f>
        <v/>
      </c>
    </row>
    <row r="272">
      <c r="A272" s="53" t="n">
        <v>252</v>
      </c>
      <c r="B272" s="67" t="n"/>
      <c r="C272" s="55" t="n"/>
      <c r="D272" s="68" t="n"/>
      <c r="E272" s="68" t="n"/>
      <c r="F272" s="59">
        <f>IF(OR(E272="",D272=""),"",MAX(E272-D272,0))</f>
        <v/>
      </c>
      <c r="G272" s="59">
        <f>IF(F272="","",IF(N(C272)=0,1,C272))</f>
        <v/>
      </c>
      <c r="H272" s="53" t="n">
        <v>252</v>
      </c>
      <c r="I272" s="67" t="n"/>
      <c r="J272" s="55" t="n"/>
      <c r="K272" s="68" t="n"/>
      <c r="L272" s="68" t="n"/>
      <c r="M272" s="59">
        <f>IF(OR(L272="",K272=""),"",MAX(L272-K272,0))</f>
        <v/>
      </c>
      <c r="N272" s="59">
        <f>IF(M272="","",IF(N(J272)=0,1,J272))</f>
        <v/>
      </c>
    </row>
    <row r="273">
      <c r="A273" s="53" t="n">
        <v>253</v>
      </c>
      <c r="B273" s="67" t="n"/>
      <c r="C273" s="55" t="n"/>
      <c r="D273" s="68" t="n"/>
      <c r="E273" s="68" t="n"/>
      <c r="F273" s="59">
        <f>IF(OR(E273="",D273=""),"",MAX(E273-D273,0))</f>
        <v/>
      </c>
      <c r="G273" s="59">
        <f>IF(F273="","",IF(N(C273)=0,1,C273))</f>
        <v/>
      </c>
      <c r="H273" s="53" t="n">
        <v>253</v>
      </c>
      <c r="I273" s="67" t="n"/>
      <c r="J273" s="55" t="n"/>
      <c r="K273" s="68" t="n"/>
      <c r="L273" s="68" t="n"/>
      <c r="M273" s="59">
        <f>IF(OR(L273="",K273=""),"",MAX(L273-K273,0))</f>
        <v/>
      </c>
      <c r="N273" s="59">
        <f>IF(M273="","",IF(N(J273)=0,1,J273))</f>
        <v/>
      </c>
    </row>
    <row r="274">
      <c r="A274" s="53" t="n">
        <v>254</v>
      </c>
      <c r="B274" s="67" t="n"/>
      <c r="C274" s="55" t="n"/>
      <c r="D274" s="68" t="n"/>
      <c r="E274" s="68" t="n"/>
      <c r="F274" s="59">
        <f>IF(OR(E274="",D274=""),"",MAX(E274-D274,0))</f>
        <v/>
      </c>
      <c r="G274" s="59">
        <f>IF(F274="","",IF(N(C274)=0,1,C274))</f>
        <v/>
      </c>
      <c r="H274" s="53" t="n">
        <v>254</v>
      </c>
      <c r="I274" s="67" t="n"/>
      <c r="J274" s="55" t="n"/>
      <c r="K274" s="68" t="n"/>
      <c r="L274" s="68" t="n"/>
      <c r="M274" s="59">
        <f>IF(OR(L274="",K274=""),"",MAX(L274-K274,0))</f>
        <v/>
      </c>
      <c r="N274" s="59">
        <f>IF(M274="","",IF(N(J274)=0,1,J274))</f>
        <v/>
      </c>
    </row>
    <row r="275">
      <c r="A275" s="53" t="n">
        <v>255</v>
      </c>
      <c r="B275" s="67" t="n"/>
      <c r="C275" s="55" t="n"/>
      <c r="D275" s="68" t="n"/>
      <c r="E275" s="68" t="n"/>
      <c r="F275" s="59">
        <f>IF(OR(E275="",D275=""),"",MAX(E275-D275,0))</f>
        <v/>
      </c>
      <c r="G275" s="59">
        <f>IF(F275="","",IF(N(C275)=0,1,C275))</f>
        <v/>
      </c>
      <c r="H275" s="53" t="n">
        <v>255</v>
      </c>
      <c r="I275" s="67" t="n"/>
      <c r="J275" s="55" t="n"/>
      <c r="K275" s="68" t="n"/>
      <c r="L275" s="68" t="n"/>
      <c r="M275" s="59">
        <f>IF(OR(L275="",K275=""),"",MAX(L275-K275,0))</f>
        <v/>
      </c>
      <c r="N275" s="59">
        <f>IF(M275="","",IF(N(J275)=0,1,J275))</f>
        <v/>
      </c>
    </row>
    <row r="276">
      <c r="A276" s="53" t="n">
        <v>256</v>
      </c>
      <c r="B276" s="67" t="n"/>
      <c r="C276" s="55" t="n"/>
      <c r="D276" s="68" t="n"/>
      <c r="E276" s="68" t="n"/>
      <c r="F276" s="59">
        <f>IF(OR(E276="",D276=""),"",MAX(E276-D276,0))</f>
        <v/>
      </c>
      <c r="G276" s="59">
        <f>IF(F276="","",IF(N(C276)=0,1,C276))</f>
        <v/>
      </c>
      <c r="H276" s="53" t="n">
        <v>256</v>
      </c>
      <c r="I276" s="67" t="n"/>
      <c r="J276" s="55" t="n"/>
      <c r="K276" s="68" t="n"/>
      <c r="L276" s="68" t="n"/>
      <c r="M276" s="59">
        <f>IF(OR(L276="",K276=""),"",MAX(L276-K276,0))</f>
        <v/>
      </c>
      <c r="N276" s="59">
        <f>IF(M276="","",IF(N(J276)=0,1,J276))</f>
        <v/>
      </c>
    </row>
    <row r="277">
      <c r="A277" s="53" t="n">
        <v>257</v>
      </c>
      <c r="B277" s="67" t="n"/>
      <c r="C277" s="55" t="n"/>
      <c r="D277" s="68" t="n"/>
      <c r="E277" s="68" t="n"/>
      <c r="F277" s="59">
        <f>IF(OR(E277="",D277=""),"",MAX(E277-D277,0))</f>
        <v/>
      </c>
      <c r="G277" s="59">
        <f>IF(F277="","",IF(N(C277)=0,1,C277))</f>
        <v/>
      </c>
      <c r="H277" s="53" t="n">
        <v>257</v>
      </c>
      <c r="I277" s="67" t="n"/>
      <c r="J277" s="55" t="n"/>
      <c r="K277" s="68" t="n"/>
      <c r="L277" s="68" t="n"/>
      <c r="M277" s="59">
        <f>IF(OR(L277="",K277=""),"",MAX(L277-K277,0))</f>
        <v/>
      </c>
      <c r="N277" s="59">
        <f>IF(M277="","",IF(N(J277)=0,1,J277))</f>
        <v/>
      </c>
    </row>
    <row r="278">
      <c r="A278" s="53" t="n">
        <v>258</v>
      </c>
      <c r="B278" s="67" t="n"/>
      <c r="C278" s="55" t="n"/>
      <c r="D278" s="68" t="n"/>
      <c r="E278" s="68" t="n"/>
      <c r="F278" s="59">
        <f>IF(OR(E278="",D278=""),"",MAX(E278-D278,0))</f>
        <v/>
      </c>
      <c r="G278" s="59">
        <f>IF(F278="","",IF(N(C278)=0,1,C278))</f>
        <v/>
      </c>
      <c r="H278" s="53" t="n">
        <v>258</v>
      </c>
      <c r="I278" s="67" t="n"/>
      <c r="J278" s="55" t="n"/>
      <c r="K278" s="68" t="n"/>
      <c r="L278" s="68" t="n"/>
      <c r="M278" s="59">
        <f>IF(OR(L278="",K278=""),"",MAX(L278-K278,0))</f>
        <v/>
      </c>
      <c r="N278" s="59">
        <f>IF(M278="","",IF(N(J278)=0,1,J278))</f>
        <v/>
      </c>
    </row>
    <row r="279">
      <c r="A279" s="53" t="n">
        <v>259</v>
      </c>
      <c r="B279" s="67" t="n"/>
      <c r="C279" s="55" t="n"/>
      <c r="D279" s="68" t="n"/>
      <c r="E279" s="68" t="n"/>
      <c r="F279" s="59">
        <f>IF(OR(E279="",D279=""),"",MAX(E279-D279,0))</f>
        <v/>
      </c>
      <c r="G279" s="59">
        <f>IF(F279="","",IF(N(C279)=0,1,C279))</f>
        <v/>
      </c>
      <c r="H279" s="53" t="n">
        <v>259</v>
      </c>
      <c r="I279" s="67" t="n"/>
      <c r="J279" s="55" t="n"/>
      <c r="K279" s="68" t="n"/>
      <c r="L279" s="68" t="n"/>
      <c r="M279" s="59">
        <f>IF(OR(L279="",K279=""),"",MAX(L279-K279,0))</f>
        <v/>
      </c>
      <c r="N279" s="59">
        <f>IF(M279="","",IF(N(J279)=0,1,J279))</f>
        <v/>
      </c>
    </row>
    <row r="280">
      <c r="A280" s="53" t="n">
        <v>260</v>
      </c>
      <c r="B280" s="67" t="n"/>
      <c r="C280" s="55" t="n"/>
      <c r="D280" s="68" t="n"/>
      <c r="E280" s="68" t="n"/>
      <c r="F280" s="59">
        <f>IF(OR(E280="",D280=""),"",MAX(E280-D280,0))</f>
        <v/>
      </c>
      <c r="G280" s="59">
        <f>IF(F280="","",IF(N(C280)=0,1,C280))</f>
        <v/>
      </c>
      <c r="H280" s="53" t="n">
        <v>260</v>
      </c>
      <c r="I280" s="67" t="n"/>
      <c r="J280" s="55" t="n"/>
      <c r="K280" s="68" t="n"/>
      <c r="L280" s="68" t="n"/>
      <c r="M280" s="59">
        <f>IF(OR(L280="",K280=""),"",MAX(L280-K280,0))</f>
        <v/>
      </c>
      <c r="N280" s="59">
        <f>IF(M280="","",IF(N(J280)=0,1,J280))</f>
        <v/>
      </c>
    </row>
    <row r="281">
      <c r="A281" s="53" t="n">
        <v>261</v>
      </c>
      <c r="B281" s="67" t="n"/>
      <c r="C281" s="55" t="n"/>
      <c r="D281" s="68" t="n"/>
      <c r="E281" s="68" t="n"/>
      <c r="F281" s="59">
        <f>IF(OR(E281="",D281=""),"",MAX(E281-D281,0))</f>
        <v/>
      </c>
      <c r="G281" s="59">
        <f>IF(F281="","",IF(N(C281)=0,1,C281))</f>
        <v/>
      </c>
      <c r="H281" s="53" t="n">
        <v>261</v>
      </c>
      <c r="I281" s="67" t="n"/>
      <c r="J281" s="55" t="n"/>
      <c r="K281" s="68" t="n"/>
      <c r="L281" s="68" t="n"/>
      <c r="M281" s="59">
        <f>IF(OR(L281="",K281=""),"",MAX(L281-K281,0))</f>
        <v/>
      </c>
      <c r="N281" s="59">
        <f>IF(M281="","",IF(N(J281)=0,1,J281))</f>
        <v/>
      </c>
    </row>
    <row r="282">
      <c r="A282" s="53" t="n">
        <v>262</v>
      </c>
      <c r="B282" s="67" t="n"/>
      <c r="C282" s="55" t="n"/>
      <c r="D282" s="68" t="n"/>
      <c r="E282" s="68" t="n"/>
      <c r="F282" s="59">
        <f>IF(OR(E282="",D282=""),"",MAX(E282-D282,0))</f>
        <v/>
      </c>
      <c r="G282" s="59">
        <f>IF(F282="","",IF(N(C282)=0,1,C282))</f>
        <v/>
      </c>
      <c r="H282" s="53" t="n">
        <v>262</v>
      </c>
      <c r="I282" s="67" t="n"/>
      <c r="J282" s="55" t="n"/>
      <c r="K282" s="68" t="n"/>
      <c r="L282" s="68" t="n"/>
      <c r="M282" s="59">
        <f>IF(OR(L282="",K282=""),"",MAX(L282-K282,0))</f>
        <v/>
      </c>
      <c r="N282" s="59">
        <f>IF(M282="","",IF(N(J282)=0,1,J282))</f>
        <v/>
      </c>
    </row>
    <row r="283">
      <c r="A283" s="53" t="n">
        <v>263</v>
      </c>
      <c r="B283" s="67" t="n"/>
      <c r="C283" s="55" t="n"/>
      <c r="D283" s="68" t="n"/>
      <c r="E283" s="68" t="n"/>
      <c r="F283" s="59">
        <f>IF(OR(E283="",D283=""),"",MAX(E283-D283,0))</f>
        <v/>
      </c>
      <c r="G283" s="59">
        <f>IF(F283="","",IF(N(C283)=0,1,C283))</f>
        <v/>
      </c>
      <c r="H283" s="53" t="n">
        <v>263</v>
      </c>
      <c r="I283" s="67" t="n"/>
      <c r="J283" s="55" t="n"/>
      <c r="K283" s="68" t="n"/>
      <c r="L283" s="68" t="n"/>
      <c r="M283" s="59">
        <f>IF(OR(L283="",K283=""),"",MAX(L283-K283,0))</f>
        <v/>
      </c>
      <c r="N283" s="59">
        <f>IF(M283="","",IF(N(J283)=0,1,J283))</f>
        <v/>
      </c>
    </row>
    <row r="284">
      <c r="A284" s="53" t="n">
        <v>264</v>
      </c>
      <c r="B284" s="67" t="n"/>
      <c r="C284" s="55" t="n"/>
      <c r="D284" s="68" t="n"/>
      <c r="E284" s="68" t="n"/>
      <c r="F284" s="59">
        <f>IF(OR(E284="",D284=""),"",MAX(E284-D284,0))</f>
        <v/>
      </c>
      <c r="G284" s="59">
        <f>IF(F284="","",IF(N(C284)=0,1,C284))</f>
        <v/>
      </c>
      <c r="H284" s="53" t="n">
        <v>264</v>
      </c>
      <c r="I284" s="67" t="n"/>
      <c r="J284" s="55" t="n"/>
      <c r="K284" s="68" t="n"/>
      <c r="L284" s="68" t="n"/>
      <c r="M284" s="59">
        <f>IF(OR(L284="",K284=""),"",MAX(L284-K284,0))</f>
        <v/>
      </c>
      <c r="N284" s="59">
        <f>IF(M284="","",IF(N(J284)=0,1,J284))</f>
        <v/>
      </c>
    </row>
    <row r="285">
      <c r="A285" s="53" t="n">
        <v>265</v>
      </c>
      <c r="B285" s="67" t="n"/>
      <c r="C285" s="55" t="n"/>
      <c r="D285" s="68" t="n"/>
      <c r="E285" s="68" t="n"/>
      <c r="F285" s="59">
        <f>IF(OR(E285="",D285=""),"",MAX(E285-D285,0))</f>
        <v/>
      </c>
      <c r="G285" s="59">
        <f>IF(F285="","",IF(N(C285)=0,1,C285))</f>
        <v/>
      </c>
      <c r="H285" s="53" t="n">
        <v>265</v>
      </c>
      <c r="I285" s="67" t="n"/>
      <c r="J285" s="55" t="n"/>
      <c r="K285" s="68" t="n"/>
      <c r="L285" s="68" t="n"/>
      <c r="M285" s="59">
        <f>IF(OR(L285="",K285=""),"",MAX(L285-K285,0))</f>
        <v/>
      </c>
      <c r="N285" s="59">
        <f>IF(M285="","",IF(N(J285)=0,1,J285))</f>
        <v/>
      </c>
    </row>
    <row r="286">
      <c r="A286" s="53" t="n">
        <v>266</v>
      </c>
      <c r="B286" s="67" t="n"/>
      <c r="C286" s="55" t="n"/>
      <c r="D286" s="68" t="n"/>
      <c r="E286" s="68" t="n"/>
      <c r="F286" s="59">
        <f>IF(OR(E286="",D286=""),"",MAX(E286-D286,0))</f>
        <v/>
      </c>
      <c r="G286" s="59">
        <f>IF(F286="","",IF(N(C286)=0,1,C286))</f>
        <v/>
      </c>
      <c r="H286" s="53" t="n">
        <v>266</v>
      </c>
      <c r="I286" s="67" t="n"/>
      <c r="J286" s="55" t="n"/>
      <c r="K286" s="68" t="n"/>
      <c r="L286" s="68" t="n"/>
      <c r="M286" s="59">
        <f>IF(OR(L286="",K286=""),"",MAX(L286-K286,0))</f>
        <v/>
      </c>
      <c r="N286" s="59">
        <f>IF(M286="","",IF(N(J286)=0,1,J286))</f>
        <v/>
      </c>
    </row>
    <row r="287">
      <c r="A287" s="53" t="n">
        <v>267</v>
      </c>
      <c r="B287" s="67" t="n"/>
      <c r="C287" s="55" t="n"/>
      <c r="D287" s="68" t="n"/>
      <c r="E287" s="68" t="n"/>
      <c r="F287" s="59">
        <f>IF(OR(E287="",D287=""),"",MAX(E287-D287,0))</f>
        <v/>
      </c>
      <c r="G287" s="59">
        <f>IF(F287="","",IF(N(C287)=0,1,C287))</f>
        <v/>
      </c>
      <c r="H287" s="53" t="n">
        <v>267</v>
      </c>
      <c r="I287" s="67" t="n"/>
      <c r="J287" s="55" t="n"/>
      <c r="K287" s="68" t="n"/>
      <c r="L287" s="68" t="n"/>
      <c r="M287" s="59">
        <f>IF(OR(L287="",K287=""),"",MAX(L287-K287,0))</f>
        <v/>
      </c>
      <c r="N287" s="59">
        <f>IF(M287="","",IF(N(J287)=0,1,J287))</f>
        <v/>
      </c>
    </row>
    <row r="288">
      <c r="A288" s="53" t="n">
        <v>268</v>
      </c>
      <c r="B288" s="67" t="n"/>
      <c r="C288" s="55" t="n"/>
      <c r="D288" s="68" t="n"/>
      <c r="E288" s="68" t="n"/>
      <c r="F288" s="59">
        <f>IF(OR(E288="",D288=""),"",MAX(E288-D288,0))</f>
        <v/>
      </c>
      <c r="G288" s="59">
        <f>IF(F288="","",IF(N(C288)=0,1,C288))</f>
        <v/>
      </c>
      <c r="H288" s="53" t="n">
        <v>268</v>
      </c>
      <c r="I288" s="67" t="n"/>
      <c r="J288" s="55" t="n"/>
      <c r="K288" s="68" t="n"/>
      <c r="L288" s="68" t="n"/>
      <c r="M288" s="59">
        <f>IF(OR(L288="",K288=""),"",MAX(L288-K288,0))</f>
        <v/>
      </c>
      <c r="N288" s="59">
        <f>IF(M288="","",IF(N(J288)=0,1,J288))</f>
        <v/>
      </c>
    </row>
    <row r="289">
      <c r="A289" s="53" t="n">
        <v>269</v>
      </c>
      <c r="B289" s="67" t="n"/>
      <c r="C289" s="55" t="n"/>
      <c r="D289" s="68" t="n"/>
      <c r="E289" s="68" t="n"/>
      <c r="F289" s="59">
        <f>IF(OR(E289="",D289=""),"",MAX(E289-D289,0))</f>
        <v/>
      </c>
      <c r="G289" s="59">
        <f>IF(F289="","",IF(N(C289)=0,1,C289))</f>
        <v/>
      </c>
      <c r="H289" s="53" t="n">
        <v>269</v>
      </c>
      <c r="I289" s="67" t="n"/>
      <c r="J289" s="55" t="n"/>
      <c r="K289" s="68" t="n"/>
      <c r="L289" s="68" t="n"/>
      <c r="M289" s="59">
        <f>IF(OR(L289="",K289=""),"",MAX(L289-K289,0))</f>
        <v/>
      </c>
      <c r="N289" s="59">
        <f>IF(M289="","",IF(N(J289)=0,1,J289))</f>
        <v/>
      </c>
    </row>
    <row r="290">
      <c r="A290" s="53" t="n">
        <v>270</v>
      </c>
      <c r="B290" s="67" t="n"/>
      <c r="C290" s="55" t="n"/>
      <c r="D290" s="68" t="n"/>
      <c r="E290" s="68" t="n"/>
      <c r="F290" s="59">
        <f>IF(OR(E290="",D290=""),"",MAX(E290-D290,0))</f>
        <v/>
      </c>
      <c r="G290" s="59">
        <f>IF(F290="","",IF(N(C290)=0,1,C290))</f>
        <v/>
      </c>
      <c r="H290" s="53" t="n">
        <v>270</v>
      </c>
      <c r="I290" s="67" t="n"/>
      <c r="J290" s="55" t="n"/>
      <c r="K290" s="68" t="n"/>
      <c r="L290" s="68" t="n"/>
      <c r="M290" s="59">
        <f>IF(OR(L290="",K290=""),"",MAX(L290-K290,0))</f>
        <v/>
      </c>
      <c r="N290" s="59">
        <f>IF(M290="","",IF(N(J290)=0,1,J290))</f>
        <v/>
      </c>
    </row>
    <row r="291">
      <c r="A291" s="53" t="n">
        <v>271</v>
      </c>
      <c r="B291" s="67" t="n"/>
      <c r="C291" s="55" t="n"/>
      <c r="D291" s="68" t="n"/>
      <c r="E291" s="68" t="n"/>
      <c r="F291" s="59">
        <f>IF(OR(E291="",D291=""),"",MAX(E291-D291,0))</f>
        <v/>
      </c>
      <c r="G291" s="59">
        <f>IF(F291="","",IF(N(C291)=0,1,C291))</f>
        <v/>
      </c>
      <c r="H291" s="53" t="n">
        <v>271</v>
      </c>
      <c r="I291" s="67" t="n"/>
      <c r="J291" s="55" t="n"/>
      <c r="K291" s="68" t="n"/>
      <c r="L291" s="68" t="n"/>
      <c r="M291" s="59">
        <f>IF(OR(L291="",K291=""),"",MAX(L291-K291,0))</f>
        <v/>
      </c>
      <c r="N291" s="59">
        <f>IF(M291="","",IF(N(J291)=0,1,J291))</f>
        <v/>
      </c>
    </row>
    <row r="292">
      <c r="A292" s="53" t="n">
        <v>272</v>
      </c>
      <c r="B292" s="67" t="n"/>
      <c r="C292" s="55" t="n"/>
      <c r="D292" s="68" t="n"/>
      <c r="E292" s="68" t="n"/>
      <c r="F292" s="59">
        <f>IF(OR(E292="",D292=""),"",MAX(E292-D292,0))</f>
        <v/>
      </c>
      <c r="G292" s="59">
        <f>IF(F292="","",IF(N(C292)=0,1,C292))</f>
        <v/>
      </c>
      <c r="H292" s="53" t="n">
        <v>272</v>
      </c>
      <c r="I292" s="67" t="n"/>
      <c r="J292" s="55" t="n"/>
      <c r="K292" s="68" t="n"/>
      <c r="L292" s="68" t="n"/>
      <c r="M292" s="59">
        <f>IF(OR(L292="",K292=""),"",MAX(L292-K292,0))</f>
        <v/>
      </c>
      <c r="N292" s="59">
        <f>IF(M292="","",IF(N(J292)=0,1,J292))</f>
        <v/>
      </c>
    </row>
    <row r="293">
      <c r="A293" s="53" t="n">
        <v>273</v>
      </c>
      <c r="B293" s="67" t="n"/>
      <c r="C293" s="55" t="n"/>
      <c r="D293" s="68" t="n"/>
      <c r="E293" s="68" t="n"/>
      <c r="F293" s="59">
        <f>IF(OR(E293="",D293=""),"",MAX(E293-D293,0))</f>
        <v/>
      </c>
      <c r="G293" s="59">
        <f>IF(F293="","",IF(N(C293)=0,1,C293))</f>
        <v/>
      </c>
      <c r="H293" s="53" t="n">
        <v>273</v>
      </c>
      <c r="I293" s="67" t="n"/>
      <c r="J293" s="55" t="n"/>
      <c r="K293" s="68" t="n"/>
      <c r="L293" s="68" t="n"/>
      <c r="M293" s="59">
        <f>IF(OR(L293="",K293=""),"",MAX(L293-K293,0))</f>
        <v/>
      </c>
      <c r="N293" s="59">
        <f>IF(M293="","",IF(N(J293)=0,1,J293))</f>
        <v/>
      </c>
    </row>
    <row r="294">
      <c r="A294" s="53" t="n">
        <v>274</v>
      </c>
      <c r="B294" s="67" t="n"/>
      <c r="C294" s="55" t="n"/>
      <c r="D294" s="68" t="n"/>
      <c r="E294" s="68" t="n"/>
      <c r="F294" s="59">
        <f>IF(OR(E294="",D294=""),"",MAX(E294-D294,0))</f>
        <v/>
      </c>
      <c r="G294" s="59">
        <f>IF(F294="","",IF(N(C294)=0,1,C294))</f>
        <v/>
      </c>
      <c r="H294" s="53" t="n">
        <v>274</v>
      </c>
      <c r="I294" s="67" t="n"/>
      <c r="J294" s="55" t="n"/>
      <c r="K294" s="68" t="n"/>
      <c r="L294" s="68" t="n"/>
      <c r="M294" s="59">
        <f>IF(OR(L294="",K294=""),"",MAX(L294-K294,0))</f>
        <v/>
      </c>
      <c r="N294" s="59">
        <f>IF(M294="","",IF(N(J294)=0,1,J294))</f>
        <v/>
      </c>
    </row>
    <row r="295">
      <c r="A295" s="53" t="n">
        <v>275</v>
      </c>
      <c r="B295" s="67" t="n"/>
      <c r="C295" s="55" t="n"/>
      <c r="D295" s="68" t="n"/>
      <c r="E295" s="68" t="n"/>
      <c r="F295" s="59">
        <f>IF(OR(E295="",D295=""),"",MAX(E295-D295,0))</f>
        <v/>
      </c>
      <c r="G295" s="59">
        <f>IF(F295="","",IF(N(C295)=0,1,C295))</f>
        <v/>
      </c>
      <c r="H295" s="53" t="n">
        <v>275</v>
      </c>
      <c r="I295" s="67" t="n"/>
      <c r="J295" s="55" t="n"/>
      <c r="K295" s="68" t="n"/>
      <c r="L295" s="68" t="n"/>
      <c r="M295" s="59">
        <f>IF(OR(L295="",K295=""),"",MAX(L295-K295,0))</f>
        <v/>
      </c>
      <c r="N295" s="59">
        <f>IF(M295="","",IF(N(J295)=0,1,J295))</f>
        <v/>
      </c>
    </row>
    <row r="296">
      <c r="A296" s="53" t="n">
        <v>276</v>
      </c>
      <c r="B296" s="67" t="n"/>
      <c r="C296" s="55" t="n"/>
      <c r="D296" s="68" t="n"/>
      <c r="E296" s="68" t="n"/>
      <c r="F296" s="59">
        <f>IF(OR(E296="",D296=""),"",MAX(E296-D296,0))</f>
        <v/>
      </c>
      <c r="G296" s="59">
        <f>IF(F296="","",IF(N(C296)=0,1,C296))</f>
        <v/>
      </c>
      <c r="H296" s="53" t="n">
        <v>276</v>
      </c>
      <c r="I296" s="67" t="n"/>
      <c r="J296" s="55" t="n"/>
      <c r="K296" s="68" t="n"/>
      <c r="L296" s="68" t="n"/>
      <c r="M296" s="59">
        <f>IF(OR(L296="",K296=""),"",MAX(L296-K296,0))</f>
        <v/>
      </c>
      <c r="N296" s="59">
        <f>IF(M296="","",IF(N(J296)=0,1,J296))</f>
        <v/>
      </c>
    </row>
    <row r="297">
      <c r="A297" s="53" t="n">
        <v>277</v>
      </c>
      <c r="B297" s="67" t="n"/>
      <c r="C297" s="55" t="n"/>
      <c r="D297" s="68" t="n"/>
      <c r="E297" s="68" t="n"/>
      <c r="F297" s="59">
        <f>IF(OR(E297="",D297=""),"",MAX(E297-D297,0))</f>
        <v/>
      </c>
      <c r="G297" s="59">
        <f>IF(F297="","",IF(N(C297)=0,1,C297))</f>
        <v/>
      </c>
      <c r="H297" s="53" t="n">
        <v>277</v>
      </c>
      <c r="I297" s="67" t="n"/>
      <c r="J297" s="55" t="n"/>
      <c r="K297" s="68" t="n"/>
      <c r="L297" s="68" t="n"/>
      <c r="M297" s="59">
        <f>IF(OR(L297="",K297=""),"",MAX(L297-K297,0))</f>
        <v/>
      </c>
      <c r="N297" s="59">
        <f>IF(M297="","",IF(N(J297)=0,1,J297))</f>
        <v/>
      </c>
    </row>
    <row r="298">
      <c r="A298" s="53" t="n">
        <v>278</v>
      </c>
      <c r="B298" s="67" t="n"/>
      <c r="C298" s="55" t="n"/>
      <c r="D298" s="68" t="n"/>
      <c r="E298" s="68" t="n"/>
      <c r="F298" s="59">
        <f>IF(OR(E298="",D298=""),"",MAX(E298-D298,0))</f>
        <v/>
      </c>
      <c r="G298" s="59">
        <f>IF(F298="","",IF(N(C298)=0,1,C298))</f>
        <v/>
      </c>
      <c r="H298" s="53" t="n">
        <v>278</v>
      </c>
      <c r="I298" s="67" t="n"/>
      <c r="J298" s="55" t="n"/>
      <c r="K298" s="68" t="n"/>
      <c r="L298" s="68" t="n"/>
      <c r="M298" s="59">
        <f>IF(OR(L298="",K298=""),"",MAX(L298-K298,0))</f>
        <v/>
      </c>
      <c r="N298" s="59">
        <f>IF(M298="","",IF(N(J298)=0,1,J298))</f>
        <v/>
      </c>
    </row>
    <row r="299">
      <c r="A299" s="53" t="n">
        <v>279</v>
      </c>
      <c r="B299" s="67" t="n"/>
      <c r="C299" s="55" t="n"/>
      <c r="D299" s="68" t="n"/>
      <c r="E299" s="68" t="n"/>
      <c r="F299" s="59">
        <f>IF(OR(E299="",D299=""),"",MAX(E299-D299,0))</f>
        <v/>
      </c>
      <c r="G299" s="59">
        <f>IF(F299="","",IF(N(C299)=0,1,C299))</f>
        <v/>
      </c>
      <c r="H299" s="53" t="n">
        <v>279</v>
      </c>
      <c r="I299" s="67" t="n"/>
      <c r="J299" s="55" t="n"/>
      <c r="K299" s="68" t="n"/>
      <c r="L299" s="68" t="n"/>
      <c r="M299" s="59">
        <f>IF(OR(L299="",K299=""),"",MAX(L299-K299,0))</f>
        <v/>
      </c>
      <c r="N299" s="59">
        <f>IF(M299="","",IF(N(J299)=0,1,J299))</f>
        <v/>
      </c>
    </row>
    <row r="300">
      <c r="A300" s="53" t="n">
        <v>280</v>
      </c>
      <c r="B300" s="67" t="n"/>
      <c r="C300" s="55" t="n"/>
      <c r="D300" s="68" t="n"/>
      <c r="E300" s="68" t="n"/>
      <c r="F300" s="59">
        <f>IF(OR(E300="",D300=""),"",MAX(E300-D300,0))</f>
        <v/>
      </c>
      <c r="G300" s="59">
        <f>IF(F300="","",IF(N(C300)=0,1,C300))</f>
        <v/>
      </c>
      <c r="H300" s="53" t="n">
        <v>280</v>
      </c>
      <c r="I300" s="67" t="n"/>
      <c r="J300" s="55" t="n"/>
      <c r="K300" s="68" t="n"/>
      <c r="L300" s="68" t="n"/>
      <c r="M300" s="59">
        <f>IF(OR(L300="",K300=""),"",MAX(L300-K300,0))</f>
        <v/>
      </c>
      <c r="N300" s="59">
        <f>IF(M300="","",IF(N(J300)=0,1,J300))</f>
        <v/>
      </c>
    </row>
    <row r="301">
      <c r="A301" s="53" t="n">
        <v>281</v>
      </c>
      <c r="B301" s="67" t="n"/>
      <c r="C301" s="55" t="n"/>
      <c r="D301" s="68" t="n"/>
      <c r="E301" s="68" t="n"/>
      <c r="F301" s="59">
        <f>IF(OR(E301="",D301=""),"",MAX(E301-D301,0))</f>
        <v/>
      </c>
      <c r="G301" s="59">
        <f>IF(F301="","",IF(N(C301)=0,1,C301))</f>
        <v/>
      </c>
      <c r="H301" s="53" t="n">
        <v>281</v>
      </c>
      <c r="I301" s="67" t="n"/>
      <c r="J301" s="55" t="n"/>
      <c r="K301" s="68" t="n"/>
      <c r="L301" s="68" t="n"/>
      <c r="M301" s="59">
        <f>IF(OR(L301="",K301=""),"",MAX(L301-K301,0))</f>
        <v/>
      </c>
      <c r="N301" s="59">
        <f>IF(M301="","",IF(N(J301)=0,1,J301))</f>
        <v/>
      </c>
    </row>
    <row r="302">
      <c r="A302" s="53" t="n">
        <v>282</v>
      </c>
      <c r="B302" s="67" t="n"/>
      <c r="C302" s="55" t="n"/>
      <c r="D302" s="68" t="n"/>
      <c r="E302" s="68" t="n"/>
      <c r="F302" s="59">
        <f>IF(OR(E302="",D302=""),"",MAX(E302-D302,0))</f>
        <v/>
      </c>
      <c r="G302" s="59">
        <f>IF(F302="","",IF(N(C302)=0,1,C302))</f>
        <v/>
      </c>
      <c r="H302" s="53" t="n">
        <v>282</v>
      </c>
      <c r="I302" s="67" t="n"/>
      <c r="J302" s="55" t="n"/>
      <c r="K302" s="68" t="n"/>
      <c r="L302" s="68" t="n"/>
      <c r="M302" s="59">
        <f>IF(OR(L302="",K302=""),"",MAX(L302-K302,0))</f>
        <v/>
      </c>
      <c r="N302" s="59">
        <f>IF(M302="","",IF(N(J302)=0,1,J302))</f>
        <v/>
      </c>
    </row>
    <row r="303">
      <c r="A303" s="53" t="n">
        <v>283</v>
      </c>
      <c r="B303" s="67" t="n"/>
      <c r="C303" s="55" t="n"/>
      <c r="D303" s="68" t="n"/>
      <c r="E303" s="68" t="n"/>
      <c r="F303" s="59">
        <f>IF(OR(E303="",D303=""),"",MAX(E303-D303,0))</f>
        <v/>
      </c>
      <c r="G303" s="59">
        <f>IF(F303="","",IF(N(C303)=0,1,C303))</f>
        <v/>
      </c>
      <c r="H303" s="53" t="n">
        <v>283</v>
      </c>
      <c r="I303" s="67" t="n"/>
      <c r="J303" s="55" t="n"/>
      <c r="K303" s="68" t="n"/>
      <c r="L303" s="68" t="n"/>
      <c r="M303" s="59">
        <f>IF(OR(L303="",K303=""),"",MAX(L303-K303,0))</f>
        <v/>
      </c>
      <c r="N303" s="59">
        <f>IF(M303="","",IF(N(J303)=0,1,J303))</f>
        <v/>
      </c>
    </row>
    <row r="304">
      <c r="A304" s="53" t="n">
        <v>284</v>
      </c>
      <c r="B304" s="67" t="n"/>
      <c r="C304" s="55" t="n"/>
      <c r="D304" s="68" t="n"/>
      <c r="E304" s="68" t="n"/>
      <c r="F304" s="59">
        <f>IF(OR(E304="",D304=""),"",MAX(E304-D304,0))</f>
        <v/>
      </c>
      <c r="G304" s="59">
        <f>IF(F304="","",IF(N(C304)=0,1,C304))</f>
        <v/>
      </c>
      <c r="H304" s="53" t="n">
        <v>284</v>
      </c>
      <c r="I304" s="67" t="n"/>
      <c r="J304" s="55" t="n"/>
      <c r="K304" s="68" t="n"/>
      <c r="L304" s="68" t="n"/>
      <c r="M304" s="59">
        <f>IF(OR(L304="",K304=""),"",MAX(L304-K304,0))</f>
        <v/>
      </c>
      <c r="N304" s="59">
        <f>IF(M304="","",IF(N(J304)=0,1,J304))</f>
        <v/>
      </c>
    </row>
    <row r="305">
      <c r="A305" s="53" t="n">
        <v>285</v>
      </c>
      <c r="B305" s="67" t="n"/>
      <c r="C305" s="55" t="n"/>
      <c r="D305" s="68" t="n"/>
      <c r="E305" s="68" t="n"/>
      <c r="F305" s="59">
        <f>IF(OR(E305="",D305=""),"",MAX(E305-D305,0))</f>
        <v/>
      </c>
      <c r="G305" s="59">
        <f>IF(F305="","",IF(N(C305)=0,1,C305))</f>
        <v/>
      </c>
      <c r="H305" s="53" t="n">
        <v>285</v>
      </c>
      <c r="I305" s="67" t="n"/>
      <c r="J305" s="55" t="n"/>
      <c r="K305" s="68" t="n"/>
      <c r="L305" s="68" t="n"/>
      <c r="M305" s="59">
        <f>IF(OR(L305="",K305=""),"",MAX(L305-K305,0))</f>
        <v/>
      </c>
      <c r="N305" s="59">
        <f>IF(M305="","",IF(N(J305)=0,1,J305))</f>
        <v/>
      </c>
    </row>
    <row r="306">
      <c r="A306" s="53" t="n">
        <v>286</v>
      </c>
      <c r="B306" s="67" t="n"/>
      <c r="C306" s="55" t="n"/>
      <c r="D306" s="68" t="n"/>
      <c r="E306" s="68" t="n"/>
      <c r="F306" s="59">
        <f>IF(OR(E306="",D306=""),"",MAX(E306-D306,0))</f>
        <v/>
      </c>
      <c r="G306" s="59">
        <f>IF(F306="","",IF(N(C306)=0,1,C306))</f>
        <v/>
      </c>
      <c r="H306" s="53" t="n">
        <v>286</v>
      </c>
      <c r="I306" s="67" t="n"/>
      <c r="J306" s="55" t="n"/>
      <c r="K306" s="68" t="n"/>
      <c r="L306" s="68" t="n"/>
      <c r="M306" s="59">
        <f>IF(OR(L306="",K306=""),"",MAX(L306-K306,0))</f>
        <v/>
      </c>
      <c r="N306" s="59">
        <f>IF(M306="","",IF(N(J306)=0,1,J306))</f>
        <v/>
      </c>
    </row>
    <row r="307">
      <c r="A307" s="53" t="n">
        <v>287</v>
      </c>
      <c r="B307" s="67" t="n"/>
      <c r="C307" s="55" t="n"/>
      <c r="D307" s="68" t="n"/>
      <c r="E307" s="68" t="n"/>
      <c r="F307" s="59">
        <f>IF(OR(E307="",D307=""),"",MAX(E307-D307,0))</f>
        <v/>
      </c>
      <c r="G307" s="59">
        <f>IF(F307="","",IF(N(C307)=0,1,C307))</f>
        <v/>
      </c>
      <c r="H307" s="53" t="n">
        <v>287</v>
      </c>
      <c r="I307" s="67" t="n"/>
      <c r="J307" s="55" t="n"/>
      <c r="K307" s="68" t="n"/>
      <c r="L307" s="68" t="n"/>
      <c r="M307" s="59">
        <f>IF(OR(L307="",K307=""),"",MAX(L307-K307,0))</f>
        <v/>
      </c>
      <c r="N307" s="59">
        <f>IF(M307="","",IF(N(J307)=0,1,J307))</f>
        <v/>
      </c>
    </row>
    <row r="308">
      <c r="A308" s="53" t="n">
        <v>288</v>
      </c>
      <c r="B308" s="67" t="n"/>
      <c r="C308" s="55" t="n"/>
      <c r="D308" s="68" t="n"/>
      <c r="E308" s="68" t="n"/>
      <c r="F308" s="59">
        <f>IF(OR(E308="",D308=""),"",MAX(E308-D308,0))</f>
        <v/>
      </c>
      <c r="G308" s="59">
        <f>IF(F308="","",IF(N(C308)=0,1,C308))</f>
        <v/>
      </c>
      <c r="H308" s="53" t="n">
        <v>288</v>
      </c>
      <c r="I308" s="67" t="n"/>
      <c r="J308" s="55" t="n"/>
      <c r="K308" s="68" t="n"/>
      <c r="L308" s="68" t="n"/>
      <c r="M308" s="59">
        <f>IF(OR(L308="",K308=""),"",MAX(L308-K308,0))</f>
        <v/>
      </c>
      <c r="N308" s="59">
        <f>IF(M308="","",IF(N(J308)=0,1,J308))</f>
        <v/>
      </c>
    </row>
    <row r="309">
      <c r="A309" s="53" t="n">
        <v>289</v>
      </c>
      <c r="B309" s="67" t="n"/>
      <c r="C309" s="55" t="n"/>
      <c r="D309" s="68" t="n"/>
      <c r="E309" s="68" t="n"/>
      <c r="F309" s="59">
        <f>IF(OR(E309="",D309=""),"",MAX(E309-D309,0))</f>
        <v/>
      </c>
      <c r="G309" s="59">
        <f>IF(F309="","",IF(N(C309)=0,1,C309))</f>
        <v/>
      </c>
      <c r="H309" s="53" t="n">
        <v>289</v>
      </c>
      <c r="I309" s="67" t="n"/>
      <c r="J309" s="55" t="n"/>
      <c r="K309" s="68" t="n"/>
      <c r="L309" s="68" t="n"/>
      <c r="M309" s="59">
        <f>IF(OR(L309="",K309=""),"",MAX(L309-K309,0))</f>
        <v/>
      </c>
      <c r="N309" s="59">
        <f>IF(M309="","",IF(N(J309)=0,1,J309))</f>
        <v/>
      </c>
    </row>
    <row r="310">
      <c r="A310" s="53" t="n">
        <v>290</v>
      </c>
      <c r="B310" s="67" t="n"/>
      <c r="C310" s="55" t="n"/>
      <c r="D310" s="68" t="n"/>
      <c r="E310" s="68" t="n"/>
      <c r="F310" s="59">
        <f>IF(OR(E310="",D310=""),"",MAX(E310-D310,0))</f>
        <v/>
      </c>
      <c r="G310" s="59">
        <f>IF(F310="","",IF(N(C310)=0,1,C310))</f>
        <v/>
      </c>
      <c r="H310" s="53" t="n">
        <v>290</v>
      </c>
      <c r="I310" s="67" t="n"/>
      <c r="J310" s="55" t="n"/>
      <c r="K310" s="68" t="n"/>
      <c r="L310" s="68" t="n"/>
      <c r="M310" s="59">
        <f>IF(OR(L310="",K310=""),"",MAX(L310-K310,0))</f>
        <v/>
      </c>
      <c r="N310" s="59">
        <f>IF(M310="","",IF(N(J310)=0,1,J310))</f>
        <v/>
      </c>
    </row>
    <row r="311">
      <c r="A311" s="53" t="n">
        <v>291</v>
      </c>
      <c r="B311" s="67" t="n"/>
      <c r="C311" s="55" t="n"/>
      <c r="D311" s="68" t="n"/>
      <c r="E311" s="68" t="n"/>
      <c r="F311" s="59">
        <f>IF(OR(E311="",D311=""),"",MAX(E311-D311,0))</f>
        <v/>
      </c>
      <c r="G311" s="59">
        <f>IF(F311="","",IF(N(C311)=0,1,C311))</f>
        <v/>
      </c>
      <c r="H311" s="53" t="n">
        <v>291</v>
      </c>
      <c r="I311" s="67" t="n"/>
      <c r="J311" s="55" t="n"/>
      <c r="K311" s="68" t="n"/>
      <c r="L311" s="68" t="n"/>
      <c r="M311" s="59">
        <f>IF(OR(L311="",K311=""),"",MAX(L311-K311,0))</f>
        <v/>
      </c>
      <c r="N311" s="59">
        <f>IF(M311="","",IF(N(J311)=0,1,J311))</f>
        <v/>
      </c>
    </row>
    <row r="312">
      <c r="A312" s="53" t="n">
        <v>292</v>
      </c>
      <c r="B312" s="67" t="n"/>
      <c r="C312" s="55" t="n"/>
      <c r="D312" s="68" t="n"/>
      <c r="E312" s="68" t="n"/>
      <c r="F312" s="59">
        <f>IF(OR(E312="",D312=""),"",MAX(E312-D312,0))</f>
        <v/>
      </c>
      <c r="G312" s="59">
        <f>IF(F312="","",IF(N(C312)=0,1,C312))</f>
        <v/>
      </c>
      <c r="H312" s="53" t="n">
        <v>292</v>
      </c>
      <c r="I312" s="67" t="n"/>
      <c r="J312" s="55" t="n"/>
      <c r="K312" s="68" t="n"/>
      <c r="L312" s="68" t="n"/>
      <c r="M312" s="59">
        <f>IF(OR(L312="",K312=""),"",MAX(L312-K312,0))</f>
        <v/>
      </c>
      <c r="N312" s="59">
        <f>IF(M312="","",IF(N(J312)=0,1,J312))</f>
        <v/>
      </c>
    </row>
    <row r="313">
      <c r="A313" s="53" t="n">
        <v>293</v>
      </c>
      <c r="B313" s="67" t="n"/>
      <c r="C313" s="55" t="n"/>
      <c r="D313" s="68" t="n"/>
      <c r="E313" s="68" t="n"/>
      <c r="F313" s="59">
        <f>IF(OR(E313="",D313=""),"",MAX(E313-D313,0))</f>
        <v/>
      </c>
      <c r="G313" s="59">
        <f>IF(F313="","",IF(N(C313)=0,1,C313))</f>
        <v/>
      </c>
      <c r="H313" s="53" t="n">
        <v>293</v>
      </c>
      <c r="I313" s="67" t="n"/>
      <c r="J313" s="55" t="n"/>
      <c r="K313" s="68" t="n"/>
      <c r="L313" s="68" t="n"/>
      <c r="M313" s="59">
        <f>IF(OR(L313="",K313=""),"",MAX(L313-K313,0))</f>
        <v/>
      </c>
      <c r="N313" s="59">
        <f>IF(M313="","",IF(N(J313)=0,1,J313))</f>
        <v/>
      </c>
    </row>
    <row r="314">
      <c r="A314" s="53" t="n">
        <v>294</v>
      </c>
      <c r="B314" s="67" t="n"/>
      <c r="C314" s="55" t="n"/>
      <c r="D314" s="68" t="n"/>
      <c r="E314" s="68" t="n"/>
      <c r="F314" s="59">
        <f>IF(OR(E314="",D314=""),"",MAX(E314-D314,0))</f>
        <v/>
      </c>
      <c r="G314" s="59">
        <f>IF(F314="","",IF(N(C314)=0,1,C314))</f>
        <v/>
      </c>
      <c r="H314" s="53" t="n">
        <v>294</v>
      </c>
      <c r="I314" s="67" t="n"/>
      <c r="J314" s="55" t="n"/>
      <c r="K314" s="68" t="n"/>
      <c r="L314" s="68" t="n"/>
      <c r="M314" s="59">
        <f>IF(OR(L314="",K314=""),"",MAX(L314-K314,0))</f>
        <v/>
      </c>
      <c r="N314" s="59">
        <f>IF(M314="","",IF(N(J314)=0,1,J314))</f>
        <v/>
      </c>
    </row>
    <row r="315">
      <c r="A315" s="53" t="n">
        <v>295</v>
      </c>
      <c r="B315" s="67" t="n"/>
      <c r="C315" s="55" t="n"/>
      <c r="D315" s="68" t="n"/>
      <c r="E315" s="68" t="n"/>
      <c r="F315" s="59">
        <f>IF(OR(E315="",D315=""),"",MAX(E315-D315,0))</f>
        <v/>
      </c>
      <c r="G315" s="59">
        <f>IF(F315="","",IF(N(C315)=0,1,C315))</f>
        <v/>
      </c>
      <c r="H315" s="53" t="n">
        <v>295</v>
      </c>
      <c r="I315" s="67" t="n"/>
      <c r="J315" s="55" t="n"/>
      <c r="K315" s="68" t="n"/>
      <c r="L315" s="68" t="n"/>
      <c r="M315" s="59">
        <f>IF(OR(L315="",K315=""),"",MAX(L315-K315,0))</f>
        <v/>
      </c>
      <c r="N315" s="59">
        <f>IF(M315="","",IF(N(J315)=0,1,J315))</f>
        <v/>
      </c>
    </row>
    <row r="316">
      <c r="A316" s="53" t="n">
        <v>296</v>
      </c>
      <c r="B316" s="67" t="n"/>
      <c r="C316" s="55" t="n"/>
      <c r="D316" s="68" t="n"/>
      <c r="E316" s="68" t="n"/>
      <c r="F316" s="59">
        <f>IF(OR(E316="",D316=""),"",MAX(E316-D316,0))</f>
        <v/>
      </c>
      <c r="G316" s="59">
        <f>IF(F316="","",IF(N(C316)=0,1,C316))</f>
        <v/>
      </c>
      <c r="H316" s="53" t="n">
        <v>296</v>
      </c>
      <c r="I316" s="67" t="n"/>
      <c r="J316" s="55" t="n"/>
      <c r="K316" s="68" t="n"/>
      <c r="L316" s="68" t="n"/>
      <c r="M316" s="59">
        <f>IF(OR(L316="",K316=""),"",MAX(L316-K316,0))</f>
        <v/>
      </c>
      <c r="N316" s="59">
        <f>IF(M316="","",IF(N(J316)=0,1,J316))</f>
        <v/>
      </c>
    </row>
    <row r="317">
      <c r="A317" s="53" t="n">
        <v>297</v>
      </c>
      <c r="B317" s="67" t="n"/>
      <c r="C317" s="55" t="n"/>
      <c r="D317" s="68" t="n"/>
      <c r="E317" s="68" t="n"/>
      <c r="F317" s="59">
        <f>IF(OR(E317="",D317=""),"",MAX(E317-D317,0))</f>
        <v/>
      </c>
      <c r="G317" s="59">
        <f>IF(F317="","",IF(N(C317)=0,1,C317))</f>
        <v/>
      </c>
      <c r="H317" s="53" t="n">
        <v>297</v>
      </c>
      <c r="I317" s="67" t="n"/>
      <c r="J317" s="55" t="n"/>
      <c r="K317" s="68" t="n"/>
      <c r="L317" s="68" t="n"/>
      <c r="M317" s="59">
        <f>IF(OR(L317="",K317=""),"",MAX(L317-K317,0))</f>
        <v/>
      </c>
      <c r="N317" s="59">
        <f>IF(M317="","",IF(N(J317)=0,1,J317))</f>
        <v/>
      </c>
    </row>
    <row r="318">
      <c r="A318" s="53" t="n">
        <v>298</v>
      </c>
      <c r="B318" s="67" t="n"/>
      <c r="C318" s="55" t="n"/>
      <c r="D318" s="68" t="n"/>
      <c r="E318" s="68" t="n"/>
      <c r="F318" s="59">
        <f>IF(OR(E318="",D318=""),"",MAX(E318-D318,0))</f>
        <v/>
      </c>
      <c r="G318" s="59">
        <f>IF(F318="","",IF(N(C318)=0,1,C318))</f>
        <v/>
      </c>
      <c r="H318" s="53" t="n">
        <v>298</v>
      </c>
      <c r="I318" s="67" t="n"/>
      <c r="J318" s="55" t="n"/>
      <c r="K318" s="68" t="n"/>
      <c r="L318" s="68" t="n"/>
      <c r="M318" s="59">
        <f>IF(OR(L318="",K318=""),"",MAX(L318-K318,0))</f>
        <v/>
      </c>
      <c r="N318" s="59">
        <f>IF(M318="","",IF(N(J318)=0,1,J318))</f>
        <v/>
      </c>
    </row>
    <row r="319">
      <c r="A319" s="53" t="n">
        <v>299</v>
      </c>
      <c r="B319" s="67" t="n"/>
      <c r="C319" s="55" t="n"/>
      <c r="D319" s="68" t="n"/>
      <c r="E319" s="68" t="n"/>
      <c r="F319" s="59">
        <f>IF(OR(E319="",D319=""),"",MAX(E319-D319,0))</f>
        <v/>
      </c>
      <c r="G319" s="59">
        <f>IF(F319="","",IF(N(C319)=0,1,C319))</f>
        <v/>
      </c>
      <c r="H319" s="53" t="n">
        <v>299</v>
      </c>
      <c r="I319" s="67" t="n"/>
      <c r="J319" s="55" t="n"/>
      <c r="K319" s="68" t="n"/>
      <c r="L319" s="68" t="n"/>
      <c r="M319" s="59">
        <f>IF(OR(L319="",K319=""),"",MAX(L319-K319,0))</f>
        <v/>
      </c>
      <c r="N319" s="59">
        <f>IF(M319="","",IF(N(J319)=0,1,J319))</f>
        <v/>
      </c>
    </row>
    <row r="320">
      <c r="A320" s="53" t="n">
        <v>300</v>
      </c>
      <c r="B320" s="67" t="n"/>
      <c r="C320" s="55" t="n"/>
      <c r="D320" s="68" t="n"/>
      <c r="E320" s="68" t="n"/>
      <c r="F320" s="59">
        <f>IF(OR(E320="",D320=""),"",MAX(E320-D320,0))</f>
        <v/>
      </c>
      <c r="G320" s="59">
        <f>IF(F320="","",IF(N(C320)=0,1,C320))</f>
        <v/>
      </c>
      <c r="H320" s="53" t="n">
        <v>300</v>
      </c>
      <c r="I320" s="67" t="n"/>
      <c r="J320" s="55" t="n"/>
      <c r="K320" s="68" t="n"/>
      <c r="L320" s="68" t="n"/>
      <c r="M320" s="59">
        <f>IF(OR(L320="",K320=""),"",MAX(L320-K320,0))</f>
        <v/>
      </c>
      <c r="N320" s="59">
        <f>IF(M320="","",IF(N(J320)=0,1,J320))</f>
        <v/>
      </c>
    </row>
    <row r="321">
      <c r="A321" s="53" t="n">
        <v>301</v>
      </c>
      <c r="B321" s="67" t="n"/>
      <c r="C321" s="55" t="n"/>
      <c r="D321" s="68" t="n"/>
      <c r="E321" s="68" t="n"/>
      <c r="F321" s="59">
        <f>IF(OR(E321="",D321=""),"",MAX(E321-D321,0))</f>
        <v/>
      </c>
      <c r="G321" s="59">
        <f>IF(F321="","",IF(N(C321)=0,1,C321))</f>
        <v/>
      </c>
      <c r="H321" s="53" t="n">
        <v>301</v>
      </c>
      <c r="I321" s="67" t="n"/>
      <c r="J321" s="55" t="n"/>
      <c r="K321" s="68" t="n"/>
      <c r="L321" s="68" t="n"/>
      <c r="M321" s="59">
        <f>IF(OR(L321="",K321=""),"",MAX(L321-K321,0))</f>
        <v/>
      </c>
      <c r="N321" s="59">
        <f>IF(M321="","",IF(N(J321)=0,1,J321))</f>
        <v/>
      </c>
    </row>
    <row r="322">
      <c r="A322" s="53" t="n">
        <v>302</v>
      </c>
      <c r="B322" s="67" t="n"/>
      <c r="C322" s="55" t="n"/>
      <c r="D322" s="68" t="n"/>
      <c r="E322" s="68" t="n"/>
      <c r="F322" s="59">
        <f>IF(OR(E322="",D322=""),"",MAX(E322-D322,0))</f>
        <v/>
      </c>
      <c r="G322" s="59">
        <f>IF(F322="","",IF(N(C322)=0,1,C322))</f>
        <v/>
      </c>
      <c r="H322" s="53" t="n">
        <v>302</v>
      </c>
      <c r="I322" s="67" t="n"/>
      <c r="J322" s="55" t="n"/>
      <c r="K322" s="68" t="n"/>
      <c r="L322" s="68" t="n"/>
      <c r="M322" s="59">
        <f>IF(OR(L322="",K322=""),"",MAX(L322-K322,0))</f>
        <v/>
      </c>
      <c r="N322" s="59">
        <f>IF(M322="","",IF(N(J322)=0,1,J322))</f>
        <v/>
      </c>
    </row>
    <row r="323">
      <c r="A323" s="53" t="n">
        <v>303</v>
      </c>
      <c r="B323" s="67" t="n"/>
      <c r="C323" s="55" t="n"/>
      <c r="D323" s="68" t="n"/>
      <c r="E323" s="68" t="n"/>
      <c r="F323" s="59">
        <f>IF(OR(E323="",D323=""),"",MAX(E323-D323,0))</f>
        <v/>
      </c>
      <c r="G323" s="59">
        <f>IF(F323="","",IF(N(C323)=0,1,C323))</f>
        <v/>
      </c>
      <c r="H323" s="53" t="n">
        <v>303</v>
      </c>
      <c r="I323" s="67" t="n"/>
      <c r="J323" s="55" t="n"/>
      <c r="K323" s="68" t="n"/>
      <c r="L323" s="68" t="n"/>
      <c r="M323" s="59">
        <f>IF(OR(L323="",K323=""),"",MAX(L323-K323,0))</f>
        <v/>
      </c>
      <c r="N323" s="59">
        <f>IF(M323="","",IF(N(J323)=0,1,J323))</f>
        <v/>
      </c>
    </row>
    <row r="324">
      <c r="A324" s="53" t="n">
        <v>304</v>
      </c>
      <c r="B324" s="67" t="n"/>
      <c r="C324" s="55" t="n"/>
      <c r="D324" s="68" t="n"/>
      <c r="E324" s="68" t="n"/>
      <c r="F324" s="59">
        <f>IF(OR(E324="",D324=""),"",MAX(E324-D324,0))</f>
        <v/>
      </c>
      <c r="G324" s="59">
        <f>IF(F324="","",IF(N(C324)=0,1,C324))</f>
        <v/>
      </c>
      <c r="H324" s="53" t="n">
        <v>304</v>
      </c>
      <c r="I324" s="67" t="n"/>
      <c r="J324" s="55" t="n"/>
      <c r="K324" s="68" t="n"/>
      <c r="L324" s="68" t="n"/>
      <c r="M324" s="59">
        <f>IF(OR(L324="",K324=""),"",MAX(L324-K324,0))</f>
        <v/>
      </c>
      <c r="N324" s="59">
        <f>IF(M324="","",IF(N(J324)=0,1,J324))</f>
        <v/>
      </c>
    </row>
    <row r="325">
      <c r="A325" s="53" t="n">
        <v>305</v>
      </c>
      <c r="B325" s="67" t="n"/>
      <c r="C325" s="55" t="n"/>
      <c r="D325" s="68" t="n"/>
      <c r="E325" s="68" t="n"/>
      <c r="F325" s="59">
        <f>IF(OR(E325="",D325=""),"",MAX(E325-D325,0))</f>
        <v/>
      </c>
      <c r="G325" s="59">
        <f>IF(F325="","",IF(N(C325)=0,1,C325))</f>
        <v/>
      </c>
      <c r="H325" s="53" t="n">
        <v>305</v>
      </c>
      <c r="I325" s="67" t="n"/>
      <c r="J325" s="55" t="n"/>
      <c r="K325" s="68" t="n"/>
      <c r="L325" s="68" t="n"/>
      <c r="M325" s="59">
        <f>IF(OR(L325="",K325=""),"",MAX(L325-K325,0))</f>
        <v/>
      </c>
      <c r="N325" s="59">
        <f>IF(M325="","",IF(N(J325)=0,1,J325))</f>
        <v/>
      </c>
    </row>
    <row r="326">
      <c r="A326" s="53" t="n">
        <v>306</v>
      </c>
      <c r="B326" s="67" t="n"/>
      <c r="C326" s="55" t="n"/>
      <c r="D326" s="68" t="n"/>
      <c r="E326" s="68" t="n"/>
      <c r="F326" s="59">
        <f>IF(OR(E326="",D326=""),"",MAX(E326-D326,0))</f>
        <v/>
      </c>
      <c r="G326" s="59">
        <f>IF(F326="","",IF(N(C326)=0,1,C326))</f>
        <v/>
      </c>
      <c r="H326" s="53" t="n">
        <v>306</v>
      </c>
      <c r="I326" s="67" t="n"/>
      <c r="J326" s="55" t="n"/>
      <c r="K326" s="68" t="n"/>
      <c r="L326" s="68" t="n"/>
      <c r="M326" s="59">
        <f>IF(OR(L326="",K326=""),"",MAX(L326-K326,0))</f>
        <v/>
      </c>
      <c r="N326" s="59">
        <f>IF(M326="","",IF(N(J326)=0,1,J326))</f>
        <v/>
      </c>
    </row>
    <row r="327">
      <c r="A327" s="53" t="n">
        <v>307</v>
      </c>
      <c r="B327" s="67" t="n"/>
      <c r="C327" s="55" t="n"/>
      <c r="D327" s="68" t="n"/>
      <c r="E327" s="68" t="n"/>
      <c r="F327" s="59">
        <f>IF(OR(E327="",D327=""),"",MAX(E327-D327,0))</f>
        <v/>
      </c>
      <c r="G327" s="59">
        <f>IF(F327="","",IF(N(C327)=0,1,C327))</f>
        <v/>
      </c>
      <c r="H327" s="53" t="n">
        <v>307</v>
      </c>
      <c r="I327" s="67" t="n"/>
      <c r="J327" s="55" t="n"/>
      <c r="K327" s="68" t="n"/>
      <c r="L327" s="68" t="n"/>
      <c r="M327" s="59">
        <f>IF(OR(L327="",K327=""),"",MAX(L327-K327,0))</f>
        <v/>
      </c>
      <c r="N327" s="59">
        <f>IF(M327="","",IF(N(J327)=0,1,J327))</f>
        <v/>
      </c>
    </row>
    <row r="328">
      <c r="A328" s="53" t="n">
        <v>308</v>
      </c>
      <c r="B328" s="67" t="n"/>
      <c r="C328" s="55" t="n"/>
      <c r="D328" s="68" t="n"/>
      <c r="E328" s="68" t="n"/>
      <c r="F328" s="59">
        <f>IF(OR(E328="",D328=""),"",MAX(E328-D328,0))</f>
        <v/>
      </c>
      <c r="G328" s="59">
        <f>IF(F328="","",IF(N(C328)=0,1,C328))</f>
        <v/>
      </c>
      <c r="H328" s="53" t="n">
        <v>308</v>
      </c>
      <c r="I328" s="67" t="n"/>
      <c r="J328" s="55" t="n"/>
      <c r="K328" s="68" t="n"/>
      <c r="L328" s="68" t="n"/>
      <c r="M328" s="59">
        <f>IF(OR(L328="",K328=""),"",MAX(L328-K328,0))</f>
        <v/>
      </c>
      <c r="N328" s="59">
        <f>IF(M328="","",IF(N(J328)=0,1,J328))</f>
        <v/>
      </c>
    </row>
    <row r="329">
      <c r="A329" s="53" t="n">
        <v>309</v>
      </c>
      <c r="B329" s="67" t="n"/>
      <c r="C329" s="55" t="n"/>
      <c r="D329" s="68" t="n"/>
      <c r="E329" s="68" t="n"/>
      <c r="F329" s="59">
        <f>IF(OR(E329="",D329=""),"",MAX(E329-D329,0))</f>
        <v/>
      </c>
      <c r="G329" s="59">
        <f>IF(F329="","",IF(N(C329)=0,1,C329))</f>
        <v/>
      </c>
      <c r="H329" s="53" t="n">
        <v>309</v>
      </c>
      <c r="I329" s="67" t="n"/>
      <c r="J329" s="55" t="n"/>
      <c r="K329" s="68" t="n"/>
      <c r="L329" s="68" t="n"/>
      <c r="M329" s="59">
        <f>IF(OR(L329="",K329=""),"",MAX(L329-K329,0))</f>
        <v/>
      </c>
      <c r="N329" s="59">
        <f>IF(M329="","",IF(N(J329)=0,1,J329))</f>
        <v/>
      </c>
    </row>
    <row r="330">
      <c r="A330" s="53" t="n">
        <v>310</v>
      </c>
      <c r="B330" s="67" t="n"/>
      <c r="C330" s="55" t="n"/>
      <c r="D330" s="68" t="n"/>
      <c r="E330" s="68" t="n"/>
      <c r="F330" s="59">
        <f>IF(OR(E330="",D330=""),"",MAX(E330-D330,0))</f>
        <v/>
      </c>
      <c r="G330" s="59">
        <f>IF(F330="","",IF(N(C330)=0,1,C330))</f>
        <v/>
      </c>
      <c r="H330" s="53" t="n">
        <v>310</v>
      </c>
      <c r="I330" s="67" t="n"/>
      <c r="J330" s="55" t="n"/>
      <c r="K330" s="68" t="n"/>
      <c r="L330" s="68" t="n"/>
      <c r="M330" s="59">
        <f>IF(OR(L330="",K330=""),"",MAX(L330-K330,0))</f>
        <v/>
      </c>
      <c r="N330" s="59">
        <f>IF(M330="","",IF(N(J330)=0,1,J330))</f>
        <v/>
      </c>
    </row>
    <row r="331">
      <c r="A331" s="53" t="n">
        <v>311</v>
      </c>
      <c r="B331" s="67" t="n"/>
      <c r="C331" s="55" t="n"/>
      <c r="D331" s="68" t="n"/>
      <c r="E331" s="68" t="n"/>
      <c r="F331" s="59">
        <f>IF(OR(E331="",D331=""),"",MAX(E331-D331,0))</f>
        <v/>
      </c>
      <c r="G331" s="59">
        <f>IF(F331="","",IF(N(C331)=0,1,C331))</f>
        <v/>
      </c>
      <c r="H331" s="53" t="n">
        <v>311</v>
      </c>
      <c r="I331" s="67" t="n"/>
      <c r="J331" s="55" t="n"/>
      <c r="K331" s="68" t="n"/>
      <c r="L331" s="68" t="n"/>
      <c r="M331" s="59">
        <f>IF(OR(L331="",K331=""),"",MAX(L331-K331,0))</f>
        <v/>
      </c>
      <c r="N331" s="59">
        <f>IF(M331="","",IF(N(J331)=0,1,J331))</f>
        <v/>
      </c>
    </row>
    <row r="332">
      <c r="A332" s="53" t="n">
        <v>312</v>
      </c>
      <c r="B332" s="67" t="n"/>
      <c r="C332" s="55" t="n"/>
      <c r="D332" s="68" t="n"/>
      <c r="E332" s="68" t="n"/>
      <c r="F332" s="59">
        <f>IF(OR(E332="",D332=""),"",MAX(E332-D332,0))</f>
        <v/>
      </c>
      <c r="G332" s="59">
        <f>IF(F332="","",IF(N(C332)=0,1,C332))</f>
        <v/>
      </c>
      <c r="H332" s="53" t="n">
        <v>312</v>
      </c>
      <c r="I332" s="67" t="n"/>
      <c r="J332" s="55" t="n"/>
      <c r="K332" s="68" t="n"/>
      <c r="L332" s="68" t="n"/>
      <c r="M332" s="59">
        <f>IF(OR(L332="",K332=""),"",MAX(L332-K332,0))</f>
        <v/>
      </c>
      <c r="N332" s="59">
        <f>IF(M332="","",IF(N(J332)=0,1,J332))</f>
        <v/>
      </c>
    </row>
    <row r="333">
      <c r="A333" s="53" t="n">
        <v>313</v>
      </c>
      <c r="B333" s="67" t="n"/>
      <c r="C333" s="55" t="n"/>
      <c r="D333" s="68" t="n"/>
      <c r="E333" s="68" t="n"/>
      <c r="F333" s="59">
        <f>IF(OR(E333="",D333=""),"",MAX(E333-D333,0))</f>
        <v/>
      </c>
      <c r="G333" s="59">
        <f>IF(F333="","",IF(N(C333)=0,1,C333))</f>
        <v/>
      </c>
      <c r="H333" s="53" t="n">
        <v>313</v>
      </c>
      <c r="I333" s="67" t="n"/>
      <c r="J333" s="55" t="n"/>
      <c r="K333" s="68" t="n"/>
      <c r="L333" s="68" t="n"/>
      <c r="M333" s="59">
        <f>IF(OR(L333="",K333=""),"",MAX(L333-K333,0))</f>
        <v/>
      </c>
      <c r="N333" s="59">
        <f>IF(M333="","",IF(N(J333)=0,1,J333))</f>
        <v/>
      </c>
    </row>
    <row r="334">
      <c r="A334" s="53" t="n">
        <v>314</v>
      </c>
      <c r="B334" s="67" t="n"/>
      <c r="C334" s="55" t="n"/>
      <c r="D334" s="68" t="n"/>
      <c r="E334" s="68" t="n"/>
      <c r="F334" s="59">
        <f>IF(OR(E334="",D334=""),"",MAX(E334-D334,0))</f>
        <v/>
      </c>
      <c r="G334" s="59">
        <f>IF(F334="","",IF(N(C334)=0,1,C334))</f>
        <v/>
      </c>
      <c r="H334" s="53" t="n">
        <v>314</v>
      </c>
      <c r="I334" s="67" t="n"/>
      <c r="J334" s="55" t="n"/>
      <c r="K334" s="68" t="n"/>
      <c r="L334" s="68" t="n"/>
      <c r="M334" s="59">
        <f>IF(OR(L334="",K334=""),"",MAX(L334-K334,0))</f>
        <v/>
      </c>
      <c r="N334" s="59">
        <f>IF(M334="","",IF(N(J334)=0,1,J334))</f>
        <v/>
      </c>
    </row>
    <row r="335">
      <c r="A335" s="53" t="n">
        <v>315</v>
      </c>
      <c r="B335" s="67" t="n"/>
      <c r="C335" s="55" t="n"/>
      <c r="D335" s="68" t="n"/>
      <c r="E335" s="68" t="n"/>
      <c r="F335" s="59">
        <f>IF(OR(E335="",D335=""),"",MAX(E335-D335,0))</f>
        <v/>
      </c>
      <c r="G335" s="59">
        <f>IF(F335="","",IF(N(C335)=0,1,C335))</f>
        <v/>
      </c>
      <c r="H335" s="53" t="n">
        <v>315</v>
      </c>
      <c r="I335" s="67" t="n"/>
      <c r="J335" s="55" t="n"/>
      <c r="K335" s="68" t="n"/>
      <c r="L335" s="68" t="n"/>
      <c r="M335" s="59">
        <f>IF(OR(L335="",K335=""),"",MAX(L335-K335,0))</f>
        <v/>
      </c>
      <c r="N335" s="59">
        <f>IF(M335="","",IF(N(J335)=0,1,J335))</f>
        <v/>
      </c>
    </row>
    <row r="336">
      <c r="A336" s="53" t="n">
        <v>316</v>
      </c>
      <c r="B336" s="67" t="n"/>
      <c r="C336" s="55" t="n"/>
      <c r="D336" s="68" t="n"/>
      <c r="E336" s="68" t="n"/>
      <c r="F336" s="59">
        <f>IF(OR(E336="",D336=""),"",MAX(E336-D336,0))</f>
        <v/>
      </c>
      <c r="G336" s="59">
        <f>IF(F336="","",IF(N(C336)=0,1,C336))</f>
        <v/>
      </c>
      <c r="H336" s="53" t="n">
        <v>316</v>
      </c>
      <c r="I336" s="67" t="n"/>
      <c r="J336" s="55" t="n"/>
      <c r="K336" s="68" t="n"/>
      <c r="L336" s="68" t="n"/>
      <c r="M336" s="59">
        <f>IF(OR(L336="",K336=""),"",MAX(L336-K336,0))</f>
        <v/>
      </c>
      <c r="N336" s="59">
        <f>IF(M336="","",IF(N(J336)=0,1,J336))</f>
        <v/>
      </c>
    </row>
    <row r="337">
      <c r="A337" s="53" t="n">
        <v>317</v>
      </c>
      <c r="B337" s="67" t="n"/>
      <c r="C337" s="55" t="n"/>
      <c r="D337" s="68" t="n"/>
      <c r="E337" s="68" t="n"/>
      <c r="F337" s="59">
        <f>IF(OR(E337="",D337=""),"",MAX(E337-D337,0))</f>
        <v/>
      </c>
      <c r="G337" s="59">
        <f>IF(F337="","",IF(N(C337)=0,1,C337))</f>
        <v/>
      </c>
      <c r="H337" s="53" t="n">
        <v>317</v>
      </c>
      <c r="I337" s="67" t="n"/>
      <c r="J337" s="55" t="n"/>
      <c r="K337" s="68" t="n"/>
      <c r="L337" s="68" t="n"/>
      <c r="M337" s="59">
        <f>IF(OR(L337="",K337=""),"",MAX(L337-K337,0))</f>
        <v/>
      </c>
      <c r="N337" s="59">
        <f>IF(M337="","",IF(N(J337)=0,1,J337))</f>
        <v/>
      </c>
    </row>
    <row r="338">
      <c r="A338" s="53" t="n">
        <v>318</v>
      </c>
      <c r="B338" s="67" t="n"/>
      <c r="C338" s="55" t="n"/>
      <c r="D338" s="68" t="n"/>
      <c r="E338" s="68" t="n"/>
      <c r="F338" s="59">
        <f>IF(OR(E338="",D338=""),"",MAX(E338-D338,0))</f>
        <v/>
      </c>
      <c r="G338" s="59">
        <f>IF(F338="","",IF(N(C338)=0,1,C338))</f>
        <v/>
      </c>
      <c r="H338" s="53" t="n">
        <v>318</v>
      </c>
      <c r="I338" s="67" t="n"/>
      <c r="J338" s="55" t="n"/>
      <c r="K338" s="68" t="n"/>
      <c r="L338" s="68" t="n"/>
      <c r="M338" s="59">
        <f>IF(OR(L338="",K338=""),"",MAX(L338-K338,0))</f>
        <v/>
      </c>
      <c r="N338" s="59">
        <f>IF(M338="","",IF(N(J338)=0,1,J338))</f>
        <v/>
      </c>
    </row>
    <row r="339">
      <c r="A339" s="53" t="n">
        <v>319</v>
      </c>
      <c r="B339" s="67" t="n"/>
      <c r="C339" s="55" t="n"/>
      <c r="D339" s="68" t="n"/>
      <c r="E339" s="68" t="n"/>
      <c r="F339" s="59">
        <f>IF(OR(E339="",D339=""),"",MAX(E339-D339,0))</f>
        <v/>
      </c>
      <c r="G339" s="59">
        <f>IF(F339="","",IF(N(C339)=0,1,C339))</f>
        <v/>
      </c>
      <c r="H339" s="53" t="n">
        <v>319</v>
      </c>
      <c r="I339" s="67" t="n"/>
      <c r="J339" s="55" t="n"/>
      <c r="K339" s="68" t="n"/>
      <c r="L339" s="68" t="n"/>
      <c r="M339" s="59">
        <f>IF(OR(L339="",K339=""),"",MAX(L339-K339,0))</f>
        <v/>
      </c>
      <c r="N339" s="59">
        <f>IF(M339="","",IF(N(J339)=0,1,J339))</f>
        <v/>
      </c>
    </row>
    <row r="340">
      <c r="A340" s="53" t="n">
        <v>320</v>
      </c>
      <c r="B340" s="67" t="n"/>
      <c r="C340" s="55" t="n"/>
      <c r="D340" s="68" t="n"/>
      <c r="E340" s="68" t="n"/>
      <c r="F340" s="59">
        <f>IF(OR(E340="",D340=""),"",MAX(E340-D340,0))</f>
        <v/>
      </c>
      <c r="G340" s="59">
        <f>IF(F340="","",IF(N(C340)=0,1,C340))</f>
        <v/>
      </c>
      <c r="H340" s="53" t="n">
        <v>320</v>
      </c>
      <c r="I340" s="67" t="n"/>
      <c r="J340" s="55" t="n"/>
      <c r="K340" s="68" t="n"/>
      <c r="L340" s="68" t="n"/>
      <c r="M340" s="59">
        <f>IF(OR(L340="",K340=""),"",MAX(L340-K340,0))</f>
        <v/>
      </c>
      <c r="N340" s="59">
        <f>IF(M340="","",IF(N(J340)=0,1,J340))</f>
        <v/>
      </c>
    </row>
    <row r="341">
      <c r="A341" s="53" t="n">
        <v>321</v>
      </c>
      <c r="B341" s="67" t="n"/>
      <c r="C341" s="55" t="n"/>
      <c r="D341" s="68" t="n"/>
      <c r="E341" s="68" t="n"/>
      <c r="F341" s="59">
        <f>IF(OR(E341="",D341=""),"",MAX(E341-D341,0))</f>
        <v/>
      </c>
      <c r="G341" s="59">
        <f>IF(F341="","",IF(N(C341)=0,1,C341))</f>
        <v/>
      </c>
      <c r="H341" s="53" t="n">
        <v>321</v>
      </c>
      <c r="I341" s="67" t="n"/>
      <c r="J341" s="55" t="n"/>
      <c r="K341" s="68" t="n"/>
      <c r="L341" s="68" t="n"/>
      <c r="M341" s="59">
        <f>IF(OR(L341="",K341=""),"",MAX(L341-K341,0))</f>
        <v/>
      </c>
      <c r="N341" s="59">
        <f>IF(M341="","",IF(N(J341)=0,1,J341))</f>
        <v/>
      </c>
    </row>
    <row r="342">
      <c r="A342" s="53" t="n">
        <v>322</v>
      </c>
      <c r="B342" s="67" t="n"/>
      <c r="C342" s="55" t="n"/>
      <c r="D342" s="68" t="n"/>
      <c r="E342" s="68" t="n"/>
      <c r="F342" s="59">
        <f>IF(OR(E342="",D342=""),"",MAX(E342-D342,0))</f>
        <v/>
      </c>
      <c r="G342" s="59">
        <f>IF(F342="","",IF(N(C342)=0,1,C342))</f>
        <v/>
      </c>
      <c r="H342" s="53" t="n">
        <v>322</v>
      </c>
      <c r="I342" s="67" t="n"/>
      <c r="J342" s="55" t="n"/>
      <c r="K342" s="68" t="n"/>
      <c r="L342" s="68" t="n"/>
      <c r="M342" s="59">
        <f>IF(OR(L342="",K342=""),"",MAX(L342-K342,0))</f>
        <v/>
      </c>
      <c r="N342" s="59">
        <f>IF(M342="","",IF(N(J342)=0,1,J342))</f>
        <v/>
      </c>
    </row>
    <row r="343">
      <c r="A343" s="53" t="n">
        <v>323</v>
      </c>
      <c r="B343" s="67" t="n"/>
      <c r="C343" s="55" t="n"/>
      <c r="D343" s="68" t="n"/>
      <c r="E343" s="68" t="n"/>
      <c r="F343" s="59">
        <f>IF(OR(E343="",D343=""),"",MAX(E343-D343,0))</f>
        <v/>
      </c>
      <c r="G343" s="59">
        <f>IF(F343="","",IF(N(C343)=0,1,C343))</f>
        <v/>
      </c>
      <c r="H343" s="53" t="n">
        <v>323</v>
      </c>
      <c r="I343" s="67" t="n"/>
      <c r="J343" s="55" t="n"/>
      <c r="K343" s="68" t="n"/>
      <c r="L343" s="68" t="n"/>
      <c r="M343" s="59">
        <f>IF(OR(L343="",K343=""),"",MAX(L343-K343,0))</f>
        <v/>
      </c>
      <c r="N343" s="59">
        <f>IF(M343="","",IF(N(J343)=0,1,J343))</f>
        <v/>
      </c>
    </row>
    <row r="344">
      <c r="A344" s="53" t="n">
        <v>324</v>
      </c>
      <c r="B344" s="67" t="n"/>
      <c r="C344" s="55" t="n"/>
      <c r="D344" s="68" t="n"/>
      <c r="E344" s="68" t="n"/>
      <c r="F344" s="59">
        <f>IF(OR(E344="",D344=""),"",MAX(E344-D344,0))</f>
        <v/>
      </c>
      <c r="G344" s="59">
        <f>IF(F344="","",IF(N(C344)=0,1,C344))</f>
        <v/>
      </c>
      <c r="H344" s="53" t="n">
        <v>324</v>
      </c>
      <c r="I344" s="67" t="n"/>
      <c r="J344" s="55" t="n"/>
      <c r="K344" s="68" t="n"/>
      <c r="L344" s="68" t="n"/>
      <c r="M344" s="59">
        <f>IF(OR(L344="",K344=""),"",MAX(L344-K344,0))</f>
        <v/>
      </c>
      <c r="N344" s="59">
        <f>IF(M344="","",IF(N(J344)=0,1,J344))</f>
        <v/>
      </c>
    </row>
    <row r="345">
      <c r="A345" s="53" t="n">
        <v>325</v>
      </c>
      <c r="B345" s="67" t="n"/>
      <c r="C345" s="55" t="n"/>
      <c r="D345" s="68" t="n"/>
      <c r="E345" s="68" t="n"/>
      <c r="F345" s="59">
        <f>IF(OR(E345="",D345=""),"",MAX(E345-D345,0))</f>
        <v/>
      </c>
      <c r="G345" s="59">
        <f>IF(F345="","",IF(N(C345)=0,1,C345))</f>
        <v/>
      </c>
      <c r="H345" s="53" t="n">
        <v>325</v>
      </c>
      <c r="I345" s="67" t="n"/>
      <c r="J345" s="55" t="n"/>
      <c r="K345" s="68" t="n"/>
      <c r="L345" s="68" t="n"/>
      <c r="M345" s="59">
        <f>IF(OR(L345="",K345=""),"",MAX(L345-K345,0))</f>
        <v/>
      </c>
      <c r="N345" s="59">
        <f>IF(M345="","",IF(N(J345)=0,1,J345))</f>
        <v/>
      </c>
    </row>
    <row r="346">
      <c r="A346" s="53" t="n">
        <v>326</v>
      </c>
      <c r="B346" s="67" t="n"/>
      <c r="C346" s="55" t="n"/>
      <c r="D346" s="68" t="n"/>
      <c r="E346" s="68" t="n"/>
      <c r="F346" s="59">
        <f>IF(OR(E346="",D346=""),"",MAX(E346-D346,0))</f>
        <v/>
      </c>
      <c r="G346" s="59">
        <f>IF(F346="","",IF(N(C346)=0,1,C346))</f>
        <v/>
      </c>
      <c r="H346" s="53" t="n">
        <v>326</v>
      </c>
      <c r="I346" s="67" t="n"/>
      <c r="J346" s="55" t="n"/>
      <c r="K346" s="68" t="n"/>
      <c r="L346" s="68" t="n"/>
      <c r="M346" s="59">
        <f>IF(OR(L346="",K346=""),"",MAX(L346-K346,0))</f>
        <v/>
      </c>
      <c r="N346" s="59">
        <f>IF(M346="","",IF(N(J346)=0,1,J346))</f>
        <v/>
      </c>
    </row>
    <row r="347">
      <c r="A347" s="53" t="n">
        <v>327</v>
      </c>
      <c r="B347" s="67" t="n"/>
      <c r="C347" s="55" t="n"/>
      <c r="D347" s="68" t="n"/>
      <c r="E347" s="68" t="n"/>
      <c r="F347" s="59">
        <f>IF(OR(E347="",D347=""),"",MAX(E347-D347,0))</f>
        <v/>
      </c>
      <c r="G347" s="59">
        <f>IF(F347="","",IF(N(C347)=0,1,C347))</f>
        <v/>
      </c>
      <c r="H347" s="53" t="n">
        <v>327</v>
      </c>
      <c r="I347" s="67" t="n"/>
      <c r="J347" s="55" t="n"/>
      <c r="K347" s="68" t="n"/>
      <c r="L347" s="68" t="n"/>
      <c r="M347" s="59">
        <f>IF(OR(L347="",K347=""),"",MAX(L347-K347,0))</f>
        <v/>
      </c>
      <c r="N347" s="59">
        <f>IF(M347="","",IF(N(J347)=0,1,J347))</f>
        <v/>
      </c>
    </row>
    <row r="348">
      <c r="A348" s="53" t="n">
        <v>328</v>
      </c>
      <c r="B348" s="67" t="n"/>
      <c r="C348" s="55" t="n"/>
      <c r="D348" s="68" t="n"/>
      <c r="E348" s="68" t="n"/>
      <c r="F348" s="59">
        <f>IF(OR(E348="",D348=""),"",MAX(E348-D348,0))</f>
        <v/>
      </c>
      <c r="G348" s="59">
        <f>IF(F348="","",IF(N(C348)=0,1,C348))</f>
        <v/>
      </c>
      <c r="H348" s="53" t="n">
        <v>328</v>
      </c>
      <c r="I348" s="67" t="n"/>
      <c r="J348" s="55" t="n"/>
      <c r="K348" s="68" t="n"/>
      <c r="L348" s="68" t="n"/>
      <c r="M348" s="59">
        <f>IF(OR(L348="",K348=""),"",MAX(L348-K348,0))</f>
        <v/>
      </c>
      <c r="N348" s="59">
        <f>IF(M348="","",IF(N(J348)=0,1,J348))</f>
        <v/>
      </c>
    </row>
    <row r="349">
      <c r="A349" s="53" t="n">
        <v>329</v>
      </c>
      <c r="B349" s="67" t="n"/>
      <c r="C349" s="55" t="n"/>
      <c r="D349" s="68" t="n"/>
      <c r="E349" s="68" t="n"/>
      <c r="F349" s="59">
        <f>IF(OR(E349="",D349=""),"",MAX(E349-D349,0))</f>
        <v/>
      </c>
      <c r="G349" s="59">
        <f>IF(F349="","",IF(N(C349)=0,1,C349))</f>
        <v/>
      </c>
      <c r="H349" s="53" t="n">
        <v>329</v>
      </c>
      <c r="I349" s="67" t="n"/>
      <c r="J349" s="55" t="n"/>
      <c r="K349" s="68" t="n"/>
      <c r="L349" s="68" t="n"/>
      <c r="M349" s="59">
        <f>IF(OR(L349="",K349=""),"",MAX(L349-K349,0))</f>
        <v/>
      </c>
      <c r="N349" s="59">
        <f>IF(M349="","",IF(N(J349)=0,1,J349))</f>
        <v/>
      </c>
    </row>
    <row r="350">
      <c r="A350" s="53" t="n">
        <v>330</v>
      </c>
      <c r="B350" s="67" t="n"/>
      <c r="C350" s="55" t="n"/>
      <c r="D350" s="68" t="n"/>
      <c r="E350" s="68" t="n"/>
      <c r="F350" s="59">
        <f>IF(OR(E350="",D350=""),"",MAX(E350-D350,0))</f>
        <v/>
      </c>
      <c r="G350" s="59">
        <f>IF(F350="","",IF(N(C350)=0,1,C350))</f>
        <v/>
      </c>
      <c r="H350" s="53" t="n">
        <v>330</v>
      </c>
      <c r="I350" s="67" t="n"/>
      <c r="J350" s="55" t="n"/>
      <c r="K350" s="68" t="n"/>
      <c r="L350" s="68" t="n"/>
      <c r="M350" s="59">
        <f>IF(OR(L350="",K350=""),"",MAX(L350-K350,0))</f>
        <v/>
      </c>
      <c r="N350" s="59">
        <f>IF(M350="","",IF(N(J350)=0,1,J350))</f>
        <v/>
      </c>
    </row>
    <row r="351">
      <c r="A351" s="60" t="n"/>
      <c r="B351" s="61" t="inlineStr">
        <is>
          <t>Total</t>
        </is>
      </c>
      <c r="C351" s="65">
        <f>SUM(C21:C350)</f>
        <v/>
      </c>
      <c r="D351" s="60" t="n"/>
      <c r="E351" s="60" t="n"/>
      <c r="F351" s="62">
        <f>IF(N(G351)=0,"",SUMPRODUCT(F21:F350,G21:G350)/G351)</f>
        <v/>
      </c>
      <c r="G351" s="65">
        <f>SUM(G21:G350)</f>
        <v/>
      </c>
      <c r="H351" s="60" t="n"/>
      <c r="I351" s="61" t="inlineStr">
        <is>
          <t>Total</t>
        </is>
      </c>
      <c r="J351" s="65">
        <f>SUM(J21:J350)</f>
        <v/>
      </c>
      <c r="K351" s="60" t="n"/>
      <c r="L351" s="60" t="n"/>
      <c r="M351" s="62">
        <f>IF(N(N351)=0,"",SUMPRODUCT(M21:M350,N21:N350)/N351)</f>
        <v/>
      </c>
      <c r="N351" s="65">
        <f>SUM(N21:N350)</f>
        <v/>
      </c>
    </row>
    <row r="352">
      <c r="B35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35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350" showDropDown="0" showInputMessage="0" showErrorMessage="1" allowBlank="1" error="No. of Posts must be a whole number &gt;= 1." type="whole" operator="greaterThanOrEqual">
      <formula1>1</formula1>
    </dataValidation>
    <dataValidation sqref="K21:L35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35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1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Guayaquil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IF(OCT!$E$5="","",OCT!$E$5)</f>
        <v/>
      </c>
      <c r="D4" s="55" t="n"/>
      <c r="E4" s="56">
        <f>IF(OCT!$E$43="","",OCT!$E$43)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IF(OCT!$E$44="","",OCT!$E$44)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IF($C4="","",SUMPRODUCT(($E$21:$E$160&gt;=$Z$4)*($E$21:$E$160&lt;=EOMONTH($Z4,0)),$G$21:$G$160))</f>
        <v/>
      </c>
      <c r="AB4" s="56">
        <f>IF(N(AA4)=0,"",SUMPRODUCT(($E$21:$E$160&gt;=$Z$4)*($E$21:$E$160&lt;=EOMONTH($Z4,0)),$F$21:$F$160,$G$21:$G$160)/AA4)</f>
        <v/>
      </c>
      <c r="AC4" s="59">
        <f>IF($C4="","",SUMPRODUCT(($L$21:$L$160&gt;=$Z$4)*($L$21:$L$160&lt;=EOMONTH($Z4,0)),$N$21:$N$160))</f>
        <v/>
      </c>
      <c r="AD4" s="56">
        <f>IF(N(AC4)=0,"",SUMPRODUCT(($L$21:$L$160&gt;=$Z$4)*($L$21:$L$160&lt;=EOMONTH($Z4,0)),$M$21:$M$160,$N$21:$N$160)/AC4)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IF(NOV!$E$5="","",NOV!$E$5)</f>
        <v/>
      </c>
      <c r="D5" s="55" t="n"/>
      <c r="E5" s="56">
        <f>IF(NOV!$E$43="","",NOV!$E$43)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IF(NOV!$E$44="","",NOV!$E$44)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IF($C5="","",SUMPRODUCT(($E$21:$E$160&gt;=$Z$4)*($E$21:$E$160&lt;=EOMONTH($Z5,0)),$G$21:$G$160))</f>
        <v/>
      </c>
      <c r="AB5" s="56">
        <f>IF(N(AA5)=0,"",SUMPRODUCT(($E$21:$E$160&gt;=$Z$4)*($E$21:$E$160&lt;=EOMONTH($Z5,0)),$F$21:$F$160,$G$21:$G$160)/AA5)</f>
        <v/>
      </c>
      <c r="AC5" s="59">
        <f>IF($C5="","",SUMPRODUCT(($L$21:$L$160&gt;=$Z$4)*($L$21:$L$160&lt;=EOMONTH($Z5,0)),$N$21:$N$160))</f>
        <v/>
      </c>
      <c r="AD5" s="56">
        <f>IF(N(AC5)=0,"",SUMPRODUCT(($L$21:$L$160&gt;=$Z$4)*($L$21:$L$160&lt;=EOMONTH($Z5,0)),$M$21:$M$160,$N$21:$N$160)/AC5)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IF(DEC!$E$5="","",DEC!$E$5)</f>
        <v/>
      </c>
      <c r="D6" s="55" t="n"/>
      <c r="E6" s="56">
        <f>IF(DEC!$E$43="","",DEC!$E$43)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IF(DEC!$E$44="","",DEC!$E$44)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IF($C6="","",SUMPRODUCT(($E$21:$E$160&gt;=$Z$4)*($E$21:$E$160&lt;=EOMONTH($Z6,0)),$G$21:$G$160))</f>
        <v/>
      </c>
      <c r="AB6" s="56">
        <f>IF(N(AA6)=0,"",SUMPRODUCT(($E$21:$E$160&gt;=$Z$4)*($E$21:$E$160&lt;=EOMONTH($Z6,0)),$F$21:$F$160,$G$21:$G$160)/AA6)</f>
        <v/>
      </c>
      <c r="AC6" s="59">
        <f>IF($C6="","",SUMPRODUCT(($L$21:$L$160&gt;=$Z$4)*($L$21:$L$160&lt;=EOMONTH($Z6,0)),$N$21:$N$160))</f>
        <v/>
      </c>
      <c r="AD6" s="56">
        <f>IF(N(AC6)=0,"",SUMPRODUCT(($L$21:$L$160&gt;=$Z$4)*($L$21:$L$160&lt;=EOMONTH($Z6,0)),$M$21:$M$160,$N$21:$N$160)/AC6)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IF(JAN!$E$5="","",JAN!$E$5)</f>
        <v/>
      </c>
      <c r="D7" s="55" t="n"/>
      <c r="E7" s="56">
        <f>IF(JAN!$E$43="","",JAN!$E$43)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IF(JAN!$E$44="","",JAN!$E$44)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IF($C7="","",SUMPRODUCT(($E$21:$E$160&gt;=$Z$4)*($E$21:$E$160&lt;=EOMONTH($Z7,0)),$G$21:$G$160))</f>
        <v/>
      </c>
      <c r="AB7" s="56">
        <f>IF(N(AA7)=0,"",SUMPRODUCT(($E$21:$E$160&gt;=$Z$4)*($E$21:$E$160&lt;=EOMONTH($Z7,0)),$F$21:$F$160,$G$21:$G$160)/AA7)</f>
        <v/>
      </c>
      <c r="AC7" s="59">
        <f>IF($C7="","",SUMPRODUCT(($L$21:$L$160&gt;=$Z$4)*($L$21:$L$160&lt;=EOMONTH($Z7,0)),$N$21:$N$160))</f>
        <v/>
      </c>
      <c r="AD7" s="56">
        <f>IF(N(AC7)=0,"",SUMPRODUCT(($L$21:$L$160&gt;=$Z$4)*($L$21:$L$160&lt;=EOMONTH($Z7,0)),$M$21:$M$160,$N$21:$N$160)/AC7)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IF(FEB!$E$5="","",FEB!$E$5)</f>
        <v/>
      </c>
      <c r="D8" s="55" t="n"/>
      <c r="E8" s="56">
        <f>IF(FEB!$E$43="","",FEB!$E$43)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IF(FEB!$E$44="","",FEB!$E$44)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IF($C8="","",SUMPRODUCT(($E$21:$E$160&gt;=$Z$4)*($E$21:$E$160&lt;=EOMONTH($Z8,0)),$G$21:$G$160))</f>
        <v/>
      </c>
      <c r="AB8" s="56">
        <f>IF(N(AA8)=0,"",SUMPRODUCT(($E$21:$E$160&gt;=$Z$4)*($E$21:$E$160&lt;=EOMONTH($Z8,0)),$F$21:$F$160,$G$21:$G$160)/AA8)</f>
        <v/>
      </c>
      <c r="AC8" s="59">
        <f>IF($C8="","",SUMPRODUCT(($L$21:$L$160&gt;=$Z$4)*($L$21:$L$160&lt;=EOMONTH($Z8,0)),$N$21:$N$160))</f>
        <v/>
      </c>
      <c r="AD8" s="56">
        <f>IF(N(AC8)=0,"",SUMPRODUCT(($L$21:$L$160&gt;=$Z$4)*($L$21:$L$160&lt;=EOMONTH($Z8,0)),$M$21:$M$160,$N$21:$N$160)/AC8)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IF(MAR!$E$5="","",MAR!$E$5)</f>
        <v/>
      </c>
      <c r="D9" s="55" t="n"/>
      <c r="E9" s="56">
        <f>IF(MAR!$E$43="","",MAR!$E$43)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IF(MAR!$E$44="","",MAR!$E$44)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IF($C9="","",SUMPRODUCT(($E$21:$E$160&gt;=$Z$4)*($E$21:$E$160&lt;=EOMONTH($Z9,0)),$G$21:$G$160))</f>
        <v/>
      </c>
      <c r="AB9" s="56">
        <f>IF(N(AA9)=0,"",SUMPRODUCT(($E$21:$E$160&gt;=$Z$4)*($E$21:$E$160&lt;=EOMONTH($Z9,0)),$F$21:$F$160,$G$21:$G$160)/AA9)</f>
        <v/>
      </c>
      <c r="AC9" s="59">
        <f>IF($C9="","",SUMPRODUCT(($L$21:$L$160&gt;=$Z$4)*($L$21:$L$160&lt;=EOMONTH($Z9,0)),$N$21:$N$160))</f>
        <v/>
      </c>
      <c r="AD9" s="56">
        <f>IF(N(AC9)=0,"",SUMPRODUCT(($L$21:$L$160&gt;=$Z$4)*($L$21:$L$160&lt;=EOMONTH($Z9,0)),$M$21:$M$160,$N$21:$N$160)/AC9)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IF(APR!$E$5="","",APR!$E$5)</f>
        <v/>
      </c>
      <c r="D10" s="55" t="n"/>
      <c r="E10" s="56">
        <f>IF(APR!$E$43="","",APR!$E$43)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IF(APR!$E$44="","",APR!$E$44)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IF($C10="","",SUMPRODUCT(($E$21:$E$160&gt;=$Z$4)*($E$21:$E$160&lt;=EOMONTH($Z10,0)),$G$21:$G$160))</f>
        <v/>
      </c>
      <c r="AB10" s="56">
        <f>IF(N(AA10)=0,"",SUMPRODUCT(($E$21:$E$160&gt;=$Z$4)*($E$21:$E$160&lt;=EOMONTH($Z10,0)),$F$21:$F$160,$G$21:$G$160)/AA10)</f>
        <v/>
      </c>
      <c r="AC10" s="59">
        <f>IF($C10="","",SUMPRODUCT(($L$21:$L$160&gt;=$Z$4)*($L$21:$L$160&lt;=EOMONTH($Z10,0)),$N$21:$N$160))</f>
        <v/>
      </c>
      <c r="AD10" s="56">
        <f>IF(N(AC10)=0,"",SUMPRODUCT(($L$21:$L$160&gt;=$Z$4)*($L$21:$L$160&lt;=EOMONTH($Z10,0)),$M$21:$M$160,$N$21:$N$160)/AC10)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IF(MAY!$E$5="","",MAY!$E$5)</f>
        <v/>
      </c>
      <c r="D11" s="55" t="n"/>
      <c r="E11" s="56">
        <f>IF(MAY!$E$43="","",MAY!$E$43)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IF(MAY!$E$44="","",MAY!$E$44)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IF($C11="","",SUMPRODUCT(($E$21:$E$160&gt;=$Z$4)*($E$21:$E$160&lt;=EOMONTH($Z11,0)),$G$21:$G$160))</f>
        <v/>
      </c>
      <c r="AB11" s="56">
        <f>IF(N(AA11)=0,"",SUMPRODUCT(($E$21:$E$160&gt;=$Z$4)*($E$21:$E$160&lt;=EOMONTH($Z11,0)),$F$21:$F$160,$G$21:$G$160)/AA11)</f>
        <v/>
      </c>
      <c r="AC11" s="59">
        <f>IF($C11="","",SUMPRODUCT(($L$21:$L$160&gt;=$Z$4)*($L$21:$L$160&lt;=EOMONTH($Z11,0)),$N$21:$N$160))</f>
        <v/>
      </c>
      <c r="AD11" s="56">
        <f>IF(N(AC11)=0,"",SUMPRODUCT(($L$21:$L$160&gt;=$Z$4)*($L$21:$L$160&lt;=EOMONTH($Z11,0)),$M$21:$M$160,$N$21:$N$160)/AC11)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IF(JUN!$E$5="","",JUN!$E$5)</f>
        <v/>
      </c>
      <c r="D12" s="55" t="n"/>
      <c r="E12" s="56">
        <f>IF(JUN!$E$43="","",JUN!$E$43)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IF(JUN!$E$44="","",JUN!$E$44)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IF($C12="","",SUMPRODUCT(($E$21:$E$160&gt;=$Z$4)*($E$21:$E$160&lt;=EOMONTH($Z12,0)),$G$21:$G$160))</f>
        <v/>
      </c>
      <c r="AB12" s="56">
        <f>IF(N(AA12)=0,"",SUMPRODUCT(($E$21:$E$160&gt;=$Z$4)*($E$21:$E$160&lt;=EOMONTH($Z12,0)),$F$21:$F$160,$G$21:$G$160)/AA12)</f>
        <v/>
      </c>
      <c r="AC12" s="59">
        <f>IF($C12="","",SUMPRODUCT(($L$21:$L$160&gt;=$Z$4)*($L$21:$L$160&lt;=EOMONTH($Z12,0)),$N$21:$N$160))</f>
        <v/>
      </c>
      <c r="AD12" s="56">
        <f>IF(N(AC12)=0,"",SUMPRODUCT(($L$21:$L$160&gt;=$Z$4)*($L$21:$L$160&lt;=EOMONTH($Z12,0)),$M$21:$M$160,$N$21:$N$160)/AC12)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IF(JUL!$E$5="","",JUL!$E$5)</f>
        <v/>
      </c>
      <c r="D13" s="55" t="n"/>
      <c r="E13" s="56">
        <f>IF(JUL!$E$43="","",JUL!$E$43)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IF(JUL!$E$44="","",JUL!$E$44)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IF($C13="","",SUMPRODUCT(($E$21:$E$160&gt;=$Z$4)*($E$21:$E$160&lt;=EOMONTH($Z13,0)),$G$21:$G$160))</f>
        <v/>
      </c>
      <c r="AB13" s="56">
        <f>IF(N(AA13)=0,"",SUMPRODUCT(($E$21:$E$160&gt;=$Z$4)*($E$21:$E$160&lt;=EOMONTH($Z13,0)),$F$21:$F$160,$G$21:$G$160)/AA13)</f>
        <v/>
      </c>
      <c r="AC13" s="59">
        <f>IF($C13="","",SUMPRODUCT(($L$21:$L$160&gt;=$Z$4)*($L$21:$L$160&lt;=EOMONTH($Z13,0)),$N$21:$N$160))</f>
        <v/>
      </c>
      <c r="AD13" s="56">
        <f>IF(N(AC13)=0,"",SUMPRODUCT(($L$21:$L$160&gt;=$Z$4)*($L$21:$L$160&lt;=EOMONTH($Z13,0)),$M$21:$M$160,$N$21:$N$160)/AC13)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IF(AUG!$E$5="","",AUG!$E$5)</f>
        <v/>
      </c>
      <c r="D14" s="55" t="n"/>
      <c r="E14" s="56">
        <f>IF(AUG!$E$43="","",AUG!$E$43)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IF(AUG!$E$44="","",AUG!$E$44)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IF($C14="","",SUMPRODUCT(($E$21:$E$160&gt;=$Z$4)*($E$21:$E$160&lt;=EOMONTH($Z14,0)),$G$21:$G$160))</f>
        <v/>
      </c>
      <c r="AB14" s="56">
        <f>IF(N(AA14)=0,"",SUMPRODUCT(($E$21:$E$160&gt;=$Z$4)*($E$21:$E$160&lt;=EOMONTH($Z14,0)),$F$21:$F$160,$G$21:$G$160)/AA14)</f>
        <v/>
      </c>
      <c r="AC14" s="59">
        <f>IF($C14="","",SUMPRODUCT(($L$21:$L$160&gt;=$Z$4)*($L$21:$L$160&lt;=EOMONTH($Z14,0)),$N$21:$N$160))</f>
        <v/>
      </c>
      <c r="AD14" s="56">
        <f>IF(N(AC14)=0,"",SUMPRODUCT(($L$21:$L$160&gt;=$Z$4)*($L$21:$L$160&lt;=EOMONTH($Z14,0)),$M$21:$M$160,$N$21:$N$160)/AC14)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IF(SEP!$E$5="","",SEP!$E$5)</f>
        <v/>
      </c>
      <c r="D15" s="55" t="n"/>
      <c r="E15" s="56">
        <f>IF(SEP!$E$43="","",SEP!$E$43)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IF(SEP!$E$44="","",SEP!$E$44)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IF($C15="","",SUMPRODUCT(($E$21:$E$160&gt;=$Z$4)*($E$21:$E$160&lt;=EOMONTH($Z15,0)),$G$21:$G$160))</f>
        <v/>
      </c>
      <c r="AB15" s="56">
        <f>IF(N(AA15)=0,"",SUMPRODUCT(($E$21:$E$160&gt;=$Z$4)*($E$21:$E$160&lt;=EOMONTH($Z15,0)),$F$21:$F$160,$G$21:$G$160)/AA15)</f>
        <v/>
      </c>
      <c r="AC15" s="59">
        <f>IF($C15="","",SUMPRODUCT(($L$21:$L$160&gt;=$Z$4)*($L$21:$L$160&lt;=EOMONTH($Z15,0)),$N$21:$N$160))</f>
        <v/>
      </c>
      <c r="AD15" s="56">
        <f>IF(N(AC15)=0,"",SUMPRODUCT(($L$21:$L$160&gt;=$Z$4)*($L$21:$L$160&lt;=EOMONTH($Z15,0)),$M$21:$M$160,$N$21:$N$160)/AC15)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SUMPRODUCT(($E$21:$E$160&gt;=$Z$4)*($E$21:$E$160&lt;=EOMONTH($Z$15,0)),$G$21:$G$160)</f>
        <v/>
      </c>
      <c r="AB16" s="62">
        <f>IF(N(AA16)=0,"",SUMPRODUCT(($E$21:$E$160&gt;=$Z$4)*($E$21:$E$160&lt;=EOMONTH($Z$15,0)),$F$21:$F$160,$G$21:$G$160)/AA16)</f>
        <v/>
      </c>
      <c r="AC16" s="65">
        <f>SUMPRODUCT(($L$21:$L$160&gt;=$Z$4)*($L$21:$L$160&lt;=EOMONTH($Z$15,0)),$N$21:$N$160)</f>
        <v/>
      </c>
      <c r="AD16" s="62">
        <f>IF(N(AC16)=0,"",SUMPRODUCT(($L$21:$L$160&gt;=$Z$4)*($L$21:$L$160&lt;=EOMONTH($Z$15,0)),$M$21:$M$160,$N$21:$N$160)/AC16)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53" t="n">
        <v>51</v>
      </c>
      <c r="B71" s="67" t="n"/>
      <c r="C71" s="55" t="n"/>
      <c r="D71" s="68" t="n"/>
      <c r="E71" s="68" t="n"/>
      <c r="F71" s="59">
        <f>IF(OR(E71="",D71=""),"",MAX(E71-D71,0))</f>
        <v/>
      </c>
      <c r="G71" s="59">
        <f>IF(F71="","",IF(N(C71)=0,1,C71))</f>
        <v/>
      </c>
      <c r="H71" s="53" t="n">
        <v>51</v>
      </c>
      <c r="I71" s="67" t="n"/>
      <c r="J71" s="55" t="n"/>
      <c r="K71" s="68" t="n"/>
      <c r="L71" s="68" t="n"/>
      <c r="M71" s="59">
        <f>IF(OR(L71="",K71=""),"",MAX(L71-K71,0))</f>
        <v/>
      </c>
      <c r="N71" s="59">
        <f>IF(M71="","",IF(N(J71)=0,1,J71))</f>
        <v/>
      </c>
    </row>
    <row r="72">
      <c r="A72" s="53" t="n">
        <v>52</v>
      </c>
      <c r="B72" s="67" t="n"/>
      <c r="C72" s="55" t="n"/>
      <c r="D72" s="68" t="n"/>
      <c r="E72" s="68" t="n"/>
      <c r="F72" s="59">
        <f>IF(OR(E72="",D72=""),"",MAX(E72-D72,0))</f>
        <v/>
      </c>
      <c r="G72" s="59">
        <f>IF(F72="","",IF(N(C72)=0,1,C72))</f>
        <v/>
      </c>
      <c r="H72" s="53" t="n">
        <v>52</v>
      </c>
      <c r="I72" s="67" t="n"/>
      <c r="J72" s="55" t="n"/>
      <c r="K72" s="68" t="n"/>
      <c r="L72" s="68" t="n"/>
      <c r="M72" s="59">
        <f>IF(OR(L72="",K72=""),"",MAX(L72-K72,0))</f>
        <v/>
      </c>
      <c r="N72" s="59">
        <f>IF(M72="","",IF(N(J72)=0,1,J72))</f>
        <v/>
      </c>
    </row>
    <row r="73">
      <c r="A73" s="53" t="n">
        <v>53</v>
      </c>
      <c r="B73" s="67" t="n"/>
      <c r="C73" s="55" t="n"/>
      <c r="D73" s="68" t="n"/>
      <c r="E73" s="68" t="n"/>
      <c r="F73" s="59">
        <f>IF(OR(E73="",D73=""),"",MAX(E73-D73,0))</f>
        <v/>
      </c>
      <c r="G73" s="59">
        <f>IF(F73="","",IF(N(C73)=0,1,C73))</f>
        <v/>
      </c>
      <c r="H73" s="53" t="n">
        <v>53</v>
      </c>
      <c r="I73" s="67" t="n"/>
      <c r="J73" s="55" t="n"/>
      <c r="K73" s="68" t="n"/>
      <c r="L73" s="68" t="n"/>
      <c r="M73" s="59">
        <f>IF(OR(L73="",K73=""),"",MAX(L73-K73,0))</f>
        <v/>
      </c>
      <c r="N73" s="59">
        <f>IF(M73="","",IF(N(J73)=0,1,J73))</f>
        <v/>
      </c>
    </row>
    <row r="74">
      <c r="A74" s="53" t="n">
        <v>54</v>
      </c>
      <c r="B74" s="67" t="n"/>
      <c r="C74" s="55" t="n"/>
      <c r="D74" s="68" t="n"/>
      <c r="E74" s="68" t="n"/>
      <c r="F74" s="59">
        <f>IF(OR(E74="",D74=""),"",MAX(E74-D74,0))</f>
        <v/>
      </c>
      <c r="G74" s="59">
        <f>IF(F74="","",IF(N(C74)=0,1,C74))</f>
        <v/>
      </c>
      <c r="H74" s="53" t="n">
        <v>54</v>
      </c>
      <c r="I74" s="67" t="n"/>
      <c r="J74" s="55" t="n"/>
      <c r="K74" s="68" t="n"/>
      <c r="L74" s="68" t="n"/>
      <c r="M74" s="59">
        <f>IF(OR(L74="",K74=""),"",MAX(L74-K74,0))</f>
        <v/>
      </c>
      <c r="N74" s="59">
        <f>IF(M74="","",IF(N(J74)=0,1,J74))</f>
        <v/>
      </c>
    </row>
    <row r="75">
      <c r="A75" s="53" t="n">
        <v>55</v>
      </c>
      <c r="B75" s="67" t="n"/>
      <c r="C75" s="55" t="n"/>
      <c r="D75" s="68" t="n"/>
      <c r="E75" s="68" t="n"/>
      <c r="F75" s="59">
        <f>IF(OR(E75="",D75=""),"",MAX(E75-D75,0))</f>
        <v/>
      </c>
      <c r="G75" s="59">
        <f>IF(F75="","",IF(N(C75)=0,1,C75))</f>
        <v/>
      </c>
      <c r="H75" s="53" t="n">
        <v>55</v>
      </c>
      <c r="I75" s="67" t="n"/>
      <c r="J75" s="55" t="n"/>
      <c r="K75" s="68" t="n"/>
      <c r="L75" s="68" t="n"/>
      <c r="M75" s="59">
        <f>IF(OR(L75="",K75=""),"",MAX(L75-K75,0))</f>
        <v/>
      </c>
      <c r="N75" s="59">
        <f>IF(M75="","",IF(N(J75)=0,1,J75))</f>
        <v/>
      </c>
    </row>
    <row r="76">
      <c r="A76" s="53" t="n">
        <v>56</v>
      </c>
      <c r="B76" s="67" t="n"/>
      <c r="C76" s="55" t="n"/>
      <c r="D76" s="68" t="n"/>
      <c r="E76" s="68" t="n"/>
      <c r="F76" s="59">
        <f>IF(OR(E76="",D76=""),"",MAX(E76-D76,0))</f>
        <v/>
      </c>
      <c r="G76" s="59">
        <f>IF(F76="","",IF(N(C76)=0,1,C76))</f>
        <v/>
      </c>
      <c r="H76" s="53" t="n">
        <v>56</v>
      </c>
      <c r="I76" s="67" t="n"/>
      <c r="J76" s="55" t="n"/>
      <c r="K76" s="68" t="n"/>
      <c r="L76" s="68" t="n"/>
      <c r="M76" s="59">
        <f>IF(OR(L76="",K76=""),"",MAX(L76-K76,0))</f>
        <v/>
      </c>
      <c r="N76" s="59">
        <f>IF(M76="","",IF(N(J76)=0,1,J76))</f>
        <v/>
      </c>
    </row>
    <row r="77">
      <c r="A77" s="53" t="n">
        <v>57</v>
      </c>
      <c r="B77" s="67" t="n"/>
      <c r="C77" s="55" t="n"/>
      <c r="D77" s="68" t="n"/>
      <c r="E77" s="68" t="n"/>
      <c r="F77" s="59">
        <f>IF(OR(E77="",D77=""),"",MAX(E77-D77,0))</f>
        <v/>
      </c>
      <c r="G77" s="59">
        <f>IF(F77="","",IF(N(C77)=0,1,C77))</f>
        <v/>
      </c>
      <c r="H77" s="53" t="n">
        <v>57</v>
      </c>
      <c r="I77" s="67" t="n"/>
      <c r="J77" s="55" t="n"/>
      <c r="K77" s="68" t="n"/>
      <c r="L77" s="68" t="n"/>
      <c r="M77" s="59">
        <f>IF(OR(L77="",K77=""),"",MAX(L77-K77,0))</f>
        <v/>
      </c>
      <c r="N77" s="59">
        <f>IF(M77="","",IF(N(J77)=0,1,J77))</f>
        <v/>
      </c>
    </row>
    <row r="78">
      <c r="A78" s="53" t="n">
        <v>58</v>
      </c>
      <c r="B78" s="67" t="n"/>
      <c r="C78" s="55" t="n"/>
      <c r="D78" s="68" t="n"/>
      <c r="E78" s="68" t="n"/>
      <c r="F78" s="59">
        <f>IF(OR(E78="",D78=""),"",MAX(E78-D78,0))</f>
        <v/>
      </c>
      <c r="G78" s="59">
        <f>IF(F78="","",IF(N(C78)=0,1,C78))</f>
        <v/>
      </c>
      <c r="H78" s="53" t="n">
        <v>58</v>
      </c>
      <c r="I78" s="67" t="n"/>
      <c r="J78" s="55" t="n"/>
      <c r="K78" s="68" t="n"/>
      <c r="L78" s="68" t="n"/>
      <c r="M78" s="59">
        <f>IF(OR(L78="",K78=""),"",MAX(L78-K78,0))</f>
        <v/>
      </c>
      <c r="N78" s="59">
        <f>IF(M78="","",IF(N(J78)=0,1,J78))</f>
        <v/>
      </c>
    </row>
    <row r="79">
      <c r="A79" s="53" t="n">
        <v>59</v>
      </c>
      <c r="B79" s="67" t="n"/>
      <c r="C79" s="55" t="n"/>
      <c r="D79" s="68" t="n"/>
      <c r="E79" s="68" t="n"/>
      <c r="F79" s="59">
        <f>IF(OR(E79="",D79=""),"",MAX(E79-D79,0))</f>
        <v/>
      </c>
      <c r="G79" s="59">
        <f>IF(F79="","",IF(N(C79)=0,1,C79))</f>
        <v/>
      </c>
      <c r="H79" s="53" t="n">
        <v>59</v>
      </c>
      <c r="I79" s="67" t="n"/>
      <c r="J79" s="55" t="n"/>
      <c r="K79" s="68" t="n"/>
      <c r="L79" s="68" t="n"/>
      <c r="M79" s="59">
        <f>IF(OR(L79="",K79=""),"",MAX(L79-K79,0))</f>
        <v/>
      </c>
      <c r="N79" s="59">
        <f>IF(M79="","",IF(N(J79)=0,1,J79))</f>
        <v/>
      </c>
    </row>
    <row r="80">
      <c r="A80" s="53" t="n">
        <v>60</v>
      </c>
      <c r="B80" s="67" t="n"/>
      <c r="C80" s="55" t="n"/>
      <c r="D80" s="68" t="n"/>
      <c r="E80" s="68" t="n"/>
      <c r="F80" s="59">
        <f>IF(OR(E80="",D80=""),"",MAX(E80-D80,0))</f>
        <v/>
      </c>
      <c r="G80" s="59">
        <f>IF(F80="","",IF(N(C80)=0,1,C80))</f>
        <v/>
      </c>
      <c r="H80" s="53" t="n">
        <v>60</v>
      </c>
      <c r="I80" s="67" t="n"/>
      <c r="J80" s="55" t="n"/>
      <c r="K80" s="68" t="n"/>
      <c r="L80" s="68" t="n"/>
      <c r="M80" s="59">
        <f>IF(OR(L80="",K80=""),"",MAX(L80-K80,0))</f>
        <v/>
      </c>
      <c r="N80" s="59">
        <f>IF(M80="","",IF(N(J80)=0,1,J80))</f>
        <v/>
      </c>
    </row>
    <row r="81">
      <c r="A81" s="53" t="n">
        <v>61</v>
      </c>
      <c r="B81" s="67" t="n"/>
      <c r="C81" s="55" t="n"/>
      <c r="D81" s="68" t="n"/>
      <c r="E81" s="68" t="n"/>
      <c r="F81" s="59">
        <f>IF(OR(E81="",D81=""),"",MAX(E81-D81,0))</f>
        <v/>
      </c>
      <c r="G81" s="59">
        <f>IF(F81="","",IF(N(C81)=0,1,C81))</f>
        <v/>
      </c>
      <c r="H81" s="53" t="n">
        <v>61</v>
      </c>
      <c r="I81" s="67" t="n"/>
      <c r="J81" s="55" t="n"/>
      <c r="K81" s="68" t="n"/>
      <c r="L81" s="68" t="n"/>
      <c r="M81" s="59">
        <f>IF(OR(L81="",K81=""),"",MAX(L81-K81,0))</f>
        <v/>
      </c>
      <c r="N81" s="59">
        <f>IF(M81="","",IF(N(J81)=0,1,J81))</f>
        <v/>
      </c>
    </row>
    <row r="82">
      <c r="A82" s="53" t="n">
        <v>62</v>
      </c>
      <c r="B82" s="67" t="n"/>
      <c r="C82" s="55" t="n"/>
      <c r="D82" s="68" t="n"/>
      <c r="E82" s="68" t="n"/>
      <c r="F82" s="59">
        <f>IF(OR(E82="",D82=""),"",MAX(E82-D82,0))</f>
        <v/>
      </c>
      <c r="G82" s="59">
        <f>IF(F82="","",IF(N(C82)=0,1,C82))</f>
        <v/>
      </c>
      <c r="H82" s="53" t="n">
        <v>62</v>
      </c>
      <c r="I82" s="67" t="n"/>
      <c r="J82" s="55" t="n"/>
      <c r="K82" s="68" t="n"/>
      <c r="L82" s="68" t="n"/>
      <c r="M82" s="59">
        <f>IF(OR(L82="",K82=""),"",MAX(L82-K82,0))</f>
        <v/>
      </c>
      <c r="N82" s="59">
        <f>IF(M82="","",IF(N(J82)=0,1,J82))</f>
        <v/>
      </c>
    </row>
    <row r="83">
      <c r="A83" s="53" t="n">
        <v>63</v>
      </c>
      <c r="B83" s="67" t="n"/>
      <c r="C83" s="55" t="n"/>
      <c r="D83" s="68" t="n"/>
      <c r="E83" s="68" t="n"/>
      <c r="F83" s="59">
        <f>IF(OR(E83="",D83=""),"",MAX(E83-D83,0))</f>
        <v/>
      </c>
      <c r="G83" s="59">
        <f>IF(F83="","",IF(N(C83)=0,1,C83))</f>
        <v/>
      </c>
      <c r="H83" s="53" t="n">
        <v>63</v>
      </c>
      <c r="I83" s="67" t="n"/>
      <c r="J83" s="55" t="n"/>
      <c r="K83" s="68" t="n"/>
      <c r="L83" s="68" t="n"/>
      <c r="M83" s="59">
        <f>IF(OR(L83="",K83=""),"",MAX(L83-K83,0))</f>
        <v/>
      </c>
      <c r="N83" s="59">
        <f>IF(M83="","",IF(N(J83)=0,1,J83))</f>
        <v/>
      </c>
    </row>
    <row r="84">
      <c r="A84" s="53" t="n">
        <v>64</v>
      </c>
      <c r="B84" s="67" t="n"/>
      <c r="C84" s="55" t="n"/>
      <c r="D84" s="68" t="n"/>
      <c r="E84" s="68" t="n"/>
      <c r="F84" s="59">
        <f>IF(OR(E84="",D84=""),"",MAX(E84-D84,0))</f>
        <v/>
      </c>
      <c r="G84" s="59">
        <f>IF(F84="","",IF(N(C84)=0,1,C84))</f>
        <v/>
      </c>
      <c r="H84" s="53" t="n">
        <v>64</v>
      </c>
      <c r="I84" s="67" t="n"/>
      <c r="J84" s="55" t="n"/>
      <c r="K84" s="68" t="n"/>
      <c r="L84" s="68" t="n"/>
      <c r="M84" s="59">
        <f>IF(OR(L84="",K84=""),"",MAX(L84-K84,0))</f>
        <v/>
      </c>
      <c r="N84" s="59">
        <f>IF(M84="","",IF(N(J84)=0,1,J84))</f>
        <v/>
      </c>
    </row>
    <row r="85">
      <c r="A85" s="53" t="n">
        <v>65</v>
      </c>
      <c r="B85" s="67" t="n"/>
      <c r="C85" s="55" t="n"/>
      <c r="D85" s="68" t="n"/>
      <c r="E85" s="68" t="n"/>
      <c r="F85" s="59">
        <f>IF(OR(E85="",D85=""),"",MAX(E85-D85,0))</f>
        <v/>
      </c>
      <c r="G85" s="59">
        <f>IF(F85="","",IF(N(C85)=0,1,C85))</f>
        <v/>
      </c>
      <c r="H85" s="53" t="n">
        <v>65</v>
      </c>
      <c r="I85" s="67" t="n"/>
      <c r="J85" s="55" t="n"/>
      <c r="K85" s="68" t="n"/>
      <c r="L85" s="68" t="n"/>
      <c r="M85" s="59">
        <f>IF(OR(L85="",K85=""),"",MAX(L85-K85,0))</f>
        <v/>
      </c>
      <c r="N85" s="59">
        <f>IF(M85="","",IF(N(J85)=0,1,J85))</f>
        <v/>
      </c>
    </row>
    <row r="86">
      <c r="A86" s="53" t="n">
        <v>66</v>
      </c>
      <c r="B86" s="67" t="n"/>
      <c r="C86" s="55" t="n"/>
      <c r="D86" s="68" t="n"/>
      <c r="E86" s="68" t="n"/>
      <c r="F86" s="59">
        <f>IF(OR(E86="",D86=""),"",MAX(E86-D86,0))</f>
        <v/>
      </c>
      <c r="G86" s="59">
        <f>IF(F86="","",IF(N(C86)=0,1,C86))</f>
        <v/>
      </c>
      <c r="H86" s="53" t="n">
        <v>66</v>
      </c>
      <c r="I86" s="67" t="n"/>
      <c r="J86" s="55" t="n"/>
      <c r="K86" s="68" t="n"/>
      <c r="L86" s="68" t="n"/>
      <c r="M86" s="59">
        <f>IF(OR(L86="",K86=""),"",MAX(L86-K86,0))</f>
        <v/>
      </c>
      <c r="N86" s="59">
        <f>IF(M86="","",IF(N(J86)=0,1,J86))</f>
        <v/>
      </c>
    </row>
    <row r="87">
      <c r="A87" s="53" t="n">
        <v>67</v>
      </c>
      <c r="B87" s="67" t="n"/>
      <c r="C87" s="55" t="n"/>
      <c r="D87" s="68" t="n"/>
      <c r="E87" s="68" t="n"/>
      <c r="F87" s="59">
        <f>IF(OR(E87="",D87=""),"",MAX(E87-D87,0))</f>
        <v/>
      </c>
      <c r="G87" s="59">
        <f>IF(F87="","",IF(N(C87)=0,1,C87))</f>
        <v/>
      </c>
      <c r="H87" s="53" t="n">
        <v>67</v>
      </c>
      <c r="I87" s="67" t="n"/>
      <c r="J87" s="55" t="n"/>
      <c r="K87" s="68" t="n"/>
      <c r="L87" s="68" t="n"/>
      <c r="M87" s="59">
        <f>IF(OR(L87="",K87=""),"",MAX(L87-K87,0))</f>
        <v/>
      </c>
      <c r="N87" s="59">
        <f>IF(M87="","",IF(N(J87)=0,1,J87))</f>
        <v/>
      </c>
    </row>
    <row r="88">
      <c r="A88" s="53" t="n">
        <v>68</v>
      </c>
      <c r="B88" s="67" t="n"/>
      <c r="C88" s="55" t="n"/>
      <c r="D88" s="68" t="n"/>
      <c r="E88" s="68" t="n"/>
      <c r="F88" s="59">
        <f>IF(OR(E88="",D88=""),"",MAX(E88-D88,0))</f>
        <v/>
      </c>
      <c r="G88" s="59">
        <f>IF(F88="","",IF(N(C88)=0,1,C88))</f>
        <v/>
      </c>
      <c r="H88" s="53" t="n">
        <v>68</v>
      </c>
      <c r="I88" s="67" t="n"/>
      <c r="J88" s="55" t="n"/>
      <c r="K88" s="68" t="n"/>
      <c r="L88" s="68" t="n"/>
      <c r="M88" s="59">
        <f>IF(OR(L88="",K88=""),"",MAX(L88-K88,0))</f>
        <v/>
      </c>
      <c r="N88" s="59">
        <f>IF(M88="","",IF(N(J88)=0,1,J88))</f>
        <v/>
      </c>
    </row>
    <row r="89">
      <c r="A89" s="53" t="n">
        <v>69</v>
      </c>
      <c r="B89" s="67" t="n"/>
      <c r="C89" s="55" t="n"/>
      <c r="D89" s="68" t="n"/>
      <c r="E89" s="68" t="n"/>
      <c r="F89" s="59">
        <f>IF(OR(E89="",D89=""),"",MAX(E89-D89,0))</f>
        <v/>
      </c>
      <c r="G89" s="59">
        <f>IF(F89="","",IF(N(C89)=0,1,C89))</f>
        <v/>
      </c>
      <c r="H89" s="53" t="n">
        <v>69</v>
      </c>
      <c r="I89" s="67" t="n"/>
      <c r="J89" s="55" t="n"/>
      <c r="K89" s="68" t="n"/>
      <c r="L89" s="68" t="n"/>
      <c r="M89" s="59">
        <f>IF(OR(L89="",K89=""),"",MAX(L89-K89,0))</f>
        <v/>
      </c>
      <c r="N89" s="59">
        <f>IF(M89="","",IF(N(J89)=0,1,J89))</f>
        <v/>
      </c>
    </row>
    <row r="90">
      <c r="A90" s="53" t="n">
        <v>70</v>
      </c>
      <c r="B90" s="67" t="n"/>
      <c r="C90" s="55" t="n"/>
      <c r="D90" s="68" t="n"/>
      <c r="E90" s="68" t="n"/>
      <c r="F90" s="59">
        <f>IF(OR(E90="",D90=""),"",MAX(E90-D90,0))</f>
        <v/>
      </c>
      <c r="G90" s="59">
        <f>IF(F90="","",IF(N(C90)=0,1,C90))</f>
        <v/>
      </c>
      <c r="H90" s="53" t="n">
        <v>70</v>
      </c>
      <c r="I90" s="67" t="n"/>
      <c r="J90" s="55" t="n"/>
      <c r="K90" s="68" t="n"/>
      <c r="L90" s="68" t="n"/>
      <c r="M90" s="59">
        <f>IF(OR(L90="",K90=""),"",MAX(L90-K90,0))</f>
        <v/>
      </c>
      <c r="N90" s="59">
        <f>IF(M90="","",IF(N(J90)=0,1,J90))</f>
        <v/>
      </c>
    </row>
    <row r="91">
      <c r="A91" s="53" t="n">
        <v>71</v>
      </c>
      <c r="B91" s="67" t="n"/>
      <c r="C91" s="55" t="n"/>
      <c r="D91" s="68" t="n"/>
      <c r="E91" s="68" t="n"/>
      <c r="F91" s="59">
        <f>IF(OR(E91="",D91=""),"",MAX(E91-D91,0))</f>
        <v/>
      </c>
      <c r="G91" s="59">
        <f>IF(F91="","",IF(N(C91)=0,1,C91))</f>
        <v/>
      </c>
      <c r="H91" s="53" t="n">
        <v>71</v>
      </c>
      <c r="I91" s="67" t="n"/>
      <c r="J91" s="55" t="n"/>
      <c r="K91" s="68" t="n"/>
      <c r="L91" s="68" t="n"/>
      <c r="M91" s="59">
        <f>IF(OR(L91="",K91=""),"",MAX(L91-K91,0))</f>
        <v/>
      </c>
      <c r="N91" s="59">
        <f>IF(M91="","",IF(N(J91)=0,1,J91))</f>
        <v/>
      </c>
    </row>
    <row r="92">
      <c r="A92" s="53" t="n">
        <v>72</v>
      </c>
      <c r="B92" s="67" t="n"/>
      <c r="C92" s="55" t="n"/>
      <c r="D92" s="68" t="n"/>
      <c r="E92" s="68" t="n"/>
      <c r="F92" s="59">
        <f>IF(OR(E92="",D92=""),"",MAX(E92-D92,0))</f>
        <v/>
      </c>
      <c r="G92" s="59">
        <f>IF(F92="","",IF(N(C92)=0,1,C92))</f>
        <v/>
      </c>
      <c r="H92" s="53" t="n">
        <v>72</v>
      </c>
      <c r="I92" s="67" t="n"/>
      <c r="J92" s="55" t="n"/>
      <c r="K92" s="68" t="n"/>
      <c r="L92" s="68" t="n"/>
      <c r="M92" s="59">
        <f>IF(OR(L92="",K92=""),"",MAX(L92-K92,0))</f>
        <v/>
      </c>
      <c r="N92" s="59">
        <f>IF(M92="","",IF(N(J92)=0,1,J92))</f>
        <v/>
      </c>
    </row>
    <row r="93">
      <c r="A93" s="53" t="n">
        <v>73</v>
      </c>
      <c r="B93" s="67" t="n"/>
      <c r="C93" s="55" t="n"/>
      <c r="D93" s="68" t="n"/>
      <c r="E93" s="68" t="n"/>
      <c r="F93" s="59">
        <f>IF(OR(E93="",D93=""),"",MAX(E93-D93,0))</f>
        <v/>
      </c>
      <c r="G93" s="59">
        <f>IF(F93="","",IF(N(C93)=0,1,C93))</f>
        <v/>
      </c>
      <c r="H93" s="53" t="n">
        <v>73</v>
      </c>
      <c r="I93" s="67" t="n"/>
      <c r="J93" s="55" t="n"/>
      <c r="K93" s="68" t="n"/>
      <c r="L93" s="68" t="n"/>
      <c r="M93" s="59">
        <f>IF(OR(L93="",K93=""),"",MAX(L93-K93,0))</f>
        <v/>
      </c>
      <c r="N93" s="59">
        <f>IF(M93="","",IF(N(J93)=0,1,J93))</f>
        <v/>
      </c>
    </row>
    <row r="94">
      <c r="A94" s="53" t="n">
        <v>74</v>
      </c>
      <c r="B94" s="67" t="n"/>
      <c r="C94" s="55" t="n"/>
      <c r="D94" s="68" t="n"/>
      <c r="E94" s="68" t="n"/>
      <c r="F94" s="59">
        <f>IF(OR(E94="",D94=""),"",MAX(E94-D94,0))</f>
        <v/>
      </c>
      <c r="G94" s="59">
        <f>IF(F94="","",IF(N(C94)=0,1,C94))</f>
        <v/>
      </c>
      <c r="H94" s="53" t="n">
        <v>74</v>
      </c>
      <c r="I94" s="67" t="n"/>
      <c r="J94" s="55" t="n"/>
      <c r="K94" s="68" t="n"/>
      <c r="L94" s="68" t="n"/>
      <c r="M94" s="59">
        <f>IF(OR(L94="",K94=""),"",MAX(L94-K94,0))</f>
        <v/>
      </c>
      <c r="N94" s="59">
        <f>IF(M94="","",IF(N(J94)=0,1,J94))</f>
        <v/>
      </c>
    </row>
    <row r="95">
      <c r="A95" s="53" t="n">
        <v>75</v>
      </c>
      <c r="B95" s="67" t="n"/>
      <c r="C95" s="55" t="n"/>
      <c r="D95" s="68" t="n"/>
      <c r="E95" s="68" t="n"/>
      <c r="F95" s="59">
        <f>IF(OR(E95="",D95=""),"",MAX(E95-D95,0))</f>
        <v/>
      </c>
      <c r="G95" s="59">
        <f>IF(F95="","",IF(N(C95)=0,1,C95))</f>
        <v/>
      </c>
      <c r="H95" s="53" t="n">
        <v>75</v>
      </c>
      <c r="I95" s="67" t="n"/>
      <c r="J95" s="55" t="n"/>
      <c r="K95" s="68" t="n"/>
      <c r="L95" s="68" t="n"/>
      <c r="M95" s="59">
        <f>IF(OR(L95="",K95=""),"",MAX(L95-K95,0))</f>
        <v/>
      </c>
      <c r="N95" s="59">
        <f>IF(M95="","",IF(N(J95)=0,1,J95))</f>
        <v/>
      </c>
    </row>
    <row r="96">
      <c r="A96" s="53" t="n">
        <v>76</v>
      </c>
      <c r="B96" s="67" t="n"/>
      <c r="C96" s="55" t="n"/>
      <c r="D96" s="68" t="n"/>
      <c r="E96" s="68" t="n"/>
      <c r="F96" s="59">
        <f>IF(OR(E96="",D96=""),"",MAX(E96-D96,0))</f>
        <v/>
      </c>
      <c r="G96" s="59">
        <f>IF(F96="","",IF(N(C96)=0,1,C96))</f>
        <v/>
      </c>
      <c r="H96" s="53" t="n">
        <v>76</v>
      </c>
      <c r="I96" s="67" t="n"/>
      <c r="J96" s="55" t="n"/>
      <c r="K96" s="68" t="n"/>
      <c r="L96" s="68" t="n"/>
      <c r="M96" s="59">
        <f>IF(OR(L96="",K96=""),"",MAX(L96-K96,0))</f>
        <v/>
      </c>
      <c r="N96" s="59">
        <f>IF(M96="","",IF(N(J96)=0,1,J96))</f>
        <v/>
      </c>
    </row>
    <row r="97">
      <c r="A97" s="53" t="n">
        <v>77</v>
      </c>
      <c r="B97" s="67" t="n"/>
      <c r="C97" s="55" t="n"/>
      <c r="D97" s="68" t="n"/>
      <c r="E97" s="68" t="n"/>
      <c r="F97" s="59">
        <f>IF(OR(E97="",D97=""),"",MAX(E97-D97,0))</f>
        <v/>
      </c>
      <c r="G97" s="59">
        <f>IF(F97="","",IF(N(C97)=0,1,C97))</f>
        <v/>
      </c>
      <c r="H97" s="53" t="n">
        <v>77</v>
      </c>
      <c r="I97" s="67" t="n"/>
      <c r="J97" s="55" t="n"/>
      <c r="K97" s="68" t="n"/>
      <c r="L97" s="68" t="n"/>
      <c r="M97" s="59">
        <f>IF(OR(L97="",K97=""),"",MAX(L97-K97,0))</f>
        <v/>
      </c>
      <c r="N97" s="59">
        <f>IF(M97="","",IF(N(J97)=0,1,J97))</f>
        <v/>
      </c>
    </row>
    <row r="98">
      <c r="A98" s="53" t="n">
        <v>78</v>
      </c>
      <c r="B98" s="67" t="n"/>
      <c r="C98" s="55" t="n"/>
      <c r="D98" s="68" t="n"/>
      <c r="E98" s="68" t="n"/>
      <c r="F98" s="59">
        <f>IF(OR(E98="",D98=""),"",MAX(E98-D98,0))</f>
        <v/>
      </c>
      <c r="G98" s="59">
        <f>IF(F98="","",IF(N(C98)=0,1,C98))</f>
        <v/>
      </c>
      <c r="H98" s="53" t="n">
        <v>78</v>
      </c>
      <c r="I98" s="67" t="n"/>
      <c r="J98" s="55" t="n"/>
      <c r="K98" s="68" t="n"/>
      <c r="L98" s="68" t="n"/>
      <c r="M98" s="59">
        <f>IF(OR(L98="",K98=""),"",MAX(L98-K98,0))</f>
        <v/>
      </c>
      <c r="N98" s="59">
        <f>IF(M98="","",IF(N(J98)=0,1,J98))</f>
        <v/>
      </c>
    </row>
    <row r="99">
      <c r="A99" s="53" t="n">
        <v>79</v>
      </c>
      <c r="B99" s="67" t="n"/>
      <c r="C99" s="55" t="n"/>
      <c r="D99" s="68" t="n"/>
      <c r="E99" s="68" t="n"/>
      <c r="F99" s="59">
        <f>IF(OR(E99="",D99=""),"",MAX(E99-D99,0))</f>
        <v/>
      </c>
      <c r="G99" s="59">
        <f>IF(F99="","",IF(N(C99)=0,1,C99))</f>
        <v/>
      </c>
      <c r="H99" s="53" t="n">
        <v>79</v>
      </c>
      <c r="I99" s="67" t="n"/>
      <c r="J99" s="55" t="n"/>
      <c r="K99" s="68" t="n"/>
      <c r="L99" s="68" t="n"/>
      <c r="M99" s="59">
        <f>IF(OR(L99="",K99=""),"",MAX(L99-K99,0))</f>
        <v/>
      </c>
      <c r="N99" s="59">
        <f>IF(M99="","",IF(N(J99)=0,1,J99))</f>
        <v/>
      </c>
    </row>
    <row r="100">
      <c r="A100" s="53" t="n">
        <v>80</v>
      </c>
      <c r="B100" s="67" t="n"/>
      <c r="C100" s="55" t="n"/>
      <c r="D100" s="68" t="n"/>
      <c r="E100" s="68" t="n"/>
      <c r="F100" s="59">
        <f>IF(OR(E100="",D100=""),"",MAX(E100-D100,0))</f>
        <v/>
      </c>
      <c r="G100" s="59">
        <f>IF(F100="","",IF(N(C100)=0,1,C100))</f>
        <v/>
      </c>
      <c r="H100" s="53" t="n">
        <v>80</v>
      </c>
      <c r="I100" s="67" t="n"/>
      <c r="J100" s="55" t="n"/>
      <c r="K100" s="68" t="n"/>
      <c r="L100" s="68" t="n"/>
      <c r="M100" s="59">
        <f>IF(OR(L100="",K100=""),"",MAX(L100-K100,0))</f>
        <v/>
      </c>
      <c r="N100" s="59">
        <f>IF(M100="","",IF(N(J100)=0,1,J100))</f>
        <v/>
      </c>
    </row>
    <row r="101">
      <c r="A101" s="53" t="n">
        <v>81</v>
      </c>
      <c r="B101" s="67" t="n"/>
      <c r="C101" s="55" t="n"/>
      <c r="D101" s="68" t="n"/>
      <c r="E101" s="68" t="n"/>
      <c r="F101" s="59">
        <f>IF(OR(E101="",D101=""),"",MAX(E101-D101,0))</f>
        <v/>
      </c>
      <c r="G101" s="59">
        <f>IF(F101="","",IF(N(C101)=0,1,C101))</f>
        <v/>
      </c>
      <c r="H101" s="53" t="n">
        <v>81</v>
      </c>
      <c r="I101" s="67" t="n"/>
      <c r="J101" s="55" t="n"/>
      <c r="K101" s="68" t="n"/>
      <c r="L101" s="68" t="n"/>
      <c r="M101" s="59">
        <f>IF(OR(L101="",K101=""),"",MAX(L101-K101,0))</f>
        <v/>
      </c>
      <c r="N101" s="59">
        <f>IF(M101="","",IF(N(J101)=0,1,J101))</f>
        <v/>
      </c>
    </row>
    <row r="102">
      <c r="A102" s="53" t="n">
        <v>82</v>
      </c>
      <c r="B102" s="67" t="n"/>
      <c r="C102" s="55" t="n"/>
      <c r="D102" s="68" t="n"/>
      <c r="E102" s="68" t="n"/>
      <c r="F102" s="59">
        <f>IF(OR(E102="",D102=""),"",MAX(E102-D102,0))</f>
        <v/>
      </c>
      <c r="G102" s="59">
        <f>IF(F102="","",IF(N(C102)=0,1,C102))</f>
        <v/>
      </c>
      <c r="H102" s="53" t="n">
        <v>82</v>
      </c>
      <c r="I102" s="67" t="n"/>
      <c r="J102" s="55" t="n"/>
      <c r="K102" s="68" t="n"/>
      <c r="L102" s="68" t="n"/>
      <c r="M102" s="59">
        <f>IF(OR(L102="",K102=""),"",MAX(L102-K102,0))</f>
        <v/>
      </c>
      <c r="N102" s="59">
        <f>IF(M102="","",IF(N(J102)=0,1,J102))</f>
        <v/>
      </c>
    </row>
    <row r="103">
      <c r="A103" s="53" t="n">
        <v>83</v>
      </c>
      <c r="B103" s="67" t="n"/>
      <c r="C103" s="55" t="n"/>
      <c r="D103" s="68" t="n"/>
      <c r="E103" s="68" t="n"/>
      <c r="F103" s="59">
        <f>IF(OR(E103="",D103=""),"",MAX(E103-D103,0))</f>
        <v/>
      </c>
      <c r="G103" s="59">
        <f>IF(F103="","",IF(N(C103)=0,1,C103))</f>
        <v/>
      </c>
      <c r="H103" s="53" t="n">
        <v>83</v>
      </c>
      <c r="I103" s="67" t="n"/>
      <c r="J103" s="55" t="n"/>
      <c r="K103" s="68" t="n"/>
      <c r="L103" s="68" t="n"/>
      <c r="M103" s="59">
        <f>IF(OR(L103="",K103=""),"",MAX(L103-K103,0))</f>
        <v/>
      </c>
      <c r="N103" s="59">
        <f>IF(M103="","",IF(N(J103)=0,1,J103))</f>
        <v/>
      </c>
    </row>
    <row r="104">
      <c r="A104" s="53" t="n">
        <v>84</v>
      </c>
      <c r="B104" s="67" t="n"/>
      <c r="C104" s="55" t="n"/>
      <c r="D104" s="68" t="n"/>
      <c r="E104" s="68" t="n"/>
      <c r="F104" s="59">
        <f>IF(OR(E104="",D104=""),"",MAX(E104-D104,0))</f>
        <v/>
      </c>
      <c r="G104" s="59">
        <f>IF(F104="","",IF(N(C104)=0,1,C104))</f>
        <v/>
      </c>
      <c r="H104" s="53" t="n">
        <v>84</v>
      </c>
      <c r="I104" s="67" t="n"/>
      <c r="J104" s="55" t="n"/>
      <c r="K104" s="68" t="n"/>
      <c r="L104" s="68" t="n"/>
      <c r="M104" s="59">
        <f>IF(OR(L104="",K104=""),"",MAX(L104-K104,0))</f>
        <v/>
      </c>
      <c r="N104" s="59">
        <f>IF(M104="","",IF(N(J104)=0,1,J104))</f>
        <v/>
      </c>
    </row>
    <row r="105">
      <c r="A105" s="53" t="n">
        <v>85</v>
      </c>
      <c r="B105" s="67" t="n"/>
      <c r="C105" s="55" t="n"/>
      <c r="D105" s="68" t="n"/>
      <c r="E105" s="68" t="n"/>
      <c r="F105" s="59">
        <f>IF(OR(E105="",D105=""),"",MAX(E105-D105,0))</f>
        <v/>
      </c>
      <c r="G105" s="59">
        <f>IF(F105="","",IF(N(C105)=0,1,C105))</f>
        <v/>
      </c>
      <c r="H105" s="53" t="n">
        <v>85</v>
      </c>
      <c r="I105" s="67" t="n"/>
      <c r="J105" s="55" t="n"/>
      <c r="K105" s="68" t="n"/>
      <c r="L105" s="68" t="n"/>
      <c r="M105" s="59">
        <f>IF(OR(L105="",K105=""),"",MAX(L105-K105,0))</f>
        <v/>
      </c>
      <c r="N105" s="59">
        <f>IF(M105="","",IF(N(J105)=0,1,J105))</f>
        <v/>
      </c>
    </row>
    <row r="106">
      <c r="A106" s="53" t="n">
        <v>86</v>
      </c>
      <c r="B106" s="67" t="n"/>
      <c r="C106" s="55" t="n"/>
      <c r="D106" s="68" t="n"/>
      <c r="E106" s="68" t="n"/>
      <c r="F106" s="59">
        <f>IF(OR(E106="",D106=""),"",MAX(E106-D106,0))</f>
        <v/>
      </c>
      <c r="G106" s="59">
        <f>IF(F106="","",IF(N(C106)=0,1,C106))</f>
        <v/>
      </c>
      <c r="H106" s="53" t="n">
        <v>86</v>
      </c>
      <c r="I106" s="67" t="n"/>
      <c r="J106" s="55" t="n"/>
      <c r="K106" s="68" t="n"/>
      <c r="L106" s="68" t="n"/>
      <c r="M106" s="59">
        <f>IF(OR(L106="",K106=""),"",MAX(L106-K106,0))</f>
        <v/>
      </c>
      <c r="N106" s="59">
        <f>IF(M106="","",IF(N(J106)=0,1,J106))</f>
        <v/>
      </c>
    </row>
    <row r="107">
      <c r="A107" s="53" t="n">
        <v>87</v>
      </c>
      <c r="B107" s="67" t="n"/>
      <c r="C107" s="55" t="n"/>
      <c r="D107" s="68" t="n"/>
      <c r="E107" s="68" t="n"/>
      <c r="F107" s="59">
        <f>IF(OR(E107="",D107=""),"",MAX(E107-D107,0))</f>
        <v/>
      </c>
      <c r="G107" s="59">
        <f>IF(F107="","",IF(N(C107)=0,1,C107))</f>
        <v/>
      </c>
      <c r="H107" s="53" t="n">
        <v>87</v>
      </c>
      <c r="I107" s="67" t="n"/>
      <c r="J107" s="55" t="n"/>
      <c r="K107" s="68" t="n"/>
      <c r="L107" s="68" t="n"/>
      <c r="M107" s="59">
        <f>IF(OR(L107="",K107=""),"",MAX(L107-K107,0))</f>
        <v/>
      </c>
      <c r="N107" s="59">
        <f>IF(M107="","",IF(N(J107)=0,1,J107))</f>
        <v/>
      </c>
    </row>
    <row r="108">
      <c r="A108" s="53" t="n">
        <v>88</v>
      </c>
      <c r="B108" s="67" t="n"/>
      <c r="C108" s="55" t="n"/>
      <c r="D108" s="68" t="n"/>
      <c r="E108" s="68" t="n"/>
      <c r="F108" s="59">
        <f>IF(OR(E108="",D108=""),"",MAX(E108-D108,0))</f>
        <v/>
      </c>
      <c r="G108" s="59">
        <f>IF(F108="","",IF(N(C108)=0,1,C108))</f>
        <v/>
      </c>
      <c r="H108" s="53" t="n">
        <v>88</v>
      </c>
      <c r="I108" s="67" t="n"/>
      <c r="J108" s="55" t="n"/>
      <c r="K108" s="68" t="n"/>
      <c r="L108" s="68" t="n"/>
      <c r="M108" s="59">
        <f>IF(OR(L108="",K108=""),"",MAX(L108-K108,0))</f>
        <v/>
      </c>
      <c r="N108" s="59">
        <f>IF(M108="","",IF(N(J108)=0,1,J108))</f>
        <v/>
      </c>
    </row>
    <row r="109">
      <c r="A109" s="53" t="n">
        <v>89</v>
      </c>
      <c r="B109" s="67" t="n"/>
      <c r="C109" s="55" t="n"/>
      <c r="D109" s="68" t="n"/>
      <c r="E109" s="68" t="n"/>
      <c r="F109" s="59">
        <f>IF(OR(E109="",D109=""),"",MAX(E109-D109,0))</f>
        <v/>
      </c>
      <c r="G109" s="59">
        <f>IF(F109="","",IF(N(C109)=0,1,C109))</f>
        <v/>
      </c>
      <c r="H109" s="53" t="n">
        <v>89</v>
      </c>
      <c r="I109" s="67" t="n"/>
      <c r="J109" s="55" t="n"/>
      <c r="K109" s="68" t="n"/>
      <c r="L109" s="68" t="n"/>
      <c r="M109" s="59">
        <f>IF(OR(L109="",K109=""),"",MAX(L109-K109,0))</f>
        <v/>
      </c>
      <c r="N109" s="59">
        <f>IF(M109="","",IF(N(J109)=0,1,J109))</f>
        <v/>
      </c>
    </row>
    <row r="110">
      <c r="A110" s="53" t="n">
        <v>90</v>
      </c>
      <c r="B110" s="67" t="n"/>
      <c r="C110" s="55" t="n"/>
      <c r="D110" s="68" t="n"/>
      <c r="E110" s="68" t="n"/>
      <c r="F110" s="59">
        <f>IF(OR(E110="",D110=""),"",MAX(E110-D110,0))</f>
        <v/>
      </c>
      <c r="G110" s="59">
        <f>IF(F110="","",IF(N(C110)=0,1,C110))</f>
        <v/>
      </c>
      <c r="H110" s="53" t="n">
        <v>90</v>
      </c>
      <c r="I110" s="67" t="n"/>
      <c r="J110" s="55" t="n"/>
      <c r="K110" s="68" t="n"/>
      <c r="L110" s="68" t="n"/>
      <c r="M110" s="59">
        <f>IF(OR(L110="",K110=""),"",MAX(L110-K110,0))</f>
        <v/>
      </c>
      <c r="N110" s="59">
        <f>IF(M110="","",IF(N(J110)=0,1,J110))</f>
        <v/>
      </c>
    </row>
    <row r="111">
      <c r="A111" s="53" t="n">
        <v>91</v>
      </c>
      <c r="B111" s="67" t="n"/>
      <c r="C111" s="55" t="n"/>
      <c r="D111" s="68" t="n"/>
      <c r="E111" s="68" t="n"/>
      <c r="F111" s="59">
        <f>IF(OR(E111="",D111=""),"",MAX(E111-D111,0))</f>
        <v/>
      </c>
      <c r="G111" s="59">
        <f>IF(F111="","",IF(N(C111)=0,1,C111))</f>
        <v/>
      </c>
      <c r="H111" s="53" t="n">
        <v>91</v>
      </c>
      <c r="I111" s="67" t="n"/>
      <c r="J111" s="55" t="n"/>
      <c r="K111" s="68" t="n"/>
      <c r="L111" s="68" t="n"/>
      <c r="M111" s="59">
        <f>IF(OR(L111="",K111=""),"",MAX(L111-K111,0))</f>
        <v/>
      </c>
      <c r="N111" s="59">
        <f>IF(M111="","",IF(N(J111)=0,1,J111))</f>
        <v/>
      </c>
    </row>
    <row r="112">
      <c r="A112" s="53" t="n">
        <v>92</v>
      </c>
      <c r="B112" s="67" t="n"/>
      <c r="C112" s="55" t="n"/>
      <c r="D112" s="68" t="n"/>
      <c r="E112" s="68" t="n"/>
      <c r="F112" s="59">
        <f>IF(OR(E112="",D112=""),"",MAX(E112-D112,0))</f>
        <v/>
      </c>
      <c r="G112" s="59">
        <f>IF(F112="","",IF(N(C112)=0,1,C112))</f>
        <v/>
      </c>
      <c r="H112" s="53" t="n">
        <v>92</v>
      </c>
      <c r="I112" s="67" t="n"/>
      <c r="J112" s="55" t="n"/>
      <c r="K112" s="68" t="n"/>
      <c r="L112" s="68" t="n"/>
      <c r="M112" s="59">
        <f>IF(OR(L112="",K112=""),"",MAX(L112-K112,0))</f>
        <v/>
      </c>
      <c r="N112" s="59">
        <f>IF(M112="","",IF(N(J112)=0,1,J112))</f>
        <v/>
      </c>
    </row>
    <row r="113">
      <c r="A113" s="53" t="n">
        <v>93</v>
      </c>
      <c r="B113" s="67" t="n"/>
      <c r="C113" s="55" t="n"/>
      <c r="D113" s="68" t="n"/>
      <c r="E113" s="68" t="n"/>
      <c r="F113" s="59">
        <f>IF(OR(E113="",D113=""),"",MAX(E113-D113,0))</f>
        <v/>
      </c>
      <c r="G113" s="59">
        <f>IF(F113="","",IF(N(C113)=0,1,C113))</f>
        <v/>
      </c>
      <c r="H113" s="53" t="n">
        <v>93</v>
      </c>
      <c r="I113" s="67" t="n"/>
      <c r="J113" s="55" t="n"/>
      <c r="K113" s="68" t="n"/>
      <c r="L113" s="68" t="n"/>
      <c r="M113" s="59">
        <f>IF(OR(L113="",K113=""),"",MAX(L113-K113,0))</f>
        <v/>
      </c>
      <c r="N113" s="59">
        <f>IF(M113="","",IF(N(J113)=0,1,J113))</f>
        <v/>
      </c>
    </row>
    <row r="114">
      <c r="A114" s="53" t="n">
        <v>94</v>
      </c>
      <c r="B114" s="67" t="n"/>
      <c r="C114" s="55" t="n"/>
      <c r="D114" s="68" t="n"/>
      <c r="E114" s="68" t="n"/>
      <c r="F114" s="59">
        <f>IF(OR(E114="",D114=""),"",MAX(E114-D114,0))</f>
        <v/>
      </c>
      <c r="G114" s="59">
        <f>IF(F114="","",IF(N(C114)=0,1,C114))</f>
        <v/>
      </c>
      <c r="H114" s="53" t="n">
        <v>94</v>
      </c>
      <c r="I114" s="67" t="n"/>
      <c r="J114" s="55" t="n"/>
      <c r="K114" s="68" t="n"/>
      <c r="L114" s="68" t="n"/>
      <c r="M114" s="59">
        <f>IF(OR(L114="",K114=""),"",MAX(L114-K114,0))</f>
        <v/>
      </c>
      <c r="N114" s="59">
        <f>IF(M114="","",IF(N(J114)=0,1,J114))</f>
        <v/>
      </c>
    </row>
    <row r="115">
      <c r="A115" s="53" t="n">
        <v>95</v>
      </c>
      <c r="B115" s="67" t="n"/>
      <c r="C115" s="55" t="n"/>
      <c r="D115" s="68" t="n"/>
      <c r="E115" s="68" t="n"/>
      <c r="F115" s="59">
        <f>IF(OR(E115="",D115=""),"",MAX(E115-D115,0))</f>
        <v/>
      </c>
      <c r="G115" s="59">
        <f>IF(F115="","",IF(N(C115)=0,1,C115))</f>
        <v/>
      </c>
      <c r="H115" s="53" t="n">
        <v>95</v>
      </c>
      <c r="I115" s="67" t="n"/>
      <c r="J115" s="55" t="n"/>
      <c r="K115" s="68" t="n"/>
      <c r="L115" s="68" t="n"/>
      <c r="M115" s="59">
        <f>IF(OR(L115="",K115=""),"",MAX(L115-K115,0))</f>
        <v/>
      </c>
      <c r="N115" s="59">
        <f>IF(M115="","",IF(N(J115)=0,1,J115))</f>
        <v/>
      </c>
    </row>
    <row r="116">
      <c r="A116" s="53" t="n">
        <v>96</v>
      </c>
      <c r="B116" s="67" t="n"/>
      <c r="C116" s="55" t="n"/>
      <c r="D116" s="68" t="n"/>
      <c r="E116" s="68" t="n"/>
      <c r="F116" s="59">
        <f>IF(OR(E116="",D116=""),"",MAX(E116-D116,0))</f>
        <v/>
      </c>
      <c r="G116" s="59">
        <f>IF(F116="","",IF(N(C116)=0,1,C116))</f>
        <v/>
      </c>
      <c r="H116" s="53" t="n">
        <v>96</v>
      </c>
      <c r="I116" s="67" t="n"/>
      <c r="J116" s="55" t="n"/>
      <c r="K116" s="68" t="n"/>
      <c r="L116" s="68" t="n"/>
      <c r="M116" s="59">
        <f>IF(OR(L116="",K116=""),"",MAX(L116-K116,0))</f>
        <v/>
      </c>
      <c r="N116" s="59">
        <f>IF(M116="","",IF(N(J116)=0,1,J116))</f>
        <v/>
      </c>
    </row>
    <row r="117">
      <c r="A117" s="53" t="n">
        <v>97</v>
      </c>
      <c r="B117" s="67" t="n"/>
      <c r="C117" s="55" t="n"/>
      <c r="D117" s="68" t="n"/>
      <c r="E117" s="68" t="n"/>
      <c r="F117" s="59">
        <f>IF(OR(E117="",D117=""),"",MAX(E117-D117,0))</f>
        <v/>
      </c>
      <c r="G117" s="59">
        <f>IF(F117="","",IF(N(C117)=0,1,C117))</f>
        <v/>
      </c>
      <c r="H117" s="53" t="n">
        <v>97</v>
      </c>
      <c r="I117" s="67" t="n"/>
      <c r="J117" s="55" t="n"/>
      <c r="K117" s="68" t="n"/>
      <c r="L117" s="68" t="n"/>
      <c r="M117" s="59">
        <f>IF(OR(L117="",K117=""),"",MAX(L117-K117,0))</f>
        <v/>
      </c>
      <c r="N117" s="59">
        <f>IF(M117="","",IF(N(J117)=0,1,J117))</f>
        <v/>
      </c>
    </row>
    <row r="118">
      <c r="A118" s="53" t="n">
        <v>98</v>
      </c>
      <c r="B118" s="67" t="n"/>
      <c r="C118" s="55" t="n"/>
      <c r="D118" s="68" t="n"/>
      <c r="E118" s="68" t="n"/>
      <c r="F118" s="59">
        <f>IF(OR(E118="",D118=""),"",MAX(E118-D118,0))</f>
        <v/>
      </c>
      <c r="G118" s="59">
        <f>IF(F118="","",IF(N(C118)=0,1,C118))</f>
        <v/>
      </c>
      <c r="H118" s="53" t="n">
        <v>98</v>
      </c>
      <c r="I118" s="67" t="n"/>
      <c r="J118" s="55" t="n"/>
      <c r="K118" s="68" t="n"/>
      <c r="L118" s="68" t="n"/>
      <c r="M118" s="59">
        <f>IF(OR(L118="",K118=""),"",MAX(L118-K118,0))</f>
        <v/>
      </c>
      <c r="N118" s="59">
        <f>IF(M118="","",IF(N(J118)=0,1,J118))</f>
        <v/>
      </c>
    </row>
    <row r="119">
      <c r="A119" s="53" t="n">
        <v>99</v>
      </c>
      <c r="B119" s="67" t="n"/>
      <c r="C119" s="55" t="n"/>
      <c r="D119" s="68" t="n"/>
      <c r="E119" s="68" t="n"/>
      <c r="F119" s="59">
        <f>IF(OR(E119="",D119=""),"",MAX(E119-D119,0))</f>
        <v/>
      </c>
      <c r="G119" s="59">
        <f>IF(F119="","",IF(N(C119)=0,1,C119))</f>
        <v/>
      </c>
      <c r="H119" s="53" t="n">
        <v>99</v>
      </c>
      <c r="I119" s="67" t="n"/>
      <c r="J119" s="55" t="n"/>
      <c r="K119" s="68" t="n"/>
      <c r="L119" s="68" t="n"/>
      <c r="M119" s="59">
        <f>IF(OR(L119="",K119=""),"",MAX(L119-K119,0))</f>
        <v/>
      </c>
      <c r="N119" s="59">
        <f>IF(M119="","",IF(N(J119)=0,1,J119))</f>
        <v/>
      </c>
    </row>
    <row r="120">
      <c r="A120" s="53" t="n">
        <v>100</v>
      </c>
      <c r="B120" s="67" t="n"/>
      <c r="C120" s="55" t="n"/>
      <c r="D120" s="68" t="n"/>
      <c r="E120" s="68" t="n"/>
      <c r="F120" s="59">
        <f>IF(OR(E120="",D120=""),"",MAX(E120-D120,0))</f>
        <v/>
      </c>
      <c r="G120" s="59">
        <f>IF(F120="","",IF(N(C120)=0,1,C120))</f>
        <v/>
      </c>
      <c r="H120" s="53" t="n">
        <v>100</v>
      </c>
      <c r="I120" s="67" t="n"/>
      <c r="J120" s="55" t="n"/>
      <c r="K120" s="68" t="n"/>
      <c r="L120" s="68" t="n"/>
      <c r="M120" s="59">
        <f>IF(OR(L120="",K120=""),"",MAX(L120-K120,0))</f>
        <v/>
      </c>
      <c r="N120" s="59">
        <f>IF(M120="","",IF(N(J120)=0,1,J120))</f>
        <v/>
      </c>
    </row>
    <row r="121">
      <c r="A121" s="53" t="n">
        <v>101</v>
      </c>
      <c r="B121" s="67" t="n"/>
      <c r="C121" s="55" t="n"/>
      <c r="D121" s="68" t="n"/>
      <c r="E121" s="68" t="n"/>
      <c r="F121" s="59">
        <f>IF(OR(E121="",D121=""),"",MAX(E121-D121,0))</f>
        <v/>
      </c>
      <c r="G121" s="59">
        <f>IF(F121="","",IF(N(C121)=0,1,C121))</f>
        <v/>
      </c>
      <c r="H121" s="53" t="n">
        <v>101</v>
      </c>
      <c r="I121" s="67" t="n"/>
      <c r="J121" s="55" t="n"/>
      <c r="K121" s="68" t="n"/>
      <c r="L121" s="68" t="n"/>
      <c r="M121" s="59">
        <f>IF(OR(L121="",K121=""),"",MAX(L121-K121,0))</f>
        <v/>
      </c>
      <c r="N121" s="59">
        <f>IF(M121="","",IF(N(J121)=0,1,J121))</f>
        <v/>
      </c>
    </row>
    <row r="122">
      <c r="A122" s="53" t="n">
        <v>102</v>
      </c>
      <c r="B122" s="67" t="n"/>
      <c r="C122" s="55" t="n"/>
      <c r="D122" s="68" t="n"/>
      <c r="E122" s="68" t="n"/>
      <c r="F122" s="59">
        <f>IF(OR(E122="",D122=""),"",MAX(E122-D122,0))</f>
        <v/>
      </c>
      <c r="G122" s="59">
        <f>IF(F122="","",IF(N(C122)=0,1,C122))</f>
        <v/>
      </c>
      <c r="H122" s="53" t="n">
        <v>102</v>
      </c>
      <c r="I122" s="67" t="n"/>
      <c r="J122" s="55" t="n"/>
      <c r="K122" s="68" t="n"/>
      <c r="L122" s="68" t="n"/>
      <c r="M122" s="59">
        <f>IF(OR(L122="",K122=""),"",MAX(L122-K122,0))</f>
        <v/>
      </c>
      <c r="N122" s="59">
        <f>IF(M122="","",IF(N(J122)=0,1,J122))</f>
        <v/>
      </c>
    </row>
    <row r="123">
      <c r="A123" s="53" t="n">
        <v>103</v>
      </c>
      <c r="B123" s="67" t="n"/>
      <c r="C123" s="55" t="n"/>
      <c r="D123" s="68" t="n"/>
      <c r="E123" s="68" t="n"/>
      <c r="F123" s="59">
        <f>IF(OR(E123="",D123=""),"",MAX(E123-D123,0))</f>
        <v/>
      </c>
      <c r="G123" s="59">
        <f>IF(F123="","",IF(N(C123)=0,1,C123))</f>
        <v/>
      </c>
      <c r="H123" s="53" t="n">
        <v>103</v>
      </c>
      <c r="I123" s="67" t="n"/>
      <c r="J123" s="55" t="n"/>
      <c r="K123" s="68" t="n"/>
      <c r="L123" s="68" t="n"/>
      <c r="M123" s="59">
        <f>IF(OR(L123="",K123=""),"",MAX(L123-K123,0))</f>
        <v/>
      </c>
      <c r="N123" s="59">
        <f>IF(M123="","",IF(N(J123)=0,1,J123))</f>
        <v/>
      </c>
    </row>
    <row r="124">
      <c r="A124" s="53" t="n">
        <v>104</v>
      </c>
      <c r="B124" s="67" t="n"/>
      <c r="C124" s="55" t="n"/>
      <c r="D124" s="68" t="n"/>
      <c r="E124" s="68" t="n"/>
      <c r="F124" s="59">
        <f>IF(OR(E124="",D124=""),"",MAX(E124-D124,0))</f>
        <v/>
      </c>
      <c r="G124" s="59">
        <f>IF(F124="","",IF(N(C124)=0,1,C124))</f>
        <v/>
      </c>
      <c r="H124" s="53" t="n">
        <v>104</v>
      </c>
      <c r="I124" s="67" t="n"/>
      <c r="J124" s="55" t="n"/>
      <c r="K124" s="68" t="n"/>
      <c r="L124" s="68" t="n"/>
      <c r="M124" s="59">
        <f>IF(OR(L124="",K124=""),"",MAX(L124-K124,0))</f>
        <v/>
      </c>
      <c r="N124" s="59">
        <f>IF(M124="","",IF(N(J124)=0,1,J124))</f>
        <v/>
      </c>
    </row>
    <row r="125">
      <c r="A125" s="53" t="n">
        <v>105</v>
      </c>
      <c r="B125" s="67" t="n"/>
      <c r="C125" s="55" t="n"/>
      <c r="D125" s="68" t="n"/>
      <c r="E125" s="68" t="n"/>
      <c r="F125" s="59">
        <f>IF(OR(E125="",D125=""),"",MAX(E125-D125,0))</f>
        <v/>
      </c>
      <c r="G125" s="59">
        <f>IF(F125="","",IF(N(C125)=0,1,C125))</f>
        <v/>
      </c>
      <c r="H125" s="53" t="n">
        <v>105</v>
      </c>
      <c r="I125" s="67" t="n"/>
      <c r="J125" s="55" t="n"/>
      <c r="K125" s="68" t="n"/>
      <c r="L125" s="68" t="n"/>
      <c r="M125" s="59">
        <f>IF(OR(L125="",K125=""),"",MAX(L125-K125,0))</f>
        <v/>
      </c>
      <c r="N125" s="59">
        <f>IF(M125="","",IF(N(J125)=0,1,J125))</f>
        <v/>
      </c>
    </row>
    <row r="126">
      <c r="A126" s="53" t="n">
        <v>106</v>
      </c>
      <c r="B126" s="67" t="n"/>
      <c r="C126" s="55" t="n"/>
      <c r="D126" s="68" t="n"/>
      <c r="E126" s="68" t="n"/>
      <c r="F126" s="59">
        <f>IF(OR(E126="",D126=""),"",MAX(E126-D126,0))</f>
        <v/>
      </c>
      <c r="G126" s="59">
        <f>IF(F126="","",IF(N(C126)=0,1,C126))</f>
        <v/>
      </c>
      <c r="H126" s="53" t="n">
        <v>106</v>
      </c>
      <c r="I126" s="67" t="n"/>
      <c r="J126" s="55" t="n"/>
      <c r="K126" s="68" t="n"/>
      <c r="L126" s="68" t="n"/>
      <c r="M126" s="59">
        <f>IF(OR(L126="",K126=""),"",MAX(L126-K126,0))</f>
        <v/>
      </c>
      <c r="N126" s="59">
        <f>IF(M126="","",IF(N(J126)=0,1,J126))</f>
        <v/>
      </c>
    </row>
    <row r="127">
      <c r="A127" s="53" t="n">
        <v>107</v>
      </c>
      <c r="B127" s="67" t="n"/>
      <c r="C127" s="55" t="n"/>
      <c r="D127" s="68" t="n"/>
      <c r="E127" s="68" t="n"/>
      <c r="F127" s="59">
        <f>IF(OR(E127="",D127=""),"",MAX(E127-D127,0))</f>
        <v/>
      </c>
      <c r="G127" s="59">
        <f>IF(F127="","",IF(N(C127)=0,1,C127))</f>
        <v/>
      </c>
      <c r="H127" s="53" t="n">
        <v>107</v>
      </c>
      <c r="I127" s="67" t="n"/>
      <c r="J127" s="55" t="n"/>
      <c r="K127" s="68" t="n"/>
      <c r="L127" s="68" t="n"/>
      <c r="M127" s="59">
        <f>IF(OR(L127="",K127=""),"",MAX(L127-K127,0))</f>
        <v/>
      </c>
      <c r="N127" s="59">
        <f>IF(M127="","",IF(N(J127)=0,1,J127))</f>
        <v/>
      </c>
    </row>
    <row r="128">
      <c r="A128" s="53" t="n">
        <v>108</v>
      </c>
      <c r="B128" s="67" t="n"/>
      <c r="C128" s="55" t="n"/>
      <c r="D128" s="68" t="n"/>
      <c r="E128" s="68" t="n"/>
      <c r="F128" s="59">
        <f>IF(OR(E128="",D128=""),"",MAX(E128-D128,0))</f>
        <v/>
      </c>
      <c r="G128" s="59">
        <f>IF(F128="","",IF(N(C128)=0,1,C128))</f>
        <v/>
      </c>
      <c r="H128" s="53" t="n">
        <v>108</v>
      </c>
      <c r="I128" s="67" t="n"/>
      <c r="J128" s="55" t="n"/>
      <c r="K128" s="68" t="n"/>
      <c r="L128" s="68" t="n"/>
      <c r="M128" s="59">
        <f>IF(OR(L128="",K128=""),"",MAX(L128-K128,0))</f>
        <v/>
      </c>
      <c r="N128" s="59">
        <f>IF(M128="","",IF(N(J128)=0,1,J128))</f>
        <v/>
      </c>
    </row>
    <row r="129">
      <c r="A129" s="53" t="n">
        <v>109</v>
      </c>
      <c r="B129" s="67" t="n"/>
      <c r="C129" s="55" t="n"/>
      <c r="D129" s="68" t="n"/>
      <c r="E129" s="68" t="n"/>
      <c r="F129" s="59">
        <f>IF(OR(E129="",D129=""),"",MAX(E129-D129,0))</f>
        <v/>
      </c>
      <c r="G129" s="59">
        <f>IF(F129="","",IF(N(C129)=0,1,C129))</f>
        <v/>
      </c>
      <c r="H129" s="53" t="n">
        <v>109</v>
      </c>
      <c r="I129" s="67" t="n"/>
      <c r="J129" s="55" t="n"/>
      <c r="K129" s="68" t="n"/>
      <c r="L129" s="68" t="n"/>
      <c r="M129" s="59">
        <f>IF(OR(L129="",K129=""),"",MAX(L129-K129,0))</f>
        <v/>
      </c>
      <c r="N129" s="59">
        <f>IF(M129="","",IF(N(J129)=0,1,J129))</f>
        <v/>
      </c>
    </row>
    <row r="130">
      <c r="A130" s="53" t="n">
        <v>110</v>
      </c>
      <c r="B130" s="67" t="n"/>
      <c r="C130" s="55" t="n"/>
      <c r="D130" s="68" t="n"/>
      <c r="E130" s="68" t="n"/>
      <c r="F130" s="59">
        <f>IF(OR(E130="",D130=""),"",MAX(E130-D130,0))</f>
        <v/>
      </c>
      <c r="G130" s="59">
        <f>IF(F130="","",IF(N(C130)=0,1,C130))</f>
        <v/>
      </c>
      <c r="H130" s="53" t="n">
        <v>110</v>
      </c>
      <c r="I130" s="67" t="n"/>
      <c r="J130" s="55" t="n"/>
      <c r="K130" s="68" t="n"/>
      <c r="L130" s="68" t="n"/>
      <c r="M130" s="59">
        <f>IF(OR(L130="",K130=""),"",MAX(L130-K130,0))</f>
        <v/>
      </c>
      <c r="N130" s="59">
        <f>IF(M130="","",IF(N(J130)=0,1,J130))</f>
        <v/>
      </c>
    </row>
    <row r="131">
      <c r="A131" s="53" t="n">
        <v>111</v>
      </c>
      <c r="B131" s="67" t="n"/>
      <c r="C131" s="55" t="n"/>
      <c r="D131" s="68" t="n"/>
      <c r="E131" s="68" t="n"/>
      <c r="F131" s="59">
        <f>IF(OR(E131="",D131=""),"",MAX(E131-D131,0))</f>
        <v/>
      </c>
      <c r="G131" s="59">
        <f>IF(F131="","",IF(N(C131)=0,1,C131))</f>
        <v/>
      </c>
      <c r="H131" s="53" t="n">
        <v>111</v>
      </c>
      <c r="I131" s="67" t="n"/>
      <c r="J131" s="55" t="n"/>
      <c r="K131" s="68" t="n"/>
      <c r="L131" s="68" t="n"/>
      <c r="M131" s="59">
        <f>IF(OR(L131="",K131=""),"",MAX(L131-K131,0))</f>
        <v/>
      </c>
      <c r="N131" s="59">
        <f>IF(M131="","",IF(N(J131)=0,1,J131))</f>
        <v/>
      </c>
    </row>
    <row r="132">
      <c r="A132" s="53" t="n">
        <v>112</v>
      </c>
      <c r="B132" s="67" t="n"/>
      <c r="C132" s="55" t="n"/>
      <c r="D132" s="68" t="n"/>
      <c r="E132" s="68" t="n"/>
      <c r="F132" s="59">
        <f>IF(OR(E132="",D132=""),"",MAX(E132-D132,0))</f>
        <v/>
      </c>
      <c r="G132" s="59">
        <f>IF(F132="","",IF(N(C132)=0,1,C132))</f>
        <v/>
      </c>
      <c r="H132" s="53" t="n">
        <v>112</v>
      </c>
      <c r="I132" s="67" t="n"/>
      <c r="J132" s="55" t="n"/>
      <c r="K132" s="68" t="n"/>
      <c r="L132" s="68" t="n"/>
      <c r="M132" s="59">
        <f>IF(OR(L132="",K132=""),"",MAX(L132-K132,0))</f>
        <v/>
      </c>
      <c r="N132" s="59">
        <f>IF(M132="","",IF(N(J132)=0,1,J132))</f>
        <v/>
      </c>
    </row>
    <row r="133">
      <c r="A133" s="53" t="n">
        <v>113</v>
      </c>
      <c r="B133" s="67" t="n"/>
      <c r="C133" s="55" t="n"/>
      <c r="D133" s="68" t="n"/>
      <c r="E133" s="68" t="n"/>
      <c r="F133" s="59">
        <f>IF(OR(E133="",D133=""),"",MAX(E133-D133,0))</f>
        <v/>
      </c>
      <c r="G133" s="59">
        <f>IF(F133="","",IF(N(C133)=0,1,C133))</f>
        <v/>
      </c>
      <c r="H133" s="53" t="n">
        <v>113</v>
      </c>
      <c r="I133" s="67" t="n"/>
      <c r="J133" s="55" t="n"/>
      <c r="K133" s="68" t="n"/>
      <c r="L133" s="68" t="n"/>
      <c r="M133" s="59">
        <f>IF(OR(L133="",K133=""),"",MAX(L133-K133,0))</f>
        <v/>
      </c>
      <c r="N133" s="59">
        <f>IF(M133="","",IF(N(J133)=0,1,J133))</f>
        <v/>
      </c>
    </row>
    <row r="134">
      <c r="A134" s="53" t="n">
        <v>114</v>
      </c>
      <c r="B134" s="67" t="n"/>
      <c r="C134" s="55" t="n"/>
      <c r="D134" s="68" t="n"/>
      <c r="E134" s="68" t="n"/>
      <c r="F134" s="59">
        <f>IF(OR(E134="",D134=""),"",MAX(E134-D134,0))</f>
        <v/>
      </c>
      <c r="G134" s="59">
        <f>IF(F134="","",IF(N(C134)=0,1,C134))</f>
        <v/>
      </c>
      <c r="H134" s="53" t="n">
        <v>114</v>
      </c>
      <c r="I134" s="67" t="n"/>
      <c r="J134" s="55" t="n"/>
      <c r="K134" s="68" t="n"/>
      <c r="L134" s="68" t="n"/>
      <c r="M134" s="59">
        <f>IF(OR(L134="",K134=""),"",MAX(L134-K134,0))</f>
        <v/>
      </c>
      <c r="N134" s="59">
        <f>IF(M134="","",IF(N(J134)=0,1,J134))</f>
        <v/>
      </c>
    </row>
    <row r="135">
      <c r="A135" s="53" t="n">
        <v>115</v>
      </c>
      <c r="B135" s="67" t="n"/>
      <c r="C135" s="55" t="n"/>
      <c r="D135" s="68" t="n"/>
      <c r="E135" s="68" t="n"/>
      <c r="F135" s="59">
        <f>IF(OR(E135="",D135=""),"",MAX(E135-D135,0))</f>
        <v/>
      </c>
      <c r="G135" s="59">
        <f>IF(F135="","",IF(N(C135)=0,1,C135))</f>
        <v/>
      </c>
      <c r="H135" s="53" t="n">
        <v>115</v>
      </c>
      <c r="I135" s="67" t="n"/>
      <c r="J135" s="55" t="n"/>
      <c r="K135" s="68" t="n"/>
      <c r="L135" s="68" t="n"/>
      <c r="M135" s="59">
        <f>IF(OR(L135="",K135=""),"",MAX(L135-K135,0))</f>
        <v/>
      </c>
      <c r="N135" s="59">
        <f>IF(M135="","",IF(N(J135)=0,1,J135))</f>
        <v/>
      </c>
    </row>
    <row r="136">
      <c r="A136" s="53" t="n">
        <v>116</v>
      </c>
      <c r="B136" s="67" t="n"/>
      <c r="C136" s="55" t="n"/>
      <c r="D136" s="68" t="n"/>
      <c r="E136" s="68" t="n"/>
      <c r="F136" s="59">
        <f>IF(OR(E136="",D136=""),"",MAX(E136-D136,0))</f>
        <v/>
      </c>
      <c r="G136" s="59">
        <f>IF(F136="","",IF(N(C136)=0,1,C136))</f>
        <v/>
      </c>
      <c r="H136" s="53" t="n">
        <v>116</v>
      </c>
      <c r="I136" s="67" t="n"/>
      <c r="J136" s="55" t="n"/>
      <c r="K136" s="68" t="n"/>
      <c r="L136" s="68" t="n"/>
      <c r="M136" s="59">
        <f>IF(OR(L136="",K136=""),"",MAX(L136-K136,0))</f>
        <v/>
      </c>
      <c r="N136" s="59">
        <f>IF(M136="","",IF(N(J136)=0,1,J136))</f>
        <v/>
      </c>
    </row>
    <row r="137">
      <c r="A137" s="53" t="n">
        <v>117</v>
      </c>
      <c r="B137" s="67" t="n"/>
      <c r="C137" s="55" t="n"/>
      <c r="D137" s="68" t="n"/>
      <c r="E137" s="68" t="n"/>
      <c r="F137" s="59">
        <f>IF(OR(E137="",D137=""),"",MAX(E137-D137,0))</f>
        <v/>
      </c>
      <c r="G137" s="59">
        <f>IF(F137="","",IF(N(C137)=0,1,C137))</f>
        <v/>
      </c>
      <c r="H137" s="53" t="n">
        <v>117</v>
      </c>
      <c r="I137" s="67" t="n"/>
      <c r="J137" s="55" t="n"/>
      <c r="K137" s="68" t="n"/>
      <c r="L137" s="68" t="n"/>
      <c r="M137" s="59">
        <f>IF(OR(L137="",K137=""),"",MAX(L137-K137,0))</f>
        <v/>
      </c>
      <c r="N137" s="59">
        <f>IF(M137="","",IF(N(J137)=0,1,J137))</f>
        <v/>
      </c>
    </row>
    <row r="138">
      <c r="A138" s="53" t="n">
        <v>118</v>
      </c>
      <c r="B138" s="67" t="n"/>
      <c r="C138" s="55" t="n"/>
      <c r="D138" s="68" t="n"/>
      <c r="E138" s="68" t="n"/>
      <c r="F138" s="59">
        <f>IF(OR(E138="",D138=""),"",MAX(E138-D138,0))</f>
        <v/>
      </c>
      <c r="G138" s="59">
        <f>IF(F138="","",IF(N(C138)=0,1,C138))</f>
        <v/>
      </c>
      <c r="H138" s="53" t="n">
        <v>118</v>
      </c>
      <c r="I138" s="67" t="n"/>
      <c r="J138" s="55" t="n"/>
      <c r="K138" s="68" t="n"/>
      <c r="L138" s="68" t="n"/>
      <c r="M138" s="59">
        <f>IF(OR(L138="",K138=""),"",MAX(L138-K138,0))</f>
        <v/>
      </c>
      <c r="N138" s="59">
        <f>IF(M138="","",IF(N(J138)=0,1,J138))</f>
        <v/>
      </c>
    </row>
    <row r="139">
      <c r="A139" s="53" t="n">
        <v>119</v>
      </c>
      <c r="B139" s="67" t="n"/>
      <c r="C139" s="55" t="n"/>
      <c r="D139" s="68" t="n"/>
      <c r="E139" s="68" t="n"/>
      <c r="F139" s="59">
        <f>IF(OR(E139="",D139=""),"",MAX(E139-D139,0))</f>
        <v/>
      </c>
      <c r="G139" s="59">
        <f>IF(F139="","",IF(N(C139)=0,1,C139))</f>
        <v/>
      </c>
      <c r="H139" s="53" t="n">
        <v>119</v>
      </c>
      <c r="I139" s="67" t="n"/>
      <c r="J139" s="55" t="n"/>
      <c r="K139" s="68" t="n"/>
      <c r="L139" s="68" t="n"/>
      <c r="M139" s="59">
        <f>IF(OR(L139="",K139=""),"",MAX(L139-K139,0))</f>
        <v/>
      </c>
      <c r="N139" s="59">
        <f>IF(M139="","",IF(N(J139)=0,1,J139))</f>
        <v/>
      </c>
    </row>
    <row r="140">
      <c r="A140" s="53" t="n">
        <v>120</v>
      </c>
      <c r="B140" s="67" t="n"/>
      <c r="C140" s="55" t="n"/>
      <c r="D140" s="68" t="n"/>
      <c r="E140" s="68" t="n"/>
      <c r="F140" s="59">
        <f>IF(OR(E140="",D140=""),"",MAX(E140-D140,0))</f>
        <v/>
      </c>
      <c r="G140" s="59">
        <f>IF(F140="","",IF(N(C140)=0,1,C140))</f>
        <v/>
      </c>
      <c r="H140" s="53" t="n">
        <v>120</v>
      </c>
      <c r="I140" s="67" t="n"/>
      <c r="J140" s="55" t="n"/>
      <c r="K140" s="68" t="n"/>
      <c r="L140" s="68" t="n"/>
      <c r="M140" s="59">
        <f>IF(OR(L140="",K140=""),"",MAX(L140-K140,0))</f>
        <v/>
      </c>
      <c r="N140" s="59">
        <f>IF(M140="","",IF(N(J140)=0,1,J140))</f>
        <v/>
      </c>
    </row>
    <row r="141">
      <c r="A141" s="53" t="n">
        <v>121</v>
      </c>
      <c r="B141" s="67" t="n"/>
      <c r="C141" s="55" t="n"/>
      <c r="D141" s="68" t="n"/>
      <c r="E141" s="68" t="n"/>
      <c r="F141" s="59">
        <f>IF(OR(E141="",D141=""),"",MAX(E141-D141,0))</f>
        <v/>
      </c>
      <c r="G141" s="59">
        <f>IF(F141="","",IF(N(C141)=0,1,C141))</f>
        <v/>
      </c>
      <c r="H141" s="53" t="n">
        <v>121</v>
      </c>
      <c r="I141" s="67" t="n"/>
      <c r="J141" s="55" t="n"/>
      <c r="K141" s="68" t="n"/>
      <c r="L141" s="68" t="n"/>
      <c r="M141" s="59">
        <f>IF(OR(L141="",K141=""),"",MAX(L141-K141,0))</f>
        <v/>
      </c>
      <c r="N141" s="59">
        <f>IF(M141="","",IF(N(J141)=0,1,J141))</f>
        <v/>
      </c>
    </row>
    <row r="142">
      <c r="A142" s="53" t="n">
        <v>122</v>
      </c>
      <c r="B142" s="67" t="n"/>
      <c r="C142" s="55" t="n"/>
      <c r="D142" s="68" t="n"/>
      <c r="E142" s="68" t="n"/>
      <c r="F142" s="59">
        <f>IF(OR(E142="",D142=""),"",MAX(E142-D142,0))</f>
        <v/>
      </c>
      <c r="G142" s="59">
        <f>IF(F142="","",IF(N(C142)=0,1,C142))</f>
        <v/>
      </c>
      <c r="H142" s="53" t="n">
        <v>122</v>
      </c>
      <c r="I142" s="67" t="n"/>
      <c r="J142" s="55" t="n"/>
      <c r="K142" s="68" t="n"/>
      <c r="L142" s="68" t="n"/>
      <c r="M142" s="59">
        <f>IF(OR(L142="",K142=""),"",MAX(L142-K142,0))</f>
        <v/>
      </c>
      <c r="N142" s="59">
        <f>IF(M142="","",IF(N(J142)=0,1,J142))</f>
        <v/>
      </c>
    </row>
    <row r="143">
      <c r="A143" s="53" t="n">
        <v>123</v>
      </c>
      <c r="B143" s="67" t="n"/>
      <c r="C143" s="55" t="n"/>
      <c r="D143" s="68" t="n"/>
      <c r="E143" s="68" t="n"/>
      <c r="F143" s="59">
        <f>IF(OR(E143="",D143=""),"",MAX(E143-D143,0))</f>
        <v/>
      </c>
      <c r="G143" s="59">
        <f>IF(F143="","",IF(N(C143)=0,1,C143))</f>
        <v/>
      </c>
      <c r="H143" s="53" t="n">
        <v>123</v>
      </c>
      <c r="I143" s="67" t="n"/>
      <c r="J143" s="55" t="n"/>
      <c r="K143" s="68" t="n"/>
      <c r="L143" s="68" t="n"/>
      <c r="M143" s="59">
        <f>IF(OR(L143="",K143=""),"",MAX(L143-K143,0))</f>
        <v/>
      </c>
      <c r="N143" s="59">
        <f>IF(M143="","",IF(N(J143)=0,1,J143))</f>
        <v/>
      </c>
    </row>
    <row r="144">
      <c r="A144" s="53" t="n">
        <v>124</v>
      </c>
      <c r="B144" s="67" t="n"/>
      <c r="C144" s="55" t="n"/>
      <c r="D144" s="68" t="n"/>
      <c r="E144" s="68" t="n"/>
      <c r="F144" s="59">
        <f>IF(OR(E144="",D144=""),"",MAX(E144-D144,0))</f>
        <v/>
      </c>
      <c r="G144" s="59">
        <f>IF(F144="","",IF(N(C144)=0,1,C144))</f>
        <v/>
      </c>
      <c r="H144" s="53" t="n">
        <v>124</v>
      </c>
      <c r="I144" s="67" t="n"/>
      <c r="J144" s="55" t="n"/>
      <c r="K144" s="68" t="n"/>
      <c r="L144" s="68" t="n"/>
      <c r="M144" s="59">
        <f>IF(OR(L144="",K144=""),"",MAX(L144-K144,0))</f>
        <v/>
      </c>
      <c r="N144" s="59">
        <f>IF(M144="","",IF(N(J144)=0,1,J144))</f>
        <v/>
      </c>
    </row>
    <row r="145">
      <c r="A145" s="53" t="n">
        <v>125</v>
      </c>
      <c r="B145" s="67" t="n"/>
      <c r="C145" s="55" t="n"/>
      <c r="D145" s="68" t="n"/>
      <c r="E145" s="68" t="n"/>
      <c r="F145" s="59">
        <f>IF(OR(E145="",D145=""),"",MAX(E145-D145,0))</f>
        <v/>
      </c>
      <c r="G145" s="59">
        <f>IF(F145="","",IF(N(C145)=0,1,C145))</f>
        <v/>
      </c>
      <c r="H145" s="53" t="n">
        <v>125</v>
      </c>
      <c r="I145" s="67" t="n"/>
      <c r="J145" s="55" t="n"/>
      <c r="K145" s="68" t="n"/>
      <c r="L145" s="68" t="n"/>
      <c r="M145" s="59">
        <f>IF(OR(L145="",K145=""),"",MAX(L145-K145,0))</f>
        <v/>
      </c>
      <c r="N145" s="59">
        <f>IF(M145="","",IF(N(J145)=0,1,J145))</f>
        <v/>
      </c>
    </row>
    <row r="146">
      <c r="A146" s="53" t="n">
        <v>126</v>
      </c>
      <c r="B146" s="67" t="n"/>
      <c r="C146" s="55" t="n"/>
      <c r="D146" s="68" t="n"/>
      <c r="E146" s="68" t="n"/>
      <c r="F146" s="59">
        <f>IF(OR(E146="",D146=""),"",MAX(E146-D146,0))</f>
        <v/>
      </c>
      <c r="G146" s="59">
        <f>IF(F146="","",IF(N(C146)=0,1,C146))</f>
        <v/>
      </c>
      <c r="H146" s="53" t="n">
        <v>126</v>
      </c>
      <c r="I146" s="67" t="n"/>
      <c r="J146" s="55" t="n"/>
      <c r="K146" s="68" t="n"/>
      <c r="L146" s="68" t="n"/>
      <c r="M146" s="59">
        <f>IF(OR(L146="",K146=""),"",MAX(L146-K146,0))</f>
        <v/>
      </c>
      <c r="N146" s="59">
        <f>IF(M146="","",IF(N(J146)=0,1,J146))</f>
        <v/>
      </c>
    </row>
    <row r="147">
      <c r="A147" s="53" t="n">
        <v>127</v>
      </c>
      <c r="B147" s="67" t="n"/>
      <c r="C147" s="55" t="n"/>
      <c r="D147" s="68" t="n"/>
      <c r="E147" s="68" t="n"/>
      <c r="F147" s="59">
        <f>IF(OR(E147="",D147=""),"",MAX(E147-D147,0))</f>
        <v/>
      </c>
      <c r="G147" s="59">
        <f>IF(F147="","",IF(N(C147)=0,1,C147))</f>
        <v/>
      </c>
      <c r="H147" s="53" t="n">
        <v>127</v>
      </c>
      <c r="I147" s="67" t="n"/>
      <c r="J147" s="55" t="n"/>
      <c r="K147" s="68" t="n"/>
      <c r="L147" s="68" t="n"/>
      <c r="M147" s="59">
        <f>IF(OR(L147="",K147=""),"",MAX(L147-K147,0))</f>
        <v/>
      </c>
      <c r="N147" s="59">
        <f>IF(M147="","",IF(N(J147)=0,1,J147))</f>
        <v/>
      </c>
    </row>
    <row r="148">
      <c r="A148" s="53" t="n">
        <v>128</v>
      </c>
      <c r="B148" s="67" t="n"/>
      <c r="C148" s="55" t="n"/>
      <c r="D148" s="68" t="n"/>
      <c r="E148" s="68" t="n"/>
      <c r="F148" s="59">
        <f>IF(OR(E148="",D148=""),"",MAX(E148-D148,0))</f>
        <v/>
      </c>
      <c r="G148" s="59">
        <f>IF(F148="","",IF(N(C148)=0,1,C148))</f>
        <v/>
      </c>
      <c r="H148" s="53" t="n">
        <v>128</v>
      </c>
      <c r="I148" s="67" t="n"/>
      <c r="J148" s="55" t="n"/>
      <c r="K148" s="68" t="n"/>
      <c r="L148" s="68" t="n"/>
      <c r="M148" s="59">
        <f>IF(OR(L148="",K148=""),"",MAX(L148-K148,0))</f>
        <v/>
      </c>
      <c r="N148" s="59">
        <f>IF(M148="","",IF(N(J148)=0,1,J148))</f>
        <v/>
      </c>
    </row>
    <row r="149">
      <c r="A149" s="53" t="n">
        <v>129</v>
      </c>
      <c r="B149" s="67" t="n"/>
      <c r="C149" s="55" t="n"/>
      <c r="D149" s="68" t="n"/>
      <c r="E149" s="68" t="n"/>
      <c r="F149" s="59">
        <f>IF(OR(E149="",D149=""),"",MAX(E149-D149,0))</f>
        <v/>
      </c>
      <c r="G149" s="59">
        <f>IF(F149="","",IF(N(C149)=0,1,C149))</f>
        <v/>
      </c>
      <c r="H149" s="53" t="n">
        <v>129</v>
      </c>
      <c r="I149" s="67" t="n"/>
      <c r="J149" s="55" t="n"/>
      <c r="K149" s="68" t="n"/>
      <c r="L149" s="68" t="n"/>
      <c r="M149" s="59">
        <f>IF(OR(L149="",K149=""),"",MAX(L149-K149,0))</f>
        <v/>
      </c>
      <c r="N149" s="59">
        <f>IF(M149="","",IF(N(J149)=0,1,J149))</f>
        <v/>
      </c>
    </row>
    <row r="150">
      <c r="A150" s="53" t="n">
        <v>130</v>
      </c>
      <c r="B150" s="67" t="n"/>
      <c r="C150" s="55" t="n"/>
      <c r="D150" s="68" t="n"/>
      <c r="E150" s="68" t="n"/>
      <c r="F150" s="59">
        <f>IF(OR(E150="",D150=""),"",MAX(E150-D150,0))</f>
        <v/>
      </c>
      <c r="G150" s="59">
        <f>IF(F150="","",IF(N(C150)=0,1,C150))</f>
        <v/>
      </c>
      <c r="H150" s="53" t="n">
        <v>130</v>
      </c>
      <c r="I150" s="67" t="n"/>
      <c r="J150" s="55" t="n"/>
      <c r="K150" s="68" t="n"/>
      <c r="L150" s="68" t="n"/>
      <c r="M150" s="59">
        <f>IF(OR(L150="",K150=""),"",MAX(L150-K150,0))</f>
        <v/>
      </c>
      <c r="N150" s="59">
        <f>IF(M150="","",IF(N(J150)=0,1,J150))</f>
        <v/>
      </c>
    </row>
    <row r="151">
      <c r="A151" s="53" t="n">
        <v>131</v>
      </c>
      <c r="B151" s="67" t="n"/>
      <c r="C151" s="55" t="n"/>
      <c r="D151" s="68" t="n"/>
      <c r="E151" s="68" t="n"/>
      <c r="F151" s="59">
        <f>IF(OR(E151="",D151=""),"",MAX(E151-D151,0))</f>
        <v/>
      </c>
      <c r="G151" s="59">
        <f>IF(F151="","",IF(N(C151)=0,1,C151))</f>
        <v/>
      </c>
      <c r="H151" s="53" t="n">
        <v>131</v>
      </c>
      <c r="I151" s="67" t="n"/>
      <c r="J151" s="55" t="n"/>
      <c r="K151" s="68" t="n"/>
      <c r="L151" s="68" t="n"/>
      <c r="M151" s="59">
        <f>IF(OR(L151="",K151=""),"",MAX(L151-K151,0))</f>
        <v/>
      </c>
      <c r="N151" s="59">
        <f>IF(M151="","",IF(N(J151)=0,1,J151))</f>
        <v/>
      </c>
    </row>
    <row r="152">
      <c r="A152" s="53" t="n">
        <v>132</v>
      </c>
      <c r="B152" s="67" t="n"/>
      <c r="C152" s="55" t="n"/>
      <c r="D152" s="68" t="n"/>
      <c r="E152" s="68" t="n"/>
      <c r="F152" s="59">
        <f>IF(OR(E152="",D152=""),"",MAX(E152-D152,0))</f>
        <v/>
      </c>
      <c r="G152" s="59">
        <f>IF(F152="","",IF(N(C152)=0,1,C152))</f>
        <v/>
      </c>
      <c r="H152" s="53" t="n">
        <v>132</v>
      </c>
      <c r="I152" s="67" t="n"/>
      <c r="J152" s="55" t="n"/>
      <c r="K152" s="68" t="n"/>
      <c r="L152" s="68" t="n"/>
      <c r="M152" s="59">
        <f>IF(OR(L152="",K152=""),"",MAX(L152-K152,0))</f>
        <v/>
      </c>
      <c r="N152" s="59">
        <f>IF(M152="","",IF(N(J152)=0,1,J152))</f>
        <v/>
      </c>
    </row>
    <row r="153">
      <c r="A153" s="53" t="n">
        <v>133</v>
      </c>
      <c r="B153" s="67" t="n"/>
      <c r="C153" s="55" t="n"/>
      <c r="D153" s="68" t="n"/>
      <c r="E153" s="68" t="n"/>
      <c r="F153" s="59">
        <f>IF(OR(E153="",D153=""),"",MAX(E153-D153,0))</f>
        <v/>
      </c>
      <c r="G153" s="59">
        <f>IF(F153="","",IF(N(C153)=0,1,C153))</f>
        <v/>
      </c>
      <c r="H153" s="53" t="n">
        <v>133</v>
      </c>
      <c r="I153" s="67" t="n"/>
      <c r="J153" s="55" t="n"/>
      <c r="K153" s="68" t="n"/>
      <c r="L153" s="68" t="n"/>
      <c r="M153" s="59">
        <f>IF(OR(L153="",K153=""),"",MAX(L153-K153,0))</f>
        <v/>
      </c>
      <c r="N153" s="59">
        <f>IF(M153="","",IF(N(J153)=0,1,J153))</f>
        <v/>
      </c>
    </row>
    <row r="154">
      <c r="A154" s="53" t="n">
        <v>134</v>
      </c>
      <c r="B154" s="67" t="n"/>
      <c r="C154" s="55" t="n"/>
      <c r="D154" s="68" t="n"/>
      <c r="E154" s="68" t="n"/>
      <c r="F154" s="59">
        <f>IF(OR(E154="",D154=""),"",MAX(E154-D154,0))</f>
        <v/>
      </c>
      <c r="G154" s="59">
        <f>IF(F154="","",IF(N(C154)=0,1,C154))</f>
        <v/>
      </c>
      <c r="H154" s="53" t="n">
        <v>134</v>
      </c>
      <c r="I154" s="67" t="n"/>
      <c r="J154" s="55" t="n"/>
      <c r="K154" s="68" t="n"/>
      <c r="L154" s="68" t="n"/>
      <c r="M154" s="59">
        <f>IF(OR(L154="",K154=""),"",MAX(L154-K154,0))</f>
        <v/>
      </c>
      <c r="N154" s="59">
        <f>IF(M154="","",IF(N(J154)=0,1,J154))</f>
        <v/>
      </c>
    </row>
    <row r="155">
      <c r="A155" s="53" t="n">
        <v>135</v>
      </c>
      <c r="B155" s="67" t="n"/>
      <c r="C155" s="55" t="n"/>
      <c r="D155" s="68" t="n"/>
      <c r="E155" s="68" t="n"/>
      <c r="F155" s="59">
        <f>IF(OR(E155="",D155=""),"",MAX(E155-D155,0))</f>
        <v/>
      </c>
      <c r="G155" s="59">
        <f>IF(F155="","",IF(N(C155)=0,1,C155))</f>
        <v/>
      </c>
      <c r="H155" s="53" t="n">
        <v>135</v>
      </c>
      <c r="I155" s="67" t="n"/>
      <c r="J155" s="55" t="n"/>
      <c r="K155" s="68" t="n"/>
      <c r="L155" s="68" t="n"/>
      <c r="M155" s="59">
        <f>IF(OR(L155="",K155=""),"",MAX(L155-K155,0))</f>
        <v/>
      </c>
      <c r="N155" s="59">
        <f>IF(M155="","",IF(N(J155)=0,1,J155))</f>
        <v/>
      </c>
    </row>
    <row r="156">
      <c r="A156" s="53" t="n">
        <v>136</v>
      </c>
      <c r="B156" s="67" t="n"/>
      <c r="C156" s="55" t="n"/>
      <c r="D156" s="68" t="n"/>
      <c r="E156" s="68" t="n"/>
      <c r="F156" s="59">
        <f>IF(OR(E156="",D156=""),"",MAX(E156-D156,0))</f>
        <v/>
      </c>
      <c r="G156" s="59">
        <f>IF(F156="","",IF(N(C156)=0,1,C156))</f>
        <v/>
      </c>
      <c r="H156" s="53" t="n">
        <v>136</v>
      </c>
      <c r="I156" s="67" t="n"/>
      <c r="J156" s="55" t="n"/>
      <c r="K156" s="68" t="n"/>
      <c r="L156" s="68" t="n"/>
      <c r="M156" s="59">
        <f>IF(OR(L156="",K156=""),"",MAX(L156-K156,0))</f>
        <v/>
      </c>
      <c r="N156" s="59">
        <f>IF(M156="","",IF(N(J156)=0,1,J156))</f>
        <v/>
      </c>
    </row>
    <row r="157">
      <c r="A157" s="53" t="n">
        <v>137</v>
      </c>
      <c r="B157" s="67" t="n"/>
      <c r="C157" s="55" t="n"/>
      <c r="D157" s="68" t="n"/>
      <c r="E157" s="68" t="n"/>
      <c r="F157" s="59">
        <f>IF(OR(E157="",D157=""),"",MAX(E157-D157,0))</f>
        <v/>
      </c>
      <c r="G157" s="59">
        <f>IF(F157="","",IF(N(C157)=0,1,C157))</f>
        <v/>
      </c>
      <c r="H157" s="53" t="n">
        <v>137</v>
      </c>
      <c r="I157" s="67" t="n"/>
      <c r="J157" s="55" t="n"/>
      <c r="K157" s="68" t="n"/>
      <c r="L157" s="68" t="n"/>
      <c r="M157" s="59">
        <f>IF(OR(L157="",K157=""),"",MAX(L157-K157,0))</f>
        <v/>
      </c>
      <c r="N157" s="59">
        <f>IF(M157="","",IF(N(J157)=0,1,J157))</f>
        <v/>
      </c>
    </row>
    <row r="158">
      <c r="A158" s="53" t="n">
        <v>138</v>
      </c>
      <c r="B158" s="67" t="n"/>
      <c r="C158" s="55" t="n"/>
      <c r="D158" s="68" t="n"/>
      <c r="E158" s="68" t="n"/>
      <c r="F158" s="59">
        <f>IF(OR(E158="",D158=""),"",MAX(E158-D158,0))</f>
        <v/>
      </c>
      <c r="G158" s="59">
        <f>IF(F158="","",IF(N(C158)=0,1,C158))</f>
        <v/>
      </c>
      <c r="H158" s="53" t="n">
        <v>138</v>
      </c>
      <c r="I158" s="67" t="n"/>
      <c r="J158" s="55" t="n"/>
      <c r="K158" s="68" t="n"/>
      <c r="L158" s="68" t="n"/>
      <c r="M158" s="59">
        <f>IF(OR(L158="",K158=""),"",MAX(L158-K158,0))</f>
        <v/>
      </c>
      <c r="N158" s="59">
        <f>IF(M158="","",IF(N(J158)=0,1,J158))</f>
        <v/>
      </c>
    </row>
    <row r="159">
      <c r="A159" s="53" t="n">
        <v>139</v>
      </c>
      <c r="B159" s="67" t="n"/>
      <c r="C159" s="55" t="n"/>
      <c r="D159" s="68" t="n"/>
      <c r="E159" s="68" t="n"/>
      <c r="F159" s="59">
        <f>IF(OR(E159="",D159=""),"",MAX(E159-D159,0))</f>
        <v/>
      </c>
      <c r="G159" s="59">
        <f>IF(F159="","",IF(N(C159)=0,1,C159))</f>
        <v/>
      </c>
      <c r="H159" s="53" t="n">
        <v>139</v>
      </c>
      <c r="I159" s="67" t="n"/>
      <c r="J159" s="55" t="n"/>
      <c r="K159" s="68" t="n"/>
      <c r="L159" s="68" t="n"/>
      <c r="M159" s="59">
        <f>IF(OR(L159="",K159=""),"",MAX(L159-K159,0))</f>
        <v/>
      </c>
      <c r="N159" s="59">
        <f>IF(M159="","",IF(N(J159)=0,1,J159))</f>
        <v/>
      </c>
    </row>
    <row r="160">
      <c r="A160" s="53" t="n">
        <v>140</v>
      </c>
      <c r="B160" s="67" t="n"/>
      <c r="C160" s="55" t="n"/>
      <c r="D160" s="68" t="n"/>
      <c r="E160" s="68" t="n"/>
      <c r="F160" s="59">
        <f>IF(OR(E160="",D160=""),"",MAX(E160-D160,0))</f>
        <v/>
      </c>
      <c r="G160" s="59">
        <f>IF(F160="","",IF(N(C160)=0,1,C160))</f>
        <v/>
      </c>
      <c r="H160" s="53" t="n">
        <v>140</v>
      </c>
      <c r="I160" s="67" t="n"/>
      <c r="J160" s="55" t="n"/>
      <c r="K160" s="68" t="n"/>
      <c r="L160" s="68" t="n"/>
      <c r="M160" s="59">
        <f>IF(OR(L160="",K160=""),"",MAX(L160-K160,0))</f>
        <v/>
      </c>
      <c r="N160" s="59">
        <f>IF(M160="","",IF(N(J160)=0,1,J160))</f>
        <v/>
      </c>
    </row>
    <row r="161">
      <c r="A161" s="60" t="n"/>
      <c r="B161" s="61" t="inlineStr">
        <is>
          <t>Total</t>
        </is>
      </c>
      <c r="C161" s="65">
        <f>SUM(C21:C160)</f>
        <v/>
      </c>
      <c r="D161" s="60" t="n"/>
      <c r="E161" s="60" t="n"/>
      <c r="F161" s="62">
        <f>IF(N(G161)=0,"",SUMPRODUCT(F21:F160,G21:G160)/G161)</f>
        <v/>
      </c>
      <c r="G161" s="65">
        <f>SUM(G21:G160)</f>
        <v/>
      </c>
      <c r="H161" s="60" t="n"/>
      <c r="I161" s="61" t="inlineStr">
        <is>
          <t>Total</t>
        </is>
      </c>
      <c r="J161" s="65">
        <f>SUM(J21:J160)</f>
        <v/>
      </c>
      <c r="K161" s="60" t="n"/>
      <c r="L161" s="60" t="n"/>
      <c r="M161" s="62">
        <f>IF(N(N161)=0,"",SUMPRODUCT(M21:M160,N21:N160)/N161)</f>
        <v/>
      </c>
      <c r="N161" s="65">
        <f>SUM(N21:N160)</f>
        <v/>
      </c>
    </row>
    <row r="162">
      <c r="B1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1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160" showDropDown="0" showInputMessage="0" showErrorMessage="1" allowBlank="1" error="No. of Posts must be a whole number &gt;= 1." type="whole" operator="greaterThanOrEqual">
      <formula1>1</formula1>
    </dataValidation>
    <dataValidation sqref="K21:L1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1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38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Paraguay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IF(OCT!$F$5="","",OCT!$F$5)</f>
        <v/>
      </c>
      <c r="D4" s="55" t="n"/>
      <c r="E4" s="56">
        <f>IF(OCT!$F$43="","",OCT!$F$43)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IF(OCT!$F$44="","",OCT!$F$44)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IF($C4="","",SUMPRODUCT(($E$21:$E$380&gt;=$Z$4)*($E$21:$E$380&lt;=EOMONTH($Z4,0)),$G$21:$G$380))</f>
        <v/>
      </c>
      <c r="AB4" s="56">
        <f>IF(N(AA4)=0,"",SUMPRODUCT(($E$21:$E$380&gt;=$Z$4)*($E$21:$E$380&lt;=EOMONTH($Z4,0)),$F$21:$F$380,$G$21:$G$380)/AA4)</f>
        <v/>
      </c>
      <c r="AC4" s="59">
        <f>IF($C4="","",SUMPRODUCT(($L$21:$L$380&gt;=$Z$4)*($L$21:$L$380&lt;=EOMONTH($Z4,0)),$N$21:$N$380))</f>
        <v/>
      </c>
      <c r="AD4" s="56">
        <f>IF(N(AC4)=0,"",SUMPRODUCT(($L$21:$L$380&gt;=$Z$4)*($L$21:$L$380&lt;=EOMONTH($Z4,0)),$M$21:$M$380,$N$21:$N$380)/AC4)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IF(NOV!$F$5="","",NOV!$F$5)</f>
        <v/>
      </c>
      <c r="D5" s="55" t="n"/>
      <c r="E5" s="56">
        <f>IF(NOV!$F$43="","",NOV!$F$43)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IF(NOV!$F$44="","",NOV!$F$44)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IF($C5="","",SUMPRODUCT(($E$21:$E$380&gt;=$Z$4)*($E$21:$E$380&lt;=EOMONTH($Z5,0)),$G$21:$G$380))</f>
        <v/>
      </c>
      <c r="AB5" s="56">
        <f>IF(N(AA5)=0,"",SUMPRODUCT(($E$21:$E$380&gt;=$Z$4)*($E$21:$E$380&lt;=EOMONTH($Z5,0)),$F$21:$F$380,$G$21:$G$380)/AA5)</f>
        <v/>
      </c>
      <c r="AC5" s="59">
        <f>IF($C5="","",SUMPRODUCT(($L$21:$L$380&gt;=$Z$4)*($L$21:$L$380&lt;=EOMONTH($Z5,0)),$N$21:$N$380))</f>
        <v/>
      </c>
      <c r="AD5" s="56">
        <f>IF(N(AC5)=0,"",SUMPRODUCT(($L$21:$L$380&gt;=$Z$4)*($L$21:$L$380&lt;=EOMONTH($Z5,0)),$M$21:$M$380,$N$21:$N$380)/AC5)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IF(DEC!$F$5="","",DEC!$F$5)</f>
        <v/>
      </c>
      <c r="D6" s="55" t="n"/>
      <c r="E6" s="56">
        <f>IF(DEC!$F$43="","",DEC!$F$43)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IF(DEC!$F$44="","",DEC!$F$44)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IF($C6="","",SUMPRODUCT(($E$21:$E$380&gt;=$Z$4)*($E$21:$E$380&lt;=EOMONTH($Z6,0)),$G$21:$G$380))</f>
        <v/>
      </c>
      <c r="AB6" s="56">
        <f>IF(N(AA6)=0,"",SUMPRODUCT(($E$21:$E$380&gt;=$Z$4)*($E$21:$E$380&lt;=EOMONTH($Z6,0)),$F$21:$F$380,$G$21:$G$380)/AA6)</f>
        <v/>
      </c>
      <c r="AC6" s="59">
        <f>IF($C6="","",SUMPRODUCT(($L$21:$L$380&gt;=$Z$4)*($L$21:$L$380&lt;=EOMONTH($Z6,0)),$N$21:$N$380))</f>
        <v/>
      </c>
      <c r="AD6" s="56">
        <f>IF(N(AC6)=0,"",SUMPRODUCT(($L$21:$L$380&gt;=$Z$4)*($L$21:$L$380&lt;=EOMONTH($Z6,0)),$M$21:$M$380,$N$21:$N$380)/AC6)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IF(JAN!$F$5="","",JAN!$F$5)</f>
        <v/>
      </c>
      <c r="D7" s="55" t="n"/>
      <c r="E7" s="56">
        <f>IF(JAN!$F$43="","",JAN!$F$43)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IF(JAN!$F$44="","",JAN!$F$44)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IF($C7="","",SUMPRODUCT(($E$21:$E$380&gt;=$Z$4)*($E$21:$E$380&lt;=EOMONTH($Z7,0)),$G$21:$G$380))</f>
        <v/>
      </c>
      <c r="AB7" s="56">
        <f>IF(N(AA7)=0,"",SUMPRODUCT(($E$21:$E$380&gt;=$Z$4)*($E$21:$E$380&lt;=EOMONTH($Z7,0)),$F$21:$F$380,$G$21:$G$380)/AA7)</f>
        <v/>
      </c>
      <c r="AC7" s="59">
        <f>IF($C7="","",SUMPRODUCT(($L$21:$L$380&gt;=$Z$4)*($L$21:$L$380&lt;=EOMONTH($Z7,0)),$N$21:$N$380))</f>
        <v/>
      </c>
      <c r="AD7" s="56">
        <f>IF(N(AC7)=0,"",SUMPRODUCT(($L$21:$L$380&gt;=$Z$4)*($L$21:$L$380&lt;=EOMONTH($Z7,0)),$M$21:$M$380,$N$21:$N$380)/AC7)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IF(FEB!$F$5="","",FEB!$F$5)</f>
        <v/>
      </c>
      <c r="D8" s="55" t="n"/>
      <c r="E8" s="56">
        <f>IF(FEB!$F$43="","",FEB!$F$43)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IF(FEB!$F$44="","",FEB!$F$44)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IF($C8="","",SUMPRODUCT(($E$21:$E$380&gt;=$Z$4)*($E$21:$E$380&lt;=EOMONTH($Z8,0)),$G$21:$G$380))</f>
        <v/>
      </c>
      <c r="AB8" s="56">
        <f>IF(N(AA8)=0,"",SUMPRODUCT(($E$21:$E$380&gt;=$Z$4)*($E$21:$E$380&lt;=EOMONTH($Z8,0)),$F$21:$F$380,$G$21:$G$380)/AA8)</f>
        <v/>
      </c>
      <c r="AC8" s="59">
        <f>IF($C8="","",SUMPRODUCT(($L$21:$L$380&gt;=$Z$4)*($L$21:$L$380&lt;=EOMONTH($Z8,0)),$N$21:$N$380))</f>
        <v/>
      </c>
      <c r="AD8" s="56">
        <f>IF(N(AC8)=0,"",SUMPRODUCT(($L$21:$L$380&gt;=$Z$4)*($L$21:$L$380&lt;=EOMONTH($Z8,0)),$M$21:$M$380,$N$21:$N$380)/AC8)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IF(MAR!$F$5="","",MAR!$F$5)</f>
        <v/>
      </c>
      <c r="D9" s="55" t="n"/>
      <c r="E9" s="56">
        <f>IF(MAR!$F$43="","",MAR!$F$43)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IF(MAR!$F$44="","",MAR!$F$44)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IF($C9="","",SUMPRODUCT(($E$21:$E$380&gt;=$Z$4)*($E$21:$E$380&lt;=EOMONTH($Z9,0)),$G$21:$G$380))</f>
        <v/>
      </c>
      <c r="AB9" s="56">
        <f>IF(N(AA9)=0,"",SUMPRODUCT(($E$21:$E$380&gt;=$Z$4)*($E$21:$E$380&lt;=EOMONTH($Z9,0)),$F$21:$F$380,$G$21:$G$380)/AA9)</f>
        <v/>
      </c>
      <c r="AC9" s="59">
        <f>IF($C9="","",SUMPRODUCT(($L$21:$L$380&gt;=$Z$4)*($L$21:$L$380&lt;=EOMONTH($Z9,0)),$N$21:$N$380))</f>
        <v/>
      </c>
      <c r="AD9" s="56">
        <f>IF(N(AC9)=0,"",SUMPRODUCT(($L$21:$L$380&gt;=$Z$4)*($L$21:$L$380&lt;=EOMONTH($Z9,0)),$M$21:$M$380,$N$21:$N$380)/AC9)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IF(APR!$F$5="","",APR!$F$5)</f>
        <v/>
      </c>
      <c r="D10" s="55" t="n"/>
      <c r="E10" s="56">
        <f>IF(APR!$F$43="","",APR!$F$43)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IF(APR!$F$44="","",APR!$F$44)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IF($C10="","",SUMPRODUCT(($E$21:$E$380&gt;=$Z$4)*($E$21:$E$380&lt;=EOMONTH($Z10,0)),$G$21:$G$380))</f>
        <v/>
      </c>
      <c r="AB10" s="56">
        <f>IF(N(AA10)=0,"",SUMPRODUCT(($E$21:$E$380&gt;=$Z$4)*($E$21:$E$380&lt;=EOMONTH($Z10,0)),$F$21:$F$380,$G$21:$G$380)/AA10)</f>
        <v/>
      </c>
      <c r="AC10" s="59">
        <f>IF($C10="","",SUMPRODUCT(($L$21:$L$380&gt;=$Z$4)*($L$21:$L$380&lt;=EOMONTH($Z10,0)),$N$21:$N$380))</f>
        <v/>
      </c>
      <c r="AD10" s="56">
        <f>IF(N(AC10)=0,"",SUMPRODUCT(($L$21:$L$380&gt;=$Z$4)*($L$21:$L$380&lt;=EOMONTH($Z10,0)),$M$21:$M$380,$N$21:$N$380)/AC10)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IF(MAY!$F$5="","",MAY!$F$5)</f>
        <v/>
      </c>
      <c r="D11" s="55" t="n"/>
      <c r="E11" s="56">
        <f>IF(MAY!$F$43="","",MAY!$F$43)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IF(MAY!$F$44="","",MAY!$F$44)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IF($C11="","",SUMPRODUCT(($E$21:$E$380&gt;=$Z$4)*($E$21:$E$380&lt;=EOMONTH($Z11,0)),$G$21:$G$380))</f>
        <v/>
      </c>
      <c r="AB11" s="56">
        <f>IF(N(AA11)=0,"",SUMPRODUCT(($E$21:$E$380&gt;=$Z$4)*($E$21:$E$380&lt;=EOMONTH($Z11,0)),$F$21:$F$380,$G$21:$G$380)/AA11)</f>
        <v/>
      </c>
      <c r="AC11" s="59">
        <f>IF($C11="","",SUMPRODUCT(($L$21:$L$380&gt;=$Z$4)*($L$21:$L$380&lt;=EOMONTH($Z11,0)),$N$21:$N$380))</f>
        <v/>
      </c>
      <c r="AD11" s="56">
        <f>IF(N(AC11)=0,"",SUMPRODUCT(($L$21:$L$380&gt;=$Z$4)*($L$21:$L$380&lt;=EOMONTH($Z11,0)),$M$21:$M$380,$N$21:$N$380)/AC11)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IF(JUN!$F$5="","",JUN!$F$5)</f>
        <v/>
      </c>
      <c r="D12" s="55" t="n"/>
      <c r="E12" s="56">
        <f>IF(JUN!$F$43="","",JUN!$F$43)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IF(JUN!$F$44="","",JUN!$F$44)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IF($C12="","",SUMPRODUCT(($E$21:$E$380&gt;=$Z$4)*($E$21:$E$380&lt;=EOMONTH($Z12,0)),$G$21:$G$380))</f>
        <v/>
      </c>
      <c r="AB12" s="56">
        <f>IF(N(AA12)=0,"",SUMPRODUCT(($E$21:$E$380&gt;=$Z$4)*($E$21:$E$380&lt;=EOMONTH($Z12,0)),$F$21:$F$380,$G$21:$G$380)/AA12)</f>
        <v/>
      </c>
      <c r="AC12" s="59">
        <f>IF($C12="","",SUMPRODUCT(($L$21:$L$380&gt;=$Z$4)*($L$21:$L$380&lt;=EOMONTH($Z12,0)),$N$21:$N$380))</f>
        <v/>
      </c>
      <c r="AD12" s="56">
        <f>IF(N(AC12)=0,"",SUMPRODUCT(($L$21:$L$380&gt;=$Z$4)*($L$21:$L$380&lt;=EOMONTH($Z12,0)),$M$21:$M$380,$N$21:$N$380)/AC12)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IF(JUL!$F$5="","",JUL!$F$5)</f>
        <v/>
      </c>
      <c r="D13" s="55" t="n"/>
      <c r="E13" s="56">
        <f>IF(JUL!$F$43="","",JUL!$F$43)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IF(JUL!$F$44="","",JUL!$F$44)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IF($C13="","",SUMPRODUCT(($E$21:$E$380&gt;=$Z$4)*($E$21:$E$380&lt;=EOMONTH($Z13,0)),$G$21:$G$380))</f>
        <v/>
      </c>
      <c r="AB13" s="56">
        <f>IF(N(AA13)=0,"",SUMPRODUCT(($E$21:$E$380&gt;=$Z$4)*($E$21:$E$380&lt;=EOMONTH($Z13,0)),$F$21:$F$380,$G$21:$G$380)/AA13)</f>
        <v/>
      </c>
      <c r="AC13" s="59">
        <f>IF($C13="","",SUMPRODUCT(($L$21:$L$380&gt;=$Z$4)*($L$21:$L$380&lt;=EOMONTH($Z13,0)),$N$21:$N$380))</f>
        <v/>
      </c>
      <c r="AD13" s="56">
        <f>IF(N(AC13)=0,"",SUMPRODUCT(($L$21:$L$380&gt;=$Z$4)*($L$21:$L$380&lt;=EOMONTH($Z13,0)),$M$21:$M$380,$N$21:$N$380)/AC13)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IF(AUG!$F$5="","",AUG!$F$5)</f>
        <v/>
      </c>
      <c r="D14" s="55" t="n"/>
      <c r="E14" s="56">
        <f>IF(AUG!$F$43="","",AUG!$F$43)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IF(AUG!$F$44="","",AUG!$F$44)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IF($C14="","",SUMPRODUCT(($E$21:$E$380&gt;=$Z$4)*($E$21:$E$380&lt;=EOMONTH($Z14,0)),$G$21:$G$380))</f>
        <v/>
      </c>
      <c r="AB14" s="56">
        <f>IF(N(AA14)=0,"",SUMPRODUCT(($E$21:$E$380&gt;=$Z$4)*($E$21:$E$380&lt;=EOMONTH($Z14,0)),$F$21:$F$380,$G$21:$G$380)/AA14)</f>
        <v/>
      </c>
      <c r="AC14" s="59">
        <f>IF($C14="","",SUMPRODUCT(($L$21:$L$380&gt;=$Z$4)*($L$21:$L$380&lt;=EOMONTH($Z14,0)),$N$21:$N$380))</f>
        <v/>
      </c>
      <c r="AD14" s="56">
        <f>IF(N(AC14)=0,"",SUMPRODUCT(($L$21:$L$380&gt;=$Z$4)*($L$21:$L$380&lt;=EOMONTH($Z14,0)),$M$21:$M$380,$N$21:$N$380)/AC14)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IF(SEP!$F$5="","",SEP!$F$5)</f>
        <v/>
      </c>
      <c r="D15" s="55" t="n"/>
      <c r="E15" s="56">
        <f>IF(SEP!$F$43="","",SEP!$F$43)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IF(SEP!$F$44="","",SEP!$F$44)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IF($C15="","",SUMPRODUCT(($E$21:$E$380&gt;=$Z$4)*($E$21:$E$380&lt;=EOMONTH($Z15,0)),$G$21:$G$380))</f>
        <v/>
      </c>
      <c r="AB15" s="56">
        <f>IF(N(AA15)=0,"",SUMPRODUCT(($E$21:$E$380&gt;=$Z$4)*($E$21:$E$380&lt;=EOMONTH($Z15,0)),$F$21:$F$380,$G$21:$G$380)/AA15)</f>
        <v/>
      </c>
      <c r="AC15" s="59">
        <f>IF($C15="","",SUMPRODUCT(($L$21:$L$380&gt;=$Z$4)*($L$21:$L$380&lt;=EOMONTH($Z15,0)),$N$21:$N$380))</f>
        <v/>
      </c>
      <c r="AD15" s="56">
        <f>IF(N(AC15)=0,"",SUMPRODUCT(($L$21:$L$380&gt;=$Z$4)*($L$21:$L$380&lt;=EOMONTH($Z15,0)),$M$21:$M$380,$N$21:$N$380)/AC15)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SUMPRODUCT(($E$21:$E$380&gt;=$Z$4)*($E$21:$E$380&lt;=EOMONTH($Z$15,0)),$G$21:$G$380)</f>
        <v/>
      </c>
      <c r="AB16" s="62">
        <f>IF(N(AA16)=0,"",SUMPRODUCT(($E$21:$E$380&gt;=$Z$4)*($E$21:$E$380&lt;=EOMONTH($Z$15,0)),$F$21:$F$380,$G$21:$G$380)/AA16)</f>
        <v/>
      </c>
      <c r="AC16" s="65">
        <f>SUMPRODUCT(($L$21:$L$380&gt;=$Z$4)*($L$21:$L$380&lt;=EOMONTH($Z$15,0)),$N$21:$N$380)</f>
        <v/>
      </c>
      <c r="AD16" s="62">
        <f>IF(N(AC16)=0,"",SUMPRODUCT(($L$21:$L$380&gt;=$Z$4)*($L$21:$L$380&lt;=EOMONTH($Z$15,0)),$M$21:$M$380,$N$21:$N$380)/AC16)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53" t="n">
        <v>51</v>
      </c>
      <c r="B71" s="67" t="n"/>
      <c r="C71" s="55" t="n"/>
      <c r="D71" s="68" t="n"/>
      <c r="E71" s="68" t="n"/>
      <c r="F71" s="59">
        <f>IF(OR(E71="",D71=""),"",MAX(E71-D71,0))</f>
        <v/>
      </c>
      <c r="G71" s="59">
        <f>IF(F71="","",IF(N(C71)=0,1,C71))</f>
        <v/>
      </c>
      <c r="H71" s="53" t="n">
        <v>51</v>
      </c>
      <c r="I71" s="67" t="n"/>
      <c r="J71" s="55" t="n"/>
      <c r="K71" s="68" t="n"/>
      <c r="L71" s="68" t="n"/>
      <c r="M71" s="59">
        <f>IF(OR(L71="",K71=""),"",MAX(L71-K71,0))</f>
        <v/>
      </c>
      <c r="N71" s="59">
        <f>IF(M71="","",IF(N(J71)=0,1,J71))</f>
        <v/>
      </c>
    </row>
    <row r="72">
      <c r="A72" s="53" t="n">
        <v>52</v>
      </c>
      <c r="B72" s="67" t="n"/>
      <c r="C72" s="55" t="n"/>
      <c r="D72" s="68" t="n"/>
      <c r="E72" s="68" t="n"/>
      <c r="F72" s="59">
        <f>IF(OR(E72="",D72=""),"",MAX(E72-D72,0))</f>
        <v/>
      </c>
      <c r="G72" s="59">
        <f>IF(F72="","",IF(N(C72)=0,1,C72))</f>
        <v/>
      </c>
      <c r="H72" s="53" t="n">
        <v>52</v>
      </c>
      <c r="I72" s="67" t="n"/>
      <c r="J72" s="55" t="n"/>
      <c r="K72" s="68" t="n"/>
      <c r="L72" s="68" t="n"/>
      <c r="M72" s="59">
        <f>IF(OR(L72="",K72=""),"",MAX(L72-K72,0))</f>
        <v/>
      </c>
      <c r="N72" s="59">
        <f>IF(M72="","",IF(N(J72)=0,1,J72))</f>
        <v/>
      </c>
    </row>
    <row r="73">
      <c r="A73" s="53" t="n">
        <v>53</v>
      </c>
      <c r="B73" s="67" t="n"/>
      <c r="C73" s="55" t="n"/>
      <c r="D73" s="68" t="n"/>
      <c r="E73" s="68" t="n"/>
      <c r="F73" s="59">
        <f>IF(OR(E73="",D73=""),"",MAX(E73-D73,0))</f>
        <v/>
      </c>
      <c r="G73" s="59">
        <f>IF(F73="","",IF(N(C73)=0,1,C73))</f>
        <v/>
      </c>
      <c r="H73" s="53" t="n">
        <v>53</v>
      </c>
      <c r="I73" s="67" t="n"/>
      <c r="J73" s="55" t="n"/>
      <c r="K73" s="68" t="n"/>
      <c r="L73" s="68" t="n"/>
      <c r="M73" s="59">
        <f>IF(OR(L73="",K73=""),"",MAX(L73-K73,0))</f>
        <v/>
      </c>
      <c r="N73" s="59">
        <f>IF(M73="","",IF(N(J73)=0,1,J73))</f>
        <v/>
      </c>
    </row>
    <row r="74">
      <c r="A74" s="53" t="n">
        <v>54</v>
      </c>
      <c r="B74" s="67" t="n"/>
      <c r="C74" s="55" t="n"/>
      <c r="D74" s="68" t="n"/>
      <c r="E74" s="68" t="n"/>
      <c r="F74" s="59">
        <f>IF(OR(E74="",D74=""),"",MAX(E74-D74,0))</f>
        <v/>
      </c>
      <c r="G74" s="59">
        <f>IF(F74="","",IF(N(C74)=0,1,C74))</f>
        <v/>
      </c>
      <c r="H74" s="53" t="n">
        <v>54</v>
      </c>
      <c r="I74" s="67" t="n"/>
      <c r="J74" s="55" t="n"/>
      <c r="K74" s="68" t="n"/>
      <c r="L74" s="68" t="n"/>
      <c r="M74" s="59">
        <f>IF(OR(L74="",K74=""),"",MAX(L74-K74,0))</f>
        <v/>
      </c>
      <c r="N74" s="59">
        <f>IF(M74="","",IF(N(J74)=0,1,J74))</f>
        <v/>
      </c>
    </row>
    <row r="75">
      <c r="A75" s="53" t="n">
        <v>55</v>
      </c>
      <c r="B75" s="67" t="n"/>
      <c r="C75" s="55" t="n"/>
      <c r="D75" s="68" t="n"/>
      <c r="E75" s="68" t="n"/>
      <c r="F75" s="59">
        <f>IF(OR(E75="",D75=""),"",MAX(E75-D75,0))</f>
        <v/>
      </c>
      <c r="G75" s="59">
        <f>IF(F75="","",IF(N(C75)=0,1,C75))</f>
        <v/>
      </c>
      <c r="H75" s="53" t="n">
        <v>55</v>
      </c>
      <c r="I75" s="67" t="n"/>
      <c r="J75" s="55" t="n"/>
      <c r="K75" s="68" t="n"/>
      <c r="L75" s="68" t="n"/>
      <c r="M75" s="59">
        <f>IF(OR(L75="",K75=""),"",MAX(L75-K75,0))</f>
        <v/>
      </c>
      <c r="N75" s="59">
        <f>IF(M75="","",IF(N(J75)=0,1,J75))</f>
        <v/>
      </c>
    </row>
    <row r="76">
      <c r="A76" s="53" t="n">
        <v>56</v>
      </c>
      <c r="B76" s="67" t="n"/>
      <c r="C76" s="55" t="n"/>
      <c r="D76" s="68" t="n"/>
      <c r="E76" s="68" t="n"/>
      <c r="F76" s="59">
        <f>IF(OR(E76="",D76=""),"",MAX(E76-D76,0))</f>
        <v/>
      </c>
      <c r="G76" s="59">
        <f>IF(F76="","",IF(N(C76)=0,1,C76))</f>
        <v/>
      </c>
      <c r="H76" s="53" t="n">
        <v>56</v>
      </c>
      <c r="I76" s="67" t="n"/>
      <c r="J76" s="55" t="n"/>
      <c r="K76" s="68" t="n"/>
      <c r="L76" s="68" t="n"/>
      <c r="M76" s="59">
        <f>IF(OR(L76="",K76=""),"",MAX(L76-K76,0))</f>
        <v/>
      </c>
      <c r="N76" s="59">
        <f>IF(M76="","",IF(N(J76)=0,1,J76))</f>
        <v/>
      </c>
    </row>
    <row r="77">
      <c r="A77" s="53" t="n">
        <v>57</v>
      </c>
      <c r="B77" s="67" t="n"/>
      <c r="C77" s="55" t="n"/>
      <c r="D77" s="68" t="n"/>
      <c r="E77" s="68" t="n"/>
      <c r="F77" s="59">
        <f>IF(OR(E77="",D77=""),"",MAX(E77-D77,0))</f>
        <v/>
      </c>
      <c r="G77" s="59">
        <f>IF(F77="","",IF(N(C77)=0,1,C77))</f>
        <v/>
      </c>
      <c r="H77" s="53" t="n">
        <v>57</v>
      </c>
      <c r="I77" s="67" t="n"/>
      <c r="J77" s="55" t="n"/>
      <c r="K77" s="68" t="n"/>
      <c r="L77" s="68" t="n"/>
      <c r="M77" s="59">
        <f>IF(OR(L77="",K77=""),"",MAX(L77-K77,0))</f>
        <v/>
      </c>
      <c r="N77" s="59">
        <f>IF(M77="","",IF(N(J77)=0,1,J77))</f>
        <v/>
      </c>
    </row>
    <row r="78">
      <c r="A78" s="53" t="n">
        <v>58</v>
      </c>
      <c r="B78" s="67" t="n"/>
      <c r="C78" s="55" t="n"/>
      <c r="D78" s="68" t="n"/>
      <c r="E78" s="68" t="n"/>
      <c r="F78" s="59">
        <f>IF(OR(E78="",D78=""),"",MAX(E78-D78,0))</f>
        <v/>
      </c>
      <c r="G78" s="59">
        <f>IF(F78="","",IF(N(C78)=0,1,C78))</f>
        <v/>
      </c>
      <c r="H78" s="53" t="n">
        <v>58</v>
      </c>
      <c r="I78" s="67" t="n"/>
      <c r="J78" s="55" t="n"/>
      <c r="K78" s="68" t="n"/>
      <c r="L78" s="68" t="n"/>
      <c r="M78" s="59">
        <f>IF(OR(L78="",K78=""),"",MAX(L78-K78,0))</f>
        <v/>
      </c>
      <c r="N78" s="59">
        <f>IF(M78="","",IF(N(J78)=0,1,J78))</f>
        <v/>
      </c>
    </row>
    <row r="79">
      <c r="A79" s="53" t="n">
        <v>59</v>
      </c>
      <c r="B79" s="67" t="n"/>
      <c r="C79" s="55" t="n"/>
      <c r="D79" s="68" t="n"/>
      <c r="E79" s="68" t="n"/>
      <c r="F79" s="59">
        <f>IF(OR(E79="",D79=""),"",MAX(E79-D79,0))</f>
        <v/>
      </c>
      <c r="G79" s="59">
        <f>IF(F79="","",IF(N(C79)=0,1,C79))</f>
        <v/>
      </c>
      <c r="H79" s="53" t="n">
        <v>59</v>
      </c>
      <c r="I79" s="67" t="n"/>
      <c r="J79" s="55" t="n"/>
      <c r="K79" s="68" t="n"/>
      <c r="L79" s="68" t="n"/>
      <c r="M79" s="59">
        <f>IF(OR(L79="",K79=""),"",MAX(L79-K79,0))</f>
        <v/>
      </c>
      <c r="N79" s="59">
        <f>IF(M79="","",IF(N(J79)=0,1,J79))</f>
        <v/>
      </c>
    </row>
    <row r="80">
      <c r="A80" s="53" t="n">
        <v>60</v>
      </c>
      <c r="B80" s="67" t="n"/>
      <c r="C80" s="55" t="n"/>
      <c r="D80" s="68" t="n"/>
      <c r="E80" s="68" t="n"/>
      <c r="F80" s="59">
        <f>IF(OR(E80="",D80=""),"",MAX(E80-D80,0))</f>
        <v/>
      </c>
      <c r="G80" s="59">
        <f>IF(F80="","",IF(N(C80)=0,1,C80))</f>
        <v/>
      </c>
      <c r="H80" s="53" t="n">
        <v>60</v>
      </c>
      <c r="I80" s="67" t="n"/>
      <c r="J80" s="55" t="n"/>
      <c r="K80" s="68" t="n"/>
      <c r="L80" s="68" t="n"/>
      <c r="M80" s="59">
        <f>IF(OR(L80="",K80=""),"",MAX(L80-K80,0))</f>
        <v/>
      </c>
      <c r="N80" s="59">
        <f>IF(M80="","",IF(N(J80)=0,1,J80))</f>
        <v/>
      </c>
    </row>
    <row r="81">
      <c r="A81" s="53" t="n">
        <v>61</v>
      </c>
      <c r="B81" s="67" t="n"/>
      <c r="C81" s="55" t="n"/>
      <c r="D81" s="68" t="n"/>
      <c r="E81" s="68" t="n"/>
      <c r="F81" s="59">
        <f>IF(OR(E81="",D81=""),"",MAX(E81-D81,0))</f>
        <v/>
      </c>
      <c r="G81" s="59">
        <f>IF(F81="","",IF(N(C81)=0,1,C81))</f>
        <v/>
      </c>
      <c r="H81" s="53" t="n">
        <v>61</v>
      </c>
      <c r="I81" s="67" t="n"/>
      <c r="J81" s="55" t="n"/>
      <c r="K81" s="68" t="n"/>
      <c r="L81" s="68" t="n"/>
      <c r="M81" s="59">
        <f>IF(OR(L81="",K81=""),"",MAX(L81-K81,0))</f>
        <v/>
      </c>
      <c r="N81" s="59">
        <f>IF(M81="","",IF(N(J81)=0,1,J81))</f>
        <v/>
      </c>
    </row>
    <row r="82">
      <c r="A82" s="53" t="n">
        <v>62</v>
      </c>
      <c r="B82" s="67" t="n"/>
      <c r="C82" s="55" t="n"/>
      <c r="D82" s="68" t="n"/>
      <c r="E82" s="68" t="n"/>
      <c r="F82" s="59">
        <f>IF(OR(E82="",D82=""),"",MAX(E82-D82,0))</f>
        <v/>
      </c>
      <c r="G82" s="59">
        <f>IF(F82="","",IF(N(C82)=0,1,C82))</f>
        <v/>
      </c>
      <c r="H82" s="53" t="n">
        <v>62</v>
      </c>
      <c r="I82" s="67" t="n"/>
      <c r="J82" s="55" t="n"/>
      <c r="K82" s="68" t="n"/>
      <c r="L82" s="68" t="n"/>
      <c r="M82" s="59">
        <f>IF(OR(L82="",K82=""),"",MAX(L82-K82,0))</f>
        <v/>
      </c>
      <c r="N82" s="59">
        <f>IF(M82="","",IF(N(J82)=0,1,J82))</f>
        <v/>
      </c>
    </row>
    <row r="83">
      <c r="A83" s="53" t="n">
        <v>63</v>
      </c>
      <c r="B83" s="67" t="n"/>
      <c r="C83" s="55" t="n"/>
      <c r="D83" s="68" t="n"/>
      <c r="E83" s="68" t="n"/>
      <c r="F83" s="59">
        <f>IF(OR(E83="",D83=""),"",MAX(E83-D83,0))</f>
        <v/>
      </c>
      <c r="G83" s="59">
        <f>IF(F83="","",IF(N(C83)=0,1,C83))</f>
        <v/>
      </c>
      <c r="H83" s="53" t="n">
        <v>63</v>
      </c>
      <c r="I83" s="67" t="n"/>
      <c r="J83" s="55" t="n"/>
      <c r="K83" s="68" t="n"/>
      <c r="L83" s="68" t="n"/>
      <c r="M83" s="59">
        <f>IF(OR(L83="",K83=""),"",MAX(L83-K83,0))</f>
        <v/>
      </c>
      <c r="N83" s="59">
        <f>IF(M83="","",IF(N(J83)=0,1,J83))</f>
        <v/>
      </c>
    </row>
    <row r="84">
      <c r="A84" s="53" t="n">
        <v>64</v>
      </c>
      <c r="B84" s="67" t="n"/>
      <c r="C84" s="55" t="n"/>
      <c r="D84" s="68" t="n"/>
      <c r="E84" s="68" t="n"/>
      <c r="F84" s="59">
        <f>IF(OR(E84="",D84=""),"",MAX(E84-D84,0))</f>
        <v/>
      </c>
      <c r="G84" s="59">
        <f>IF(F84="","",IF(N(C84)=0,1,C84))</f>
        <v/>
      </c>
      <c r="H84" s="53" t="n">
        <v>64</v>
      </c>
      <c r="I84" s="67" t="n"/>
      <c r="J84" s="55" t="n"/>
      <c r="K84" s="68" t="n"/>
      <c r="L84" s="68" t="n"/>
      <c r="M84" s="59">
        <f>IF(OR(L84="",K84=""),"",MAX(L84-K84,0))</f>
        <v/>
      </c>
      <c r="N84" s="59">
        <f>IF(M84="","",IF(N(J84)=0,1,J84))</f>
        <v/>
      </c>
    </row>
    <row r="85">
      <c r="A85" s="53" t="n">
        <v>65</v>
      </c>
      <c r="B85" s="67" t="n"/>
      <c r="C85" s="55" t="n"/>
      <c r="D85" s="68" t="n"/>
      <c r="E85" s="68" t="n"/>
      <c r="F85" s="59">
        <f>IF(OR(E85="",D85=""),"",MAX(E85-D85,0))</f>
        <v/>
      </c>
      <c r="G85" s="59">
        <f>IF(F85="","",IF(N(C85)=0,1,C85))</f>
        <v/>
      </c>
      <c r="H85" s="53" t="n">
        <v>65</v>
      </c>
      <c r="I85" s="67" t="n"/>
      <c r="J85" s="55" t="n"/>
      <c r="K85" s="68" t="n"/>
      <c r="L85" s="68" t="n"/>
      <c r="M85" s="59">
        <f>IF(OR(L85="",K85=""),"",MAX(L85-K85,0))</f>
        <v/>
      </c>
      <c r="N85" s="59">
        <f>IF(M85="","",IF(N(J85)=0,1,J85))</f>
        <v/>
      </c>
    </row>
    <row r="86">
      <c r="A86" s="53" t="n">
        <v>66</v>
      </c>
      <c r="B86" s="67" t="n"/>
      <c r="C86" s="55" t="n"/>
      <c r="D86" s="68" t="n"/>
      <c r="E86" s="68" t="n"/>
      <c r="F86" s="59">
        <f>IF(OR(E86="",D86=""),"",MAX(E86-D86,0))</f>
        <v/>
      </c>
      <c r="G86" s="59">
        <f>IF(F86="","",IF(N(C86)=0,1,C86))</f>
        <v/>
      </c>
      <c r="H86" s="53" t="n">
        <v>66</v>
      </c>
      <c r="I86" s="67" t="n"/>
      <c r="J86" s="55" t="n"/>
      <c r="K86" s="68" t="n"/>
      <c r="L86" s="68" t="n"/>
      <c r="M86" s="59">
        <f>IF(OR(L86="",K86=""),"",MAX(L86-K86,0))</f>
        <v/>
      </c>
      <c r="N86" s="59">
        <f>IF(M86="","",IF(N(J86)=0,1,J86))</f>
        <v/>
      </c>
    </row>
    <row r="87">
      <c r="A87" s="53" t="n">
        <v>67</v>
      </c>
      <c r="B87" s="67" t="n"/>
      <c r="C87" s="55" t="n"/>
      <c r="D87" s="68" t="n"/>
      <c r="E87" s="68" t="n"/>
      <c r="F87" s="59">
        <f>IF(OR(E87="",D87=""),"",MAX(E87-D87,0))</f>
        <v/>
      </c>
      <c r="G87" s="59">
        <f>IF(F87="","",IF(N(C87)=0,1,C87))</f>
        <v/>
      </c>
      <c r="H87" s="53" t="n">
        <v>67</v>
      </c>
      <c r="I87" s="67" t="n"/>
      <c r="J87" s="55" t="n"/>
      <c r="K87" s="68" t="n"/>
      <c r="L87" s="68" t="n"/>
      <c r="M87" s="59">
        <f>IF(OR(L87="",K87=""),"",MAX(L87-K87,0))</f>
        <v/>
      </c>
      <c r="N87" s="59">
        <f>IF(M87="","",IF(N(J87)=0,1,J87))</f>
        <v/>
      </c>
    </row>
    <row r="88">
      <c r="A88" s="53" t="n">
        <v>68</v>
      </c>
      <c r="B88" s="67" t="n"/>
      <c r="C88" s="55" t="n"/>
      <c r="D88" s="68" t="n"/>
      <c r="E88" s="68" t="n"/>
      <c r="F88" s="59">
        <f>IF(OR(E88="",D88=""),"",MAX(E88-D88,0))</f>
        <v/>
      </c>
      <c r="G88" s="59">
        <f>IF(F88="","",IF(N(C88)=0,1,C88))</f>
        <v/>
      </c>
      <c r="H88" s="53" t="n">
        <v>68</v>
      </c>
      <c r="I88" s="67" t="n"/>
      <c r="J88" s="55" t="n"/>
      <c r="K88" s="68" t="n"/>
      <c r="L88" s="68" t="n"/>
      <c r="M88" s="59">
        <f>IF(OR(L88="",K88=""),"",MAX(L88-K88,0))</f>
        <v/>
      </c>
      <c r="N88" s="59">
        <f>IF(M88="","",IF(N(J88)=0,1,J88))</f>
        <v/>
      </c>
    </row>
    <row r="89">
      <c r="A89" s="53" t="n">
        <v>69</v>
      </c>
      <c r="B89" s="67" t="n"/>
      <c r="C89" s="55" t="n"/>
      <c r="D89" s="68" t="n"/>
      <c r="E89" s="68" t="n"/>
      <c r="F89" s="59">
        <f>IF(OR(E89="",D89=""),"",MAX(E89-D89,0))</f>
        <v/>
      </c>
      <c r="G89" s="59">
        <f>IF(F89="","",IF(N(C89)=0,1,C89))</f>
        <v/>
      </c>
      <c r="H89" s="53" t="n">
        <v>69</v>
      </c>
      <c r="I89" s="67" t="n"/>
      <c r="J89" s="55" t="n"/>
      <c r="K89" s="68" t="n"/>
      <c r="L89" s="68" t="n"/>
      <c r="M89" s="59">
        <f>IF(OR(L89="",K89=""),"",MAX(L89-K89,0))</f>
        <v/>
      </c>
      <c r="N89" s="59">
        <f>IF(M89="","",IF(N(J89)=0,1,J89))</f>
        <v/>
      </c>
    </row>
    <row r="90">
      <c r="A90" s="53" t="n">
        <v>70</v>
      </c>
      <c r="B90" s="67" t="n"/>
      <c r="C90" s="55" t="n"/>
      <c r="D90" s="68" t="n"/>
      <c r="E90" s="68" t="n"/>
      <c r="F90" s="59">
        <f>IF(OR(E90="",D90=""),"",MAX(E90-D90,0))</f>
        <v/>
      </c>
      <c r="G90" s="59">
        <f>IF(F90="","",IF(N(C90)=0,1,C90))</f>
        <v/>
      </c>
      <c r="H90" s="53" t="n">
        <v>70</v>
      </c>
      <c r="I90" s="67" t="n"/>
      <c r="J90" s="55" t="n"/>
      <c r="K90" s="68" t="n"/>
      <c r="L90" s="68" t="n"/>
      <c r="M90" s="59">
        <f>IF(OR(L90="",K90=""),"",MAX(L90-K90,0))</f>
        <v/>
      </c>
      <c r="N90" s="59">
        <f>IF(M90="","",IF(N(J90)=0,1,J90))</f>
        <v/>
      </c>
    </row>
    <row r="91">
      <c r="A91" s="53" t="n">
        <v>71</v>
      </c>
      <c r="B91" s="67" t="n"/>
      <c r="C91" s="55" t="n"/>
      <c r="D91" s="68" t="n"/>
      <c r="E91" s="68" t="n"/>
      <c r="F91" s="59">
        <f>IF(OR(E91="",D91=""),"",MAX(E91-D91,0))</f>
        <v/>
      </c>
      <c r="G91" s="59">
        <f>IF(F91="","",IF(N(C91)=0,1,C91))</f>
        <v/>
      </c>
      <c r="H91" s="53" t="n">
        <v>71</v>
      </c>
      <c r="I91" s="67" t="n"/>
      <c r="J91" s="55" t="n"/>
      <c r="K91" s="68" t="n"/>
      <c r="L91" s="68" t="n"/>
      <c r="M91" s="59">
        <f>IF(OR(L91="",K91=""),"",MAX(L91-K91,0))</f>
        <v/>
      </c>
      <c r="N91" s="59">
        <f>IF(M91="","",IF(N(J91)=0,1,J91))</f>
        <v/>
      </c>
    </row>
    <row r="92">
      <c r="A92" s="53" t="n">
        <v>72</v>
      </c>
      <c r="B92" s="67" t="n"/>
      <c r="C92" s="55" t="n"/>
      <c r="D92" s="68" t="n"/>
      <c r="E92" s="68" t="n"/>
      <c r="F92" s="59">
        <f>IF(OR(E92="",D92=""),"",MAX(E92-D92,0))</f>
        <v/>
      </c>
      <c r="G92" s="59">
        <f>IF(F92="","",IF(N(C92)=0,1,C92))</f>
        <v/>
      </c>
      <c r="H92" s="53" t="n">
        <v>72</v>
      </c>
      <c r="I92" s="67" t="n"/>
      <c r="J92" s="55" t="n"/>
      <c r="K92" s="68" t="n"/>
      <c r="L92" s="68" t="n"/>
      <c r="M92" s="59">
        <f>IF(OR(L92="",K92=""),"",MAX(L92-K92,0))</f>
        <v/>
      </c>
      <c r="N92" s="59">
        <f>IF(M92="","",IF(N(J92)=0,1,J92))</f>
        <v/>
      </c>
    </row>
    <row r="93">
      <c r="A93" s="53" t="n">
        <v>73</v>
      </c>
      <c r="B93" s="67" t="n"/>
      <c r="C93" s="55" t="n"/>
      <c r="D93" s="68" t="n"/>
      <c r="E93" s="68" t="n"/>
      <c r="F93" s="59">
        <f>IF(OR(E93="",D93=""),"",MAX(E93-D93,0))</f>
        <v/>
      </c>
      <c r="G93" s="59">
        <f>IF(F93="","",IF(N(C93)=0,1,C93))</f>
        <v/>
      </c>
      <c r="H93" s="53" t="n">
        <v>73</v>
      </c>
      <c r="I93" s="67" t="n"/>
      <c r="J93" s="55" t="n"/>
      <c r="K93" s="68" t="n"/>
      <c r="L93" s="68" t="n"/>
      <c r="M93" s="59">
        <f>IF(OR(L93="",K93=""),"",MAX(L93-K93,0))</f>
        <v/>
      </c>
      <c r="N93" s="59">
        <f>IF(M93="","",IF(N(J93)=0,1,J93))</f>
        <v/>
      </c>
    </row>
    <row r="94">
      <c r="A94" s="53" t="n">
        <v>74</v>
      </c>
      <c r="B94" s="67" t="n"/>
      <c r="C94" s="55" t="n"/>
      <c r="D94" s="68" t="n"/>
      <c r="E94" s="68" t="n"/>
      <c r="F94" s="59">
        <f>IF(OR(E94="",D94=""),"",MAX(E94-D94,0))</f>
        <v/>
      </c>
      <c r="G94" s="59">
        <f>IF(F94="","",IF(N(C94)=0,1,C94))</f>
        <v/>
      </c>
      <c r="H94" s="53" t="n">
        <v>74</v>
      </c>
      <c r="I94" s="67" t="n"/>
      <c r="J94" s="55" t="n"/>
      <c r="K94" s="68" t="n"/>
      <c r="L94" s="68" t="n"/>
      <c r="M94" s="59">
        <f>IF(OR(L94="",K94=""),"",MAX(L94-K94,0))</f>
        <v/>
      </c>
      <c r="N94" s="59">
        <f>IF(M94="","",IF(N(J94)=0,1,J94))</f>
        <v/>
      </c>
    </row>
    <row r="95">
      <c r="A95" s="53" t="n">
        <v>75</v>
      </c>
      <c r="B95" s="67" t="n"/>
      <c r="C95" s="55" t="n"/>
      <c r="D95" s="68" t="n"/>
      <c r="E95" s="68" t="n"/>
      <c r="F95" s="59">
        <f>IF(OR(E95="",D95=""),"",MAX(E95-D95,0))</f>
        <v/>
      </c>
      <c r="G95" s="59">
        <f>IF(F95="","",IF(N(C95)=0,1,C95))</f>
        <v/>
      </c>
      <c r="H95" s="53" t="n">
        <v>75</v>
      </c>
      <c r="I95" s="67" t="n"/>
      <c r="J95" s="55" t="n"/>
      <c r="K95" s="68" t="n"/>
      <c r="L95" s="68" t="n"/>
      <c r="M95" s="59">
        <f>IF(OR(L95="",K95=""),"",MAX(L95-K95,0))</f>
        <v/>
      </c>
      <c r="N95" s="59">
        <f>IF(M95="","",IF(N(J95)=0,1,J95))</f>
        <v/>
      </c>
    </row>
    <row r="96">
      <c r="A96" s="53" t="n">
        <v>76</v>
      </c>
      <c r="B96" s="67" t="n"/>
      <c r="C96" s="55" t="n"/>
      <c r="D96" s="68" t="n"/>
      <c r="E96" s="68" t="n"/>
      <c r="F96" s="59">
        <f>IF(OR(E96="",D96=""),"",MAX(E96-D96,0))</f>
        <v/>
      </c>
      <c r="G96" s="59">
        <f>IF(F96="","",IF(N(C96)=0,1,C96))</f>
        <v/>
      </c>
      <c r="H96" s="53" t="n">
        <v>76</v>
      </c>
      <c r="I96" s="67" t="n"/>
      <c r="J96" s="55" t="n"/>
      <c r="K96" s="68" t="n"/>
      <c r="L96" s="68" t="n"/>
      <c r="M96" s="59">
        <f>IF(OR(L96="",K96=""),"",MAX(L96-K96,0))</f>
        <v/>
      </c>
      <c r="N96" s="59">
        <f>IF(M96="","",IF(N(J96)=0,1,J96))</f>
        <v/>
      </c>
    </row>
    <row r="97">
      <c r="A97" s="53" t="n">
        <v>77</v>
      </c>
      <c r="B97" s="67" t="n"/>
      <c r="C97" s="55" t="n"/>
      <c r="D97" s="68" t="n"/>
      <c r="E97" s="68" t="n"/>
      <c r="F97" s="59">
        <f>IF(OR(E97="",D97=""),"",MAX(E97-D97,0))</f>
        <v/>
      </c>
      <c r="G97" s="59">
        <f>IF(F97="","",IF(N(C97)=0,1,C97))</f>
        <v/>
      </c>
      <c r="H97" s="53" t="n">
        <v>77</v>
      </c>
      <c r="I97" s="67" t="n"/>
      <c r="J97" s="55" t="n"/>
      <c r="K97" s="68" t="n"/>
      <c r="L97" s="68" t="n"/>
      <c r="M97" s="59">
        <f>IF(OR(L97="",K97=""),"",MAX(L97-K97,0))</f>
        <v/>
      </c>
      <c r="N97" s="59">
        <f>IF(M97="","",IF(N(J97)=0,1,J97))</f>
        <v/>
      </c>
    </row>
    <row r="98">
      <c r="A98" s="53" t="n">
        <v>78</v>
      </c>
      <c r="B98" s="67" t="n"/>
      <c r="C98" s="55" t="n"/>
      <c r="D98" s="68" t="n"/>
      <c r="E98" s="68" t="n"/>
      <c r="F98" s="59">
        <f>IF(OR(E98="",D98=""),"",MAX(E98-D98,0))</f>
        <v/>
      </c>
      <c r="G98" s="59">
        <f>IF(F98="","",IF(N(C98)=0,1,C98))</f>
        <v/>
      </c>
      <c r="H98" s="53" t="n">
        <v>78</v>
      </c>
      <c r="I98" s="67" t="n"/>
      <c r="J98" s="55" t="n"/>
      <c r="K98" s="68" t="n"/>
      <c r="L98" s="68" t="n"/>
      <c r="M98" s="59">
        <f>IF(OR(L98="",K98=""),"",MAX(L98-K98,0))</f>
        <v/>
      </c>
      <c r="N98" s="59">
        <f>IF(M98="","",IF(N(J98)=0,1,J98))</f>
        <v/>
      </c>
    </row>
    <row r="99">
      <c r="A99" s="53" t="n">
        <v>79</v>
      </c>
      <c r="B99" s="67" t="n"/>
      <c r="C99" s="55" t="n"/>
      <c r="D99" s="68" t="n"/>
      <c r="E99" s="68" t="n"/>
      <c r="F99" s="59">
        <f>IF(OR(E99="",D99=""),"",MAX(E99-D99,0))</f>
        <v/>
      </c>
      <c r="G99" s="59">
        <f>IF(F99="","",IF(N(C99)=0,1,C99))</f>
        <v/>
      </c>
      <c r="H99" s="53" t="n">
        <v>79</v>
      </c>
      <c r="I99" s="67" t="n"/>
      <c r="J99" s="55" t="n"/>
      <c r="K99" s="68" t="n"/>
      <c r="L99" s="68" t="n"/>
      <c r="M99" s="59">
        <f>IF(OR(L99="",K99=""),"",MAX(L99-K99,0))</f>
        <v/>
      </c>
      <c r="N99" s="59">
        <f>IF(M99="","",IF(N(J99)=0,1,J99))</f>
        <v/>
      </c>
    </row>
    <row r="100">
      <c r="A100" s="53" t="n">
        <v>80</v>
      </c>
      <c r="B100" s="67" t="n"/>
      <c r="C100" s="55" t="n"/>
      <c r="D100" s="68" t="n"/>
      <c r="E100" s="68" t="n"/>
      <c r="F100" s="59">
        <f>IF(OR(E100="",D100=""),"",MAX(E100-D100,0))</f>
        <v/>
      </c>
      <c r="G100" s="59">
        <f>IF(F100="","",IF(N(C100)=0,1,C100))</f>
        <v/>
      </c>
      <c r="H100" s="53" t="n">
        <v>80</v>
      </c>
      <c r="I100" s="67" t="n"/>
      <c r="J100" s="55" t="n"/>
      <c r="K100" s="68" t="n"/>
      <c r="L100" s="68" t="n"/>
      <c r="M100" s="59">
        <f>IF(OR(L100="",K100=""),"",MAX(L100-K100,0))</f>
        <v/>
      </c>
      <c r="N100" s="59">
        <f>IF(M100="","",IF(N(J100)=0,1,J100))</f>
        <v/>
      </c>
    </row>
    <row r="101">
      <c r="A101" s="53" t="n">
        <v>81</v>
      </c>
      <c r="B101" s="67" t="n"/>
      <c r="C101" s="55" t="n"/>
      <c r="D101" s="68" t="n"/>
      <c r="E101" s="68" t="n"/>
      <c r="F101" s="59">
        <f>IF(OR(E101="",D101=""),"",MAX(E101-D101,0))</f>
        <v/>
      </c>
      <c r="G101" s="59">
        <f>IF(F101="","",IF(N(C101)=0,1,C101))</f>
        <v/>
      </c>
      <c r="H101" s="53" t="n">
        <v>81</v>
      </c>
      <c r="I101" s="67" t="n"/>
      <c r="J101" s="55" t="n"/>
      <c r="K101" s="68" t="n"/>
      <c r="L101" s="68" t="n"/>
      <c r="M101" s="59">
        <f>IF(OR(L101="",K101=""),"",MAX(L101-K101,0))</f>
        <v/>
      </c>
      <c r="N101" s="59">
        <f>IF(M101="","",IF(N(J101)=0,1,J101))</f>
        <v/>
      </c>
    </row>
    <row r="102">
      <c r="A102" s="53" t="n">
        <v>82</v>
      </c>
      <c r="B102" s="67" t="n"/>
      <c r="C102" s="55" t="n"/>
      <c r="D102" s="68" t="n"/>
      <c r="E102" s="68" t="n"/>
      <c r="F102" s="59">
        <f>IF(OR(E102="",D102=""),"",MAX(E102-D102,0))</f>
        <v/>
      </c>
      <c r="G102" s="59">
        <f>IF(F102="","",IF(N(C102)=0,1,C102))</f>
        <v/>
      </c>
      <c r="H102" s="53" t="n">
        <v>82</v>
      </c>
      <c r="I102" s="67" t="n"/>
      <c r="J102" s="55" t="n"/>
      <c r="K102" s="68" t="n"/>
      <c r="L102" s="68" t="n"/>
      <c r="M102" s="59">
        <f>IF(OR(L102="",K102=""),"",MAX(L102-K102,0))</f>
        <v/>
      </c>
      <c r="N102" s="59">
        <f>IF(M102="","",IF(N(J102)=0,1,J102))</f>
        <v/>
      </c>
    </row>
    <row r="103">
      <c r="A103" s="53" t="n">
        <v>83</v>
      </c>
      <c r="B103" s="67" t="n"/>
      <c r="C103" s="55" t="n"/>
      <c r="D103" s="68" t="n"/>
      <c r="E103" s="68" t="n"/>
      <c r="F103" s="59">
        <f>IF(OR(E103="",D103=""),"",MAX(E103-D103,0))</f>
        <v/>
      </c>
      <c r="G103" s="59">
        <f>IF(F103="","",IF(N(C103)=0,1,C103))</f>
        <v/>
      </c>
      <c r="H103" s="53" t="n">
        <v>83</v>
      </c>
      <c r="I103" s="67" t="n"/>
      <c r="J103" s="55" t="n"/>
      <c r="K103" s="68" t="n"/>
      <c r="L103" s="68" t="n"/>
      <c r="M103" s="59">
        <f>IF(OR(L103="",K103=""),"",MAX(L103-K103,0))</f>
        <v/>
      </c>
      <c r="N103" s="59">
        <f>IF(M103="","",IF(N(J103)=0,1,J103))</f>
        <v/>
      </c>
    </row>
    <row r="104">
      <c r="A104" s="53" t="n">
        <v>84</v>
      </c>
      <c r="B104" s="67" t="n"/>
      <c r="C104" s="55" t="n"/>
      <c r="D104" s="68" t="n"/>
      <c r="E104" s="68" t="n"/>
      <c r="F104" s="59">
        <f>IF(OR(E104="",D104=""),"",MAX(E104-D104,0))</f>
        <v/>
      </c>
      <c r="G104" s="59">
        <f>IF(F104="","",IF(N(C104)=0,1,C104))</f>
        <v/>
      </c>
      <c r="H104" s="53" t="n">
        <v>84</v>
      </c>
      <c r="I104" s="67" t="n"/>
      <c r="J104" s="55" t="n"/>
      <c r="K104" s="68" t="n"/>
      <c r="L104" s="68" t="n"/>
      <c r="M104" s="59">
        <f>IF(OR(L104="",K104=""),"",MAX(L104-K104,0))</f>
        <v/>
      </c>
      <c r="N104" s="59">
        <f>IF(M104="","",IF(N(J104)=0,1,J104))</f>
        <v/>
      </c>
    </row>
    <row r="105">
      <c r="A105" s="53" t="n">
        <v>85</v>
      </c>
      <c r="B105" s="67" t="n"/>
      <c r="C105" s="55" t="n"/>
      <c r="D105" s="68" t="n"/>
      <c r="E105" s="68" t="n"/>
      <c r="F105" s="59">
        <f>IF(OR(E105="",D105=""),"",MAX(E105-D105,0))</f>
        <v/>
      </c>
      <c r="G105" s="59">
        <f>IF(F105="","",IF(N(C105)=0,1,C105))</f>
        <v/>
      </c>
      <c r="H105" s="53" t="n">
        <v>85</v>
      </c>
      <c r="I105" s="67" t="n"/>
      <c r="J105" s="55" t="n"/>
      <c r="K105" s="68" t="n"/>
      <c r="L105" s="68" t="n"/>
      <c r="M105" s="59">
        <f>IF(OR(L105="",K105=""),"",MAX(L105-K105,0))</f>
        <v/>
      </c>
      <c r="N105" s="59">
        <f>IF(M105="","",IF(N(J105)=0,1,J105))</f>
        <v/>
      </c>
    </row>
    <row r="106">
      <c r="A106" s="53" t="n">
        <v>86</v>
      </c>
      <c r="B106" s="67" t="n"/>
      <c r="C106" s="55" t="n"/>
      <c r="D106" s="68" t="n"/>
      <c r="E106" s="68" t="n"/>
      <c r="F106" s="59">
        <f>IF(OR(E106="",D106=""),"",MAX(E106-D106,0))</f>
        <v/>
      </c>
      <c r="G106" s="59">
        <f>IF(F106="","",IF(N(C106)=0,1,C106))</f>
        <v/>
      </c>
      <c r="H106" s="53" t="n">
        <v>86</v>
      </c>
      <c r="I106" s="67" t="n"/>
      <c r="J106" s="55" t="n"/>
      <c r="K106" s="68" t="n"/>
      <c r="L106" s="68" t="n"/>
      <c r="M106" s="59">
        <f>IF(OR(L106="",K106=""),"",MAX(L106-K106,0))</f>
        <v/>
      </c>
      <c r="N106" s="59">
        <f>IF(M106="","",IF(N(J106)=0,1,J106))</f>
        <v/>
      </c>
    </row>
    <row r="107">
      <c r="A107" s="53" t="n">
        <v>87</v>
      </c>
      <c r="B107" s="67" t="n"/>
      <c r="C107" s="55" t="n"/>
      <c r="D107" s="68" t="n"/>
      <c r="E107" s="68" t="n"/>
      <c r="F107" s="59">
        <f>IF(OR(E107="",D107=""),"",MAX(E107-D107,0))</f>
        <v/>
      </c>
      <c r="G107" s="59">
        <f>IF(F107="","",IF(N(C107)=0,1,C107))</f>
        <v/>
      </c>
      <c r="H107" s="53" t="n">
        <v>87</v>
      </c>
      <c r="I107" s="67" t="n"/>
      <c r="J107" s="55" t="n"/>
      <c r="K107" s="68" t="n"/>
      <c r="L107" s="68" t="n"/>
      <c r="M107" s="59">
        <f>IF(OR(L107="",K107=""),"",MAX(L107-K107,0))</f>
        <v/>
      </c>
      <c r="N107" s="59">
        <f>IF(M107="","",IF(N(J107)=0,1,J107))</f>
        <v/>
      </c>
    </row>
    <row r="108">
      <c r="A108" s="53" t="n">
        <v>88</v>
      </c>
      <c r="B108" s="67" t="n"/>
      <c r="C108" s="55" t="n"/>
      <c r="D108" s="68" t="n"/>
      <c r="E108" s="68" t="n"/>
      <c r="F108" s="59">
        <f>IF(OR(E108="",D108=""),"",MAX(E108-D108,0))</f>
        <v/>
      </c>
      <c r="G108" s="59">
        <f>IF(F108="","",IF(N(C108)=0,1,C108))</f>
        <v/>
      </c>
      <c r="H108" s="53" t="n">
        <v>88</v>
      </c>
      <c r="I108" s="67" t="n"/>
      <c r="J108" s="55" t="n"/>
      <c r="K108" s="68" t="n"/>
      <c r="L108" s="68" t="n"/>
      <c r="M108" s="59">
        <f>IF(OR(L108="",K108=""),"",MAX(L108-K108,0))</f>
        <v/>
      </c>
      <c r="N108" s="59">
        <f>IF(M108="","",IF(N(J108)=0,1,J108))</f>
        <v/>
      </c>
    </row>
    <row r="109">
      <c r="A109" s="53" t="n">
        <v>89</v>
      </c>
      <c r="B109" s="67" t="n"/>
      <c r="C109" s="55" t="n"/>
      <c r="D109" s="68" t="n"/>
      <c r="E109" s="68" t="n"/>
      <c r="F109" s="59">
        <f>IF(OR(E109="",D109=""),"",MAX(E109-D109,0))</f>
        <v/>
      </c>
      <c r="G109" s="59">
        <f>IF(F109="","",IF(N(C109)=0,1,C109))</f>
        <v/>
      </c>
      <c r="H109" s="53" t="n">
        <v>89</v>
      </c>
      <c r="I109" s="67" t="n"/>
      <c r="J109" s="55" t="n"/>
      <c r="K109" s="68" t="n"/>
      <c r="L109" s="68" t="n"/>
      <c r="M109" s="59">
        <f>IF(OR(L109="",K109=""),"",MAX(L109-K109,0))</f>
        <v/>
      </c>
      <c r="N109" s="59">
        <f>IF(M109="","",IF(N(J109)=0,1,J109))</f>
        <v/>
      </c>
    </row>
    <row r="110">
      <c r="A110" s="53" t="n">
        <v>90</v>
      </c>
      <c r="B110" s="67" t="n"/>
      <c r="C110" s="55" t="n"/>
      <c r="D110" s="68" t="n"/>
      <c r="E110" s="68" t="n"/>
      <c r="F110" s="59">
        <f>IF(OR(E110="",D110=""),"",MAX(E110-D110,0))</f>
        <v/>
      </c>
      <c r="G110" s="59">
        <f>IF(F110="","",IF(N(C110)=0,1,C110))</f>
        <v/>
      </c>
      <c r="H110" s="53" t="n">
        <v>90</v>
      </c>
      <c r="I110" s="67" t="n"/>
      <c r="J110" s="55" t="n"/>
      <c r="K110" s="68" t="n"/>
      <c r="L110" s="68" t="n"/>
      <c r="M110" s="59">
        <f>IF(OR(L110="",K110=""),"",MAX(L110-K110,0))</f>
        <v/>
      </c>
      <c r="N110" s="59">
        <f>IF(M110="","",IF(N(J110)=0,1,J110))</f>
        <v/>
      </c>
    </row>
    <row r="111">
      <c r="A111" s="53" t="n">
        <v>91</v>
      </c>
      <c r="B111" s="67" t="n"/>
      <c r="C111" s="55" t="n"/>
      <c r="D111" s="68" t="n"/>
      <c r="E111" s="68" t="n"/>
      <c r="F111" s="59">
        <f>IF(OR(E111="",D111=""),"",MAX(E111-D111,0))</f>
        <v/>
      </c>
      <c r="G111" s="59">
        <f>IF(F111="","",IF(N(C111)=0,1,C111))</f>
        <v/>
      </c>
      <c r="H111" s="53" t="n">
        <v>91</v>
      </c>
      <c r="I111" s="67" t="n"/>
      <c r="J111" s="55" t="n"/>
      <c r="K111" s="68" t="n"/>
      <c r="L111" s="68" t="n"/>
      <c r="M111" s="59">
        <f>IF(OR(L111="",K111=""),"",MAX(L111-K111,0))</f>
        <v/>
      </c>
      <c r="N111" s="59">
        <f>IF(M111="","",IF(N(J111)=0,1,J111))</f>
        <v/>
      </c>
    </row>
    <row r="112">
      <c r="A112" s="53" t="n">
        <v>92</v>
      </c>
      <c r="B112" s="67" t="n"/>
      <c r="C112" s="55" t="n"/>
      <c r="D112" s="68" t="n"/>
      <c r="E112" s="68" t="n"/>
      <c r="F112" s="59">
        <f>IF(OR(E112="",D112=""),"",MAX(E112-D112,0))</f>
        <v/>
      </c>
      <c r="G112" s="59">
        <f>IF(F112="","",IF(N(C112)=0,1,C112))</f>
        <v/>
      </c>
      <c r="H112" s="53" t="n">
        <v>92</v>
      </c>
      <c r="I112" s="67" t="n"/>
      <c r="J112" s="55" t="n"/>
      <c r="K112" s="68" t="n"/>
      <c r="L112" s="68" t="n"/>
      <c r="M112" s="59">
        <f>IF(OR(L112="",K112=""),"",MAX(L112-K112,0))</f>
        <v/>
      </c>
      <c r="N112" s="59">
        <f>IF(M112="","",IF(N(J112)=0,1,J112))</f>
        <v/>
      </c>
    </row>
    <row r="113">
      <c r="A113" s="53" t="n">
        <v>93</v>
      </c>
      <c r="B113" s="67" t="n"/>
      <c r="C113" s="55" t="n"/>
      <c r="D113" s="68" t="n"/>
      <c r="E113" s="68" t="n"/>
      <c r="F113" s="59">
        <f>IF(OR(E113="",D113=""),"",MAX(E113-D113,0))</f>
        <v/>
      </c>
      <c r="G113" s="59">
        <f>IF(F113="","",IF(N(C113)=0,1,C113))</f>
        <v/>
      </c>
      <c r="H113" s="53" t="n">
        <v>93</v>
      </c>
      <c r="I113" s="67" t="n"/>
      <c r="J113" s="55" t="n"/>
      <c r="K113" s="68" t="n"/>
      <c r="L113" s="68" t="n"/>
      <c r="M113" s="59">
        <f>IF(OR(L113="",K113=""),"",MAX(L113-K113,0))</f>
        <v/>
      </c>
      <c r="N113" s="59">
        <f>IF(M113="","",IF(N(J113)=0,1,J113))</f>
        <v/>
      </c>
    </row>
    <row r="114">
      <c r="A114" s="53" t="n">
        <v>94</v>
      </c>
      <c r="B114" s="67" t="n"/>
      <c r="C114" s="55" t="n"/>
      <c r="D114" s="68" t="n"/>
      <c r="E114" s="68" t="n"/>
      <c r="F114" s="59">
        <f>IF(OR(E114="",D114=""),"",MAX(E114-D114,0))</f>
        <v/>
      </c>
      <c r="G114" s="59">
        <f>IF(F114="","",IF(N(C114)=0,1,C114))</f>
        <v/>
      </c>
      <c r="H114" s="53" t="n">
        <v>94</v>
      </c>
      <c r="I114" s="67" t="n"/>
      <c r="J114" s="55" t="n"/>
      <c r="K114" s="68" t="n"/>
      <c r="L114" s="68" t="n"/>
      <c r="M114" s="59">
        <f>IF(OR(L114="",K114=""),"",MAX(L114-K114,0))</f>
        <v/>
      </c>
      <c r="N114" s="59">
        <f>IF(M114="","",IF(N(J114)=0,1,J114))</f>
        <v/>
      </c>
    </row>
    <row r="115">
      <c r="A115" s="53" t="n">
        <v>95</v>
      </c>
      <c r="B115" s="67" t="n"/>
      <c r="C115" s="55" t="n"/>
      <c r="D115" s="68" t="n"/>
      <c r="E115" s="68" t="n"/>
      <c r="F115" s="59">
        <f>IF(OR(E115="",D115=""),"",MAX(E115-D115,0))</f>
        <v/>
      </c>
      <c r="G115" s="59">
        <f>IF(F115="","",IF(N(C115)=0,1,C115))</f>
        <v/>
      </c>
      <c r="H115" s="53" t="n">
        <v>95</v>
      </c>
      <c r="I115" s="67" t="n"/>
      <c r="J115" s="55" t="n"/>
      <c r="K115" s="68" t="n"/>
      <c r="L115" s="68" t="n"/>
      <c r="M115" s="59">
        <f>IF(OR(L115="",K115=""),"",MAX(L115-K115,0))</f>
        <v/>
      </c>
      <c r="N115" s="59">
        <f>IF(M115="","",IF(N(J115)=0,1,J115))</f>
        <v/>
      </c>
    </row>
    <row r="116">
      <c r="A116" s="53" t="n">
        <v>96</v>
      </c>
      <c r="B116" s="67" t="n"/>
      <c r="C116" s="55" t="n"/>
      <c r="D116" s="68" t="n"/>
      <c r="E116" s="68" t="n"/>
      <c r="F116" s="59">
        <f>IF(OR(E116="",D116=""),"",MAX(E116-D116,0))</f>
        <v/>
      </c>
      <c r="G116" s="59">
        <f>IF(F116="","",IF(N(C116)=0,1,C116))</f>
        <v/>
      </c>
      <c r="H116" s="53" t="n">
        <v>96</v>
      </c>
      <c r="I116" s="67" t="n"/>
      <c r="J116" s="55" t="n"/>
      <c r="K116" s="68" t="n"/>
      <c r="L116" s="68" t="n"/>
      <c r="M116" s="59">
        <f>IF(OR(L116="",K116=""),"",MAX(L116-K116,0))</f>
        <v/>
      </c>
      <c r="N116" s="59">
        <f>IF(M116="","",IF(N(J116)=0,1,J116))</f>
        <v/>
      </c>
    </row>
    <row r="117">
      <c r="A117" s="53" t="n">
        <v>97</v>
      </c>
      <c r="B117" s="67" t="n"/>
      <c r="C117" s="55" t="n"/>
      <c r="D117" s="68" t="n"/>
      <c r="E117" s="68" t="n"/>
      <c r="F117" s="59">
        <f>IF(OR(E117="",D117=""),"",MAX(E117-D117,0))</f>
        <v/>
      </c>
      <c r="G117" s="59">
        <f>IF(F117="","",IF(N(C117)=0,1,C117))</f>
        <v/>
      </c>
      <c r="H117" s="53" t="n">
        <v>97</v>
      </c>
      <c r="I117" s="67" t="n"/>
      <c r="J117" s="55" t="n"/>
      <c r="K117" s="68" t="n"/>
      <c r="L117" s="68" t="n"/>
      <c r="M117" s="59">
        <f>IF(OR(L117="",K117=""),"",MAX(L117-K117,0))</f>
        <v/>
      </c>
      <c r="N117" s="59">
        <f>IF(M117="","",IF(N(J117)=0,1,J117))</f>
        <v/>
      </c>
    </row>
    <row r="118">
      <c r="A118" s="53" t="n">
        <v>98</v>
      </c>
      <c r="B118" s="67" t="n"/>
      <c r="C118" s="55" t="n"/>
      <c r="D118" s="68" t="n"/>
      <c r="E118" s="68" t="n"/>
      <c r="F118" s="59">
        <f>IF(OR(E118="",D118=""),"",MAX(E118-D118,0))</f>
        <v/>
      </c>
      <c r="G118" s="59">
        <f>IF(F118="","",IF(N(C118)=0,1,C118))</f>
        <v/>
      </c>
      <c r="H118" s="53" t="n">
        <v>98</v>
      </c>
      <c r="I118" s="67" t="n"/>
      <c r="J118" s="55" t="n"/>
      <c r="K118" s="68" t="n"/>
      <c r="L118" s="68" t="n"/>
      <c r="M118" s="59">
        <f>IF(OR(L118="",K118=""),"",MAX(L118-K118,0))</f>
        <v/>
      </c>
      <c r="N118" s="59">
        <f>IF(M118="","",IF(N(J118)=0,1,J118))</f>
        <v/>
      </c>
    </row>
    <row r="119">
      <c r="A119" s="53" t="n">
        <v>99</v>
      </c>
      <c r="B119" s="67" t="n"/>
      <c r="C119" s="55" t="n"/>
      <c r="D119" s="68" t="n"/>
      <c r="E119" s="68" t="n"/>
      <c r="F119" s="59">
        <f>IF(OR(E119="",D119=""),"",MAX(E119-D119,0))</f>
        <v/>
      </c>
      <c r="G119" s="59">
        <f>IF(F119="","",IF(N(C119)=0,1,C119))</f>
        <v/>
      </c>
      <c r="H119" s="53" t="n">
        <v>99</v>
      </c>
      <c r="I119" s="67" t="n"/>
      <c r="J119" s="55" t="n"/>
      <c r="K119" s="68" t="n"/>
      <c r="L119" s="68" t="n"/>
      <c r="M119" s="59">
        <f>IF(OR(L119="",K119=""),"",MAX(L119-K119,0))</f>
        <v/>
      </c>
      <c r="N119" s="59">
        <f>IF(M119="","",IF(N(J119)=0,1,J119))</f>
        <v/>
      </c>
    </row>
    <row r="120">
      <c r="A120" s="53" t="n">
        <v>100</v>
      </c>
      <c r="B120" s="67" t="n"/>
      <c r="C120" s="55" t="n"/>
      <c r="D120" s="68" t="n"/>
      <c r="E120" s="68" t="n"/>
      <c r="F120" s="59">
        <f>IF(OR(E120="",D120=""),"",MAX(E120-D120,0))</f>
        <v/>
      </c>
      <c r="G120" s="59">
        <f>IF(F120="","",IF(N(C120)=0,1,C120))</f>
        <v/>
      </c>
      <c r="H120" s="53" t="n">
        <v>100</v>
      </c>
      <c r="I120" s="67" t="n"/>
      <c r="J120" s="55" t="n"/>
      <c r="K120" s="68" t="n"/>
      <c r="L120" s="68" t="n"/>
      <c r="M120" s="59">
        <f>IF(OR(L120="",K120=""),"",MAX(L120-K120,0))</f>
        <v/>
      </c>
      <c r="N120" s="59">
        <f>IF(M120="","",IF(N(J120)=0,1,J120))</f>
        <v/>
      </c>
    </row>
    <row r="121">
      <c r="A121" s="53" t="n">
        <v>101</v>
      </c>
      <c r="B121" s="67" t="n"/>
      <c r="C121" s="55" t="n"/>
      <c r="D121" s="68" t="n"/>
      <c r="E121" s="68" t="n"/>
      <c r="F121" s="59">
        <f>IF(OR(E121="",D121=""),"",MAX(E121-D121,0))</f>
        <v/>
      </c>
      <c r="G121" s="59">
        <f>IF(F121="","",IF(N(C121)=0,1,C121))</f>
        <v/>
      </c>
      <c r="H121" s="53" t="n">
        <v>101</v>
      </c>
      <c r="I121" s="67" t="n"/>
      <c r="J121" s="55" t="n"/>
      <c r="K121" s="68" t="n"/>
      <c r="L121" s="68" t="n"/>
      <c r="M121" s="59">
        <f>IF(OR(L121="",K121=""),"",MAX(L121-K121,0))</f>
        <v/>
      </c>
      <c r="N121" s="59">
        <f>IF(M121="","",IF(N(J121)=0,1,J121))</f>
        <v/>
      </c>
    </row>
    <row r="122">
      <c r="A122" s="53" t="n">
        <v>102</v>
      </c>
      <c r="B122" s="67" t="n"/>
      <c r="C122" s="55" t="n"/>
      <c r="D122" s="68" t="n"/>
      <c r="E122" s="68" t="n"/>
      <c r="F122" s="59">
        <f>IF(OR(E122="",D122=""),"",MAX(E122-D122,0))</f>
        <v/>
      </c>
      <c r="G122" s="59">
        <f>IF(F122="","",IF(N(C122)=0,1,C122))</f>
        <v/>
      </c>
      <c r="H122" s="53" t="n">
        <v>102</v>
      </c>
      <c r="I122" s="67" t="n"/>
      <c r="J122" s="55" t="n"/>
      <c r="K122" s="68" t="n"/>
      <c r="L122" s="68" t="n"/>
      <c r="M122" s="59">
        <f>IF(OR(L122="",K122=""),"",MAX(L122-K122,0))</f>
        <v/>
      </c>
      <c r="N122" s="59">
        <f>IF(M122="","",IF(N(J122)=0,1,J122))</f>
        <v/>
      </c>
    </row>
    <row r="123">
      <c r="A123" s="53" t="n">
        <v>103</v>
      </c>
      <c r="B123" s="67" t="n"/>
      <c r="C123" s="55" t="n"/>
      <c r="D123" s="68" t="n"/>
      <c r="E123" s="68" t="n"/>
      <c r="F123" s="59">
        <f>IF(OR(E123="",D123=""),"",MAX(E123-D123,0))</f>
        <v/>
      </c>
      <c r="G123" s="59">
        <f>IF(F123="","",IF(N(C123)=0,1,C123))</f>
        <v/>
      </c>
      <c r="H123" s="53" t="n">
        <v>103</v>
      </c>
      <c r="I123" s="67" t="n"/>
      <c r="J123" s="55" t="n"/>
      <c r="K123" s="68" t="n"/>
      <c r="L123" s="68" t="n"/>
      <c r="M123" s="59">
        <f>IF(OR(L123="",K123=""),"",MAX(L123-K123,0))</f>
        <v/>
      </c>
      <c r="N123" s="59">
        <f>IF(M123="","",IF(N(J123)=0,1,J123))</f>
        <v/>
      </c>
    </row>
    <row r="124">
      <c r="A124" s="53" t="n">
        <v>104</v>
      </c>
      <c r="B124" s="67" t="n"/>
      <c r="C124" s="55" t="n"/>
      <c r="D124" s="68" t="n"/>
      <c r="E124" s="68" t="n"/>
      <c r="F124" s="59">
        <f>IF(OR(E124="",D124=""),"",MAX(E124-D124,0))</f>
        <v/>
      </c>
      <c r="G124" s="59">
        <f>IF(F124="","",IF(N(C124)=0,1,C124))</f>
        <v/>
      </c>
      <c r="H124" s="53" t="n">
        <v>104</v>
      </c>
      <c r="I124" s="67" t="n"/>
      <c r="J124" s="55" t="n"/>
      <c r="K124" s="68" t="n"/>
      <c r="L124" s="68" t="n"/>
      <c r="M124" s="59">
        <f>IF(OR(L124="",K124=""),"",MAX(L124-K124,0))</f>
        <v/>
      </c>
      <c r="N124" s="59">
        <f>IF(M124="","",IF(N(J124)=0,1,J124))</f>
        <v/>
      </c>
    </row>
    <row r="125">
      <c r="A125" s="53" t="n">
        <v>105</v>
      </c>
      <c r="B125" s="67" t="n"/>
      <c r="C125" s="55" t="n"/>
      <c r="D125" s="68" t="n"/>
      <c r="E125" s="68" t="n"/>
      <c r="F125" s="59">
        <f>IF(OR(E125="",D125=""),"",MAX(E125-D125,0))</f>
        <v/>
      </c>
      <c r="G125" s="59">
        <f>IF(F125="","",IF(N(C125)=0,1,C125))</f>
        <v/>
      </c>
      <c r="H125" s="53" t="n">
        <v>105</v>
      </c>
      <c r="I125" s="67" t="n"/>
      <c r="J125" s="55" t="n"/>
      <c r="K125" s="68" t="n"/>
      <c r="L125" s="68" t="n"/>
      <c r="M125" s="59">
        <f>IF(OR(L125="",K125=""),"",MAX(L125-K125,0))</f>
        <v/>
      </c>
      <c r="N125" s="59">
        <f>IF(M125="","",IF(N(J125)=0,1,J125))</f>
        <v/>
      </c>
    </row>
    <row r="126">
      <c r="A126" s="53" t="n">
        <v>106</v>
      </c>
      <c r="B126" s="67" t="n"/>
      <c r="C126" s="55" t="n"/>
      <c r="D126" s="68" t="n"/>
      <c r="E126" s="68" t="n"/>
      <c r="F126" s="59">
        <f>IF(OR(E126="",D126=""),"",MAX(E126-D126,0))</f>
        <v/>
      </c>
      <c r="G126" s="59">
        <f>IF(F126="","",IF(N(C126)=0,1,C126))</f>
        <v/>
      </c>
      <c r="H126" s="53" t="n">
        <v>106</v>
      </c>
      <c r="I126" s="67" t="n"/>
      <c r="J126" s="55" t="n"/>
      <c r="K126" s="68" t="n"/>
      <c r="L126" s="68" t="n"/>
      <c r="M126" s="59">
        <f>IF(OR(L126="",K126=""),"",MAX(L126-K126,0))</f>
        <v/>
      </c>
      <c r="N126" s="59">
        <f>IF(M126="","",IF(N(J126)=0,1,J126))</f>
        <v/>
      </c>
    </row>
    <row r="127">
      <c r="A127" s="53" t="n">
        <v>107</v>
      </c>
      <c r="B127" s="67" t="n"/>
      <c r="C127" s="55" t="n"/>
      <c r="D127" s="68" t="n"/>
      <c r="E127" s="68" t="n"/>
      <c r="F127" s="59">
        <f>IF(OR(E127="",D127=""),"",MAX(E127-D127,0))</f>
        <v/>
      </c>
      <c r="G127" s="59">
        <f>IF(F127="","",IF(N(C127)=0,1,C127))</f>
        <v/>
      </c>
      <c r="H127" s="53" t="n">
        <v>107</v>
      </c>
      <c r="I127" s="67" t="n"/>
      <c r="J127" s="55" t="n"/>
      <c r="K127" s="68" t="n"/>
      <c r="L127" s="68" t="n"/>
      <c r="M127" s="59">
        <f>IF(OR(L127="",K127=""),"",MAX(L127-K127,0))</f>
        <v/>
      </c>
      <c r="N127" s="59">
        <f>IF(M127="","",IF(N(J127)=0,1,J127))</f>
        <v/>
      </c>
    </row>
    <row r="128">
      <c r="A128" s="53" t="n">
        <v>108</v>
      </c>
      <c r="B128" s="67" t="n"/>
      <c r="C128" s="55" t="n"/>
      <c r="D128" s="68" t="n"/>
      <c r="E128" s="68" t="n"/>
      <c r="F128" s="59">
        <f>IF(OR(E128="",D128=""),"",MAX(E128-D128,0))</f>
        <v/>
      </c>
      <c r="G128" s="59">
        <f>IF(F128="","",IF(N(C128)=0,1,C128))</f>
        <v/>
      </c>
      <c r="H128" s="53" t="n">
        <v>108</v>
      </c>
      <c r="I128" s="67" t="n"/>
      <c r="J128" s="55" t="n"/>
      <c r="K128" s="68" t="n"/>
      <c r="L128" s="68" t="n"/>
      <c r="M128" s="59">
        <f>IF(OR(L128="",K128=""),"",MAX(L128-K128,0))</f>
        <v/>
      </c>
      <c r="N128" s="59">
        <f>IF(M128="","",IF(N(J128)=0,1,J128))</f>
        <v/>
      </c>
    </row>
    <row r="129">
      <c r="A129" s="53" t="n">
        <v>109</v>
      </c>
      <c r="B129" s="67" t="n"/>
      <c r="C129" s="55" t="n"/>
      <c r="D129" s="68" t="n"/>
      <c r="E129" s="68" t="n"/>
      <c r="F129" s="59">
        <f>IF(OR(E129="",D129=""),"",MAX(E129-D129,0))</f>
        <v/>
      </c>
      <c r="G129" s="59">
        <f>IF(F129="","",IF(N(C129)=0,1,C129))</f>
        <v/>
      </c>
      <c r="H129" s="53" t="n">
        <v>109</v>
      </c>
      <c r="I129" s="67" t="n"/>
      <c r="J129" s="55" t="n"/>
      <c r="K129" s="68" t="n"/>
      <c r="L129" s="68" t="n"/>
      <c r="M129" s="59">
        <f>IF(OR(L129="",K129=""),"",MAX(L129-K129,0))</f>
        <v/>
      </c>
      <c r="N129" s="59">
        <f>IF(M129="","",IF(N(J129)=0,1,J129))</f>
        <v/>
      </c>
    </row>
    <row r="130">
      <c r="A130" s="53" t="n">
        <v>110</v>
      </c>
      <c r="B130" s="67" t="n"/>
      <c r="C130" s="55" t="n"/>
      <c r="D130" s="68" t="n"/>
      <c r="E130" s="68" t="n"/>
      <c r="F130" s="59">
        <f>IF(OR(E130="",D130=""),"",MAX(E130-D130,0))</f>
        <v/>
      </c>
      <c r="G130" s="59">
        <f>IF(F130="","",IF(N(C130)=0,1,C130))</f>
        <v/>
      </c>
      <c r="H130" s="53" t="n">
        <v>110</v>
      </c>
      <c r="I130" s="67" t="n"/>
      <c r="J130" s="55" t="n"/>
      <c r="K130" s="68" t="n"/>
      <c r="L130" s="68" t="n"/>
      <c r="M130" s="59">
        <f>IF(OR(L130="",K130=""),"",MAX(L130-K130,0))</f>
        <v/>
      </c>
      <c r="N130" s="59">
        <f>IF(M130="","",IF(N(J130)=0,1,J130))</f>
        <v/>
      </c>
    </row>
    <row r="131">
      <c r="A131" s="53" t="n">
        <v>111</v>
      </c>
      <c r="B131" s="67" t="n"/>
      <c r="C131" s="55" t="n"/>
      <c r="D131" s="68" t="n"/>
      <c r="E131" s="68" t="n"/>
      <c r="F131" s="59">
        <f>IF(OR(E131="",D131=""),"",MAX(E131-D131,0))</f>
        <v/>
      </c>
      <c r="G131" s="59">
        <f>IF(F131="","",IF(N(C131)=0,1,C131))</f>
        <v/>
      </c>
      <c r="H131" s="53" t="n">
        <v>111</v>
      </c>
      <c r="I131" s="67" t="n"/>
      <c r="J131" s="55" t="n"/>
      <c r="K131" s="68" t="n"/>
      <c r="L131" s="68" t="n"/>
      <c r="M131" s="59">
        <f>IF(OR(L131="",K131=""),"",MAX(L131-K131,0))</f>
        <v/>
      </c>
      <c r="N131" s="59">
        <f>IF(M131="","",IF(N(J131)=0,1,J131))</f>
        <v/>
      </c>
    </row>
    <row r="132">
      <c r="A132" s="53" t="n">
        <v>112</v>
      </c>
      <c r="B132" s="67" t="n"/>
      <c r="C132" s="55" t="n"/>
      <c r="D132" s="68" t="n"/>
      <c r="E132" s="68" t="n"/>
      <c r="F132" s="59">
        <f>IF(OR(E132="",D132=""),"",MAX(E132-D132,0))</f>
        <v/>
      </c>
      <c r="G132" s="59">
        <f>IF(F132="","",IF(N(C132)=0,1,C132))</f>
        <v/>
      </c>
      <c r="H132" s="53" t="n">
        <v>112</v>
      </c>
      <c r="I132" s="67" t="n"/>
      <c r="J132" s="55" t="n"/>
      <c r="K132" s="68" t="n"/>
      <c r="L132" s="68" t="n"/>
      <c r="M132" s="59">
        <f>IF(OR(L132="",K132=""),"",MAX(L132-K132,0))</f>
        <v/>
      </c>
      <c r="N132" s="59">
        <f>IF(M132="","",IF(N(J132)=0,1,J132))</f>
        <v/>
      </c>
    </row>
    <row r="133">
      <c r="A133" s="53" t="n">
        <v>113</v>
      </c>
      <c r="B133" s="67" t="n"/>
      <c r="C133" s="55" t="n"/>
      <c r="D133" s="68" t="n"/>
      <c r="E133" s="68" t="n"/>
      <c r="F133" s="59">
        <f>IF(OR(E133="",D133=""),"",MAX(E133-D133,0))</f>
        <v/>
      </c>
      <c r="G133" s="59">
        <f>IF(F133="","",IF(N(C133)=0,1,C133))</f>
        <v/>
      </c>
      <c r="H133" s="53" t="n">
        <v>113</v>
      </c>
      <c r="I133" s="67" t="n"/>
      <c r="J133" s="55" t="n"/>
      <c r="K133" s="68" t="n"/>
      <c r="L133" s="68" t="n"/>
      <c r="M133" s="59">
        <f>IF(OR(L133="",K133=""),"",MAX(L133-K133,0))</f>
        <v/>
      </c>
      <c r="N133" s="59">
        <f>IF(M133="","",IF(N(J133)=0,1,J133))</f>
        <v/>
      </c>
    </row>
    <row r="134">
      <c r="A134" s="53" t="n">
        <v>114</v>
      </c>
      <c r="B134" s="67" t="n"/>
      <c r="C134" s="55" t="n"/>
      <c r="D134" s="68" t="n"/>
      <c r="E134" s="68" t="n"/>
      <c r="F134" s="59">
        <f>IF(OR(E134="",D134=""),"",MAX(E134-D134,0))</f>
        <v/>
      </c>
      <c r="G134" s="59">
        <f>IF(F134="","",IF(N(C134)=0,1,C134))</f>
        <v/>
      </c>
      <c r="H134" s="53" t="n">
        <v>114</v>
      </c>
      <c r="I134" s="67" t="n"/>
      <c r="J134" s="55" t="n"/>
      <c r="K134" s="68" t="n"/>
      <c r="L134" s="68" t="n"/>
      <c r="M134" s="59">
        <f>IF(OR(L134="",K134=""),"",MAX(L134-K134,0))</f>
        <v/>
      </c>
      <c r="N134" s="59">
        <f>IF(M134="","",IF(N(J134)=0,1,J134))</f>
        <v/>
      </c>
    </row>
    <row r="135">
      <c r="A135" s="53" t="n">
        <v>115</v>
      </c>
      <c r="B135" s="67" t="n"/>
      <c r="C135" s="55" t="n"/>
      <c r="D135" s="68" t="n"/>
      <c r="E135" s="68" t="n"/>
      <c r="F135" s="59">
        <f>IF(OR(E135="",D135=""),"",MAX(E135-D135,0))</f>
        <v/>
      </c>
      <c r="G135" s="59">
        <f>IF(F135="","",IF(N(C135)=0,1,C135))</f>
        <v/>
      </c>
      <c r="H135" s="53" t="n">
        <v>115</v>
      </c>
      <c r="I135" s="67" t="n"/>
      <c r="J135" s="55" t="n"/>
      <c r="K135" s="68" t="n"/>
      <c r="L135" s="68" t="n"/>
      <c r="M135" s="59">
        <f>IF(OR(L135="",K135=""),"",MAX(L135-K135,0))</f>
        <v/>
      </c>
      <c r="N135" s="59">
        <f>IF(M135="","",IF(N(J135)=0,1,J135))</f>
        <v/>
      </c>
    </row>
    <row r="136">
      <c r="A136" s="53" t="n">
        <v>116</v>
      </c>
      <c r="B136" s="67" t="n"/>
      <c r="C136" s="55" t="n"/>
      <c r="D136" s="68" t="n"/>
      <c r="E136" s="68" t="n"/>
      <c r="F136" s="59">
        <f>IF(OR(E136="",D136=""),"",MAX(E136-D136,0))</f>
        <v/>
      </c>
      <c r="G136" s="59">
        <f>IF(F136="","",IF(N(C136)=0,1,C136))</f>
        <v/>
      </c>
      <c r="H136" s="53" t="n">
        <v>116</v>
      </c>
      <c r="I136" s="67" t="n"/>
      <c r="J136" s="55" t="n"/>
      <c r="K136" s="68" t="n"/>
      <c r="L136" s="68" t="n"/>
      <c r="M136" s="59">
        <f>IF(OR(L136="",K136=""),"",MAX(L136-K136,0))</f>
        <v/>
      </c>
      <c r="N136" s="59">
        <f>IF(M136="","",IF(N(J136)=0,1,J136))</f>
        <v/>
      </c>
    </row>
    <row r="137">
      <c r="A137" s="53" t="n">
        <v>117</v>
      </c>
      <c r="B137" s="67" t="n"/>
      <c r="C137" s="55" t="n"/>
      <c r="D137" s="68" t="n"/>
      <c r="E137" s="68" t="n"/>
      <c r="F137" s="59">
        <f>IF(OR(E137="",D137=""),"",MAX(E137-D137,0))</f>
        <v/>
      </c>
      <c r="G137" s="59">
        <f>IF(F137="","",IF(N(C137)=0,1,C137))</f>
        <v/>
      </c>
      <c r="H137" s="53" t="n">
        <v>117</v>
      </c>
      <c r="I137" s="67" t="n"/>
      <c r="J137" s="55" t="n"/>
      <c r="K137" s="68" t="n"/>
      <c r="L137" s="68" t="n"/>
      <c r="M137" s="59">
        <f>IF(OR(L137="",K137=""),"",MAX(L137-K137,0))</f>
        <v/>
      </c>
      <c r="N137" s="59">
        <f>IF(M137="","",IF(N(J137)=0,1,J137))</f>
        <v/>
      </c>
    </row>
    <row r="138">
      <c r="A138" s="53" t="n">
        <v>118</v>
      </c>
      <c r="B138" s="67" t="n"/>
      <c r="C138" s="55" t="n"/>
      <c r="D138" s="68" t="n"/>
      <c r="E138" s="68" t="n"/>
      <c r="F138" s="59">
        <f>IF(OR(E138="",D138=""),"",MAX(E138-D138,0))</f>
        <v/>
      </c>
      <c r="G138" s="59">
        <f>IF(F138="","",IF(N(C138)=0,1,C138))</f>
        <v/>
      </c>
      <c r="H138" s="53" t="n">
        <v>118</v>
      </c>
      <c r="I138" s="67" t="n"/>
      <c r="J138" s="55" t="n"/>
      <c r="K138" s="68" t="n"/>
      <c r="L138" s="68" t="n"/>
      <c r="M138" s="59">
        <f>IF(OR(L138="",K138=""),"",MAX(L138-K138,0))</f>
        <v/>
      </c>
      <c r="N138" s="59">
        <f>IF(M138="","",IF(N(J138)=0,1,J138))</f>
        <v/>
      </c>
    </row>
    <row r="139">
      <c r="A139" s="53" t="n">
        <v>119</v>
      </c>
      <c r="B139" s="67" t="n"/>
      <c r="C139" s="55" t="n"/>
      <c r="D139" s="68" t="n"/>
      <c r="E139" s="68" t="n"/>
      <c r="F139" s="59">
        <f>IF(OR(E139="",D139=""),"",MAX(E139-D139,0))</f>
        <v/>
      </c>
      <c r="G139" s="59">
        <f>IF(F139="","",IF(N(C139)=0,1,C139))</f>
        <v/>
      </c>
      <c r="H139" s="53" t="n">
        <v>119</v>
      </c>
      <c r="I139" s="67" t="n"/>
      <c r="J139" s="55" t="n"/>
      <c r="K139" s="68" t="n"/>
      <c r="L139" s="68" t="n"/>
      <c r="M139" s="59">
        <f>IF(OR(L139="",K139=""),"",MAX(L139-K139,0))</f>
        <v/>
      </c>
      <c r="N139" s="59">
        <f>IF(M139="","",IF(N(J139)=0,1,J139))</f>
        <v/>
      </c>
    </row>
    <row r="140">
      <c r="A140" s="53" t="n">
        <v>120</v>
      </c>
      <c r="B140" s="67" t="n"/>
      <c r="C140" s="55" t="n"/>
      <c r="D140" s="68" t="n"/>
      <c r="E140" s="68" t="n"/>
      <c r="F140" s="59">
        <f>IF(OR(E140="",D140=""),"",MAX(E140-D140,0))</f>
        <v/>
      </c>
      <c r="G140" s="59">
        <f>IF(F140="","",IF(N(C140)=0,1,C140))</f>
        <v/>
      </c>
      <c r="H140" s="53" t="n">
        <v>120</v>
      </c>
      <c r="I140" s="67" t="n"/>
      <c r="J140" s="55" t="n"/>
      <c r="K140" s="68" t="n"/>
      <c r="L140" s="68" t="n"/>
      <c r="M140" s="59">
        <f>IF(OR(L140="",K140=""),"",MAX(L140-K140,0))</f>
        <v/>
      </c>
      <c r="N140" s="59">
        <f>IF(M140="","",IF(N(J140)=0,1,J140))</f>
        <v/>
      </c>
    </row>
    <row r="141">
      <c r="A141" s="53" t="n">
        <v>121</v>
      </c>
      <c r="B141" s="67" t="n"/>
      <c r="C141" s="55" t="n"/>
      <c r="D141" s="68" t="n"/>
      <c r="E141" s="68" t="n"/>
      <c r="F141" s="59">
        <f>IF(OR(E141="",D141=""),"",MAX(E141-D141,0))</f>
        <v/>
      </c>
      <c r="G141" s="59">
        <f>IF(F141="","",IF(N(C141)=0,1,C141))</f>
        <v/>
      </c>
      <c r="H141" s="53" t="n">
        <v>121</v>
      </c>
      <c r="I141" s="67" t="n"/>
      <c r="J141" s="55" t="n"/>
      <c r="K141" s="68" t="n"/>
      <c r="L141" s="68" t="n"/>
      <c r="M141" s="59">
        <f>IF(OR(L141="",K141=""),"",MAX(L141-K141,0))</f>
        <v/>
      </c>
      <c r="N141" s="59">
        <f>IF(M141="","",IF(N(J141)=0,1,J141))</f>
        <v/>
      </c>
    </row>
    <row r="142">
      <c r="A142" s="53" t="n">
        <v>122</v>
      </c>
      <c r="B142" s="67" t="n"/>
      <c r="C142" s="55" t="n"/>
      <c r="D142" s="68" t="n"/>
      <c r="E142" s="68" t="n"/>
      <c r="F142" s="59">
        <f>IF(OR(E142="",D142=""),"",MAX(E142-D142,0))</f>
        <v/>
      </c>
      <c r="G142" s="59">
        <f>IF(F142="","",IF(N(C142)=0,1,C142))</f>
        <v/>
      </c>
      <c r="H142" s="53" t="n">
        <v>122</v>
      </c>
      <c r="I142" s="67" t="n"/>
      <c r="J142" s="55" t="n"/>
      <c r="K142" s="68" t="n"/>
      <c r="L142" s="68" t="n"/>
      <c r="M142" s="59">
        <f>IF(OR(L142="",K142=""),"",MAX(L142-K142,0))</f>
        <v/>
      </c>
      <c r="N142" s="59">
        <f>IF(M142="","",IF(N(J142)=0,1,J142))</f>
        <v/>
      </c>
    </row>
    <row r="143">
      <c r="A143" s="53" t="n">
        <v>123</v>
      </c>
      <c r="B143" s="67" t="n"/>
      <c r="C143" s="55" t="n"/>
      <c r="D143" s="68" t="n"/>
      <c r="E143" s="68" t="n"/>
      <c r="F143" s="59">
        <f>IF(OR(E143="",D143=""),"",MAX(E143-D143,0))</f>
        <v/>
      </c>
      <c r="G143" s="59">
        <f>IF(F143="","",IF(N(C143)=0,1,C143))</f>
        <v/>
      </c>
      <c r="H143" s="53" t="n">
        <v>123</v>
      </c>
      <c r="I143" s="67" t="n"/>
      <c r="J143" s="55" t="n"/>
      <c r="K143" s="68" t="n"/>
      <c r="L143" s="68" t="n"/>
      <c r="M143" s="59">
        <f>IF(OR(L143="",K143=""),"",MAX(L143-K143,0))</f>
        <v/>
      </c>
      <c r="N143" s="59">
        <f>IF(M143="","",IF(N(J143)=0,1,J143))</f>
        <v/>
      </c>
    </row>
    <row r="144">
      <c r="A144" s="53" t="n">
        <v>124</v>
      </c>
      <c r="B144" s="67" t="n"/>
      <c r="C144" s="55" t="n"/>
      <c r="D144" s="68" t="n"/>
      <c r="E144" s="68" t="n"/>
      <c r="F144" s="59">
        <f>IF(OR(E144="",D144=""),"",MAX(E144-D144,0))</f>
        <v/>
      </c>
      <c r="G144" s="59">
        <f>IF(F144="","",IF(N(C144)=0,1,C144))</f>
        <v/>
      </c>
      <c r="H144" s="53" t="n">
        <v>124</v>
      </c>
      <c r="I144" s="67" t="n"/>
      <c r="J144" s="55" t="n"/>
      <c r="K144" s="68" t="n"/>
      <c r="L144" s="68" t="n"/>
      <c r="M144" s="59">
        <f>IF(OR(L144="",K144=""),"",MAX(L144-K144,0))</f>
        <v/>
      </c>
      <c r="N144" s="59">
        <f>IF(M144="","",IF(N(J144)=0,1,J144))</f>
        <v/>
      </c>
    </row>
    <row r="145">
      <c r="A145" s="53" t="n">
        <v>125</v>
      </c>
      <c r="B145" s="67" t="n"/>
      <c r="C145" s="55" t="n"/>
      <c r="D145" s="68" t="n"/>
      <c r="E145" s="68" t="n"/>
      <c r="F145" s="59">
        <f>IF(OR(E145="",D145=""),"",MAX(E145-D145,0))</f>
        <v/>
      </c>
      <c r="G145" s="59">
        <f>IF(F145="","",IF(N(C145)=0,1,C145))</f>
        <v/>
      </c>
      <c r="H145" s="53" t="n">
        <v>125</v>
      </c>
      <c r="I145" s="67" t="n"/>
      <c r="J145" s="55" t="n"/>
      <c r="K145" s="68" t="n"/>
      <c r="L145" s="68" t="n"/>
      <c r="M145" s="59">
        <f>IF(OR(L145="",K145=""),"",MAX(L145-K145,0))</f>
        <v/>
      </c>
      <c r="N145" s="59">
        <f>IF(M145="","",IF(N(J145)=0,1,J145))</f>
        <v/>
      </c>
    </row>
    <row r="146">
      <c r="A146" s="53" t="n">
        <v>126</v>
      </c>
      <c r="B146" s="67" t="n"/>
      <c r="C146" s="55" t="n"/>
      <c r="D146" s="68" t="n"/>
      <c r="E146" s="68" t="n"/>
      <c r="F146" s="59">
        <f>IF(OR(E146="",D146=""),"",MAX(E146-D146,0))</f>
        <v/>
      </c>
      <c r="G146" s="59">
        <f>IF(F146="","",IF(N(C146)=0,1,C146))</f>
        <v/>
      </c>
      <c r="H146" s="53" t="n">
        <v>126</v>
      </c>
      <c r="I146" s="67" t="n"/>
      <c r="J146" s="55" t="n"/>
      <c r="K146" s="68" t="n"/>
      <c r="L146" s="68" t="n"/>
      <c r="M146" s="59">
        <f>IF(OR(L146="",K146=""),"",MAX(L146-K146,0))</f>
        <v/>
      </c>
      <c r="N146" s="59">
        <f>IF(M146="","",IF(N(J146)=0,1,J146))</f>
        <v/>
      </c>
    </row>
    <row r="147">
      <c r="A147" s="53" t="n">
        <v>127</v>
      </c>
      <c r="B147" s="67" t="n"/>
      <c r="C147" s="55" t="n"/>
      <c r="D147" s="68" t="n"/>
      <c r="E147" s="68" t="n"/>
      <c r="F147" s="59">
        <f>IF(OR(E147="",D147=""),"",MAX(E147-D147,0))</f>
        <v/>
      </c>
      <c r="G147" s="59">
        <f>IF(F147="","",IF(N(C147)=0,1,C147))</f>
        <v/>
      </c>
      <c r="H147" s="53" t="n">
        <v>127</v>
      </c>
      <c r="I147" s="67" t="n"/>
      <c r="J147" s="55" t="n"/>
      <c r="K147" s="68" t="n"/>
      <c r="L147" s="68" t="n"/>
      <c r="M147" s="59">
        <f>IF(OR(L147="",K147=""),"",MAX(L147-K147,0))</f>
        <v/>
      </c>
      <c r="N147" s="59">
        <f>IF(M147="","",IF(N(J147)=0,1,J147))</f>
        <v/>
      </c>
    </row>
    <row r="148">
      <c r="A148" s="53" t="n">
        <v>128</v>
      </c>
      <c r="B148" s="67" t="n"/>
      <c r="C148" s="55" t="n"/>
      <c r="D148" s="68" t="n"/>
      <c r="E148" s="68" t="n"/>
      <c r="F148" s="59">
        <f>IF(OR(E148="",D148=""),"",MAX(E148-D148,0))</f>
        <v/>
      </c>
      <c r="G148" s="59">
        <f>IF(F148="","",IF(N(C148)=0,1,C148))</f>
        <v/>
      </c>
      <c r="H148" s="53" t="n">
        <v>128</v>
      </c>
      <c r="I148" s="67" t="n"/>
      <c r="J148" s="55" t="n"/>
      <c r="K148" s="68" t="n"/>
      <c r="L148" s="68" t="n"/>
      <c r="M148" s="59">
        <f>IF(OR(L148="",K148=""),"",MAX(L148-K148,0))</f>
        <v/>
      </c>
      <c r="N148" s="59">
        <f>IF(M148="","",IF(N(J148)=0,1,J148))</f>
        <v/>
      </c>
    </row>
    <row r="149">
      <c r="A149" s="53" t="n">
        <v>129</v>
      </c>
      <c r="B149" s="67" t="n"/>
      <c r="C149" s="55" t="n"/>
      <c r="D149" s="68" t="n"/>
      <c r="E149" s="68" t="n"/>
      <c r="F149" s="59">
        <f>IF(OR(E149="",D149=""),"",MAX(E149-D149,0))</f>
        <v/>
      </c>
      <c r="G149" s="59">
        <f>IF(F149="","",IF(N(C149)=0,1,C149))</f>
        <v/>
      </c>
      <c r="H149" s="53" t="n">
        <v>129</v>
      </c>
      <c r="I149" s="67" t="n"/>
      <c r="J149" s="55" t="n"/>
      <c r="K149" s="68" t="n"/>
      <c r="L149" s="68" t="n"/>
      <c r="M149" s="59">
        <f>IF(OR(L149="",K149=""),"",MAX(L149-K149,0))</f>
        <v/>
      </c>
      <c r="N149" s="59">
        <f>IF(M149="","",IF(N(J149)=0,1,J149))</f>
        <v/>
      </c>
    </row>
    <row r="150">
      <c r="A150" s="53" t="n">
        <v>130</v>
      </c>
      <c r="B150" s="67" t="n"/>
      <c r="C150" s="55" t="n"/>
      <c r="D150" s="68" t="n"/>
      <c r="E150" s="68" t="n"/>
      <c r="F150" s="59">
        <f>IF(OR(E150="",D150=""),"",MAX(E150-D150,0))</f>
        <v/>
      </c>
      <c r="G150" s="59">
        <f>IF(F150="","",IF(N(C150)=0,1,C150))</f>
        <v/>
      </c>
      <c r="H150" s="53" t="n">
        <v>130</v>
      </c>
      <c r="I150" s="67" t="n"/>
      <c r="J150" s="55" t="n"/>
      <c r="K150" s="68" t="n"/>
      <c r="L150" s="68" t="n"/>
      <c r="M150" s="59">
        <f>IF(OR(L150="",K150=""),"",MAX(L150-K150,0))</f>
        <v/>
      </c>
      <c r="N150" s="59">
        <f>IF(M150="","",IF(N(J150)=0,1,J150))</f>
        <v/>
      </c>
    </row>
    <row r="151">
      <c r="A151" s="53" t="n">
        <v>131</v>
      </c>
      <c r="B151" s="67" t="n"/>
      <c r="C151" s="55" t="n"/>
      <c r="D151" s="68" t="n"/>
      <c r="E151" s="68" t="n"/>
      <c r="F151" s="59">
        <f>IF(OR(E151="",D151=""),"",MAX(E151-D151,0))</f>
        <v/>
      </c>
      <c r="G151" s="59">
        <f>IF(F151="","",IF(N(C151)=0,1,C151))</f>
        <v/>
      </c>
      <c r="H151" s="53" t="n">
        <v>131</v>
      </c>
      <c r="I151" s="67" t="n"/>
      <c r="J151" s="55" t="n"/>
      <c r="K151" s="68" t="n"/>
      <c r="L151" s="68" t="n"/>
      <c r="M151" s="59">
        <f>IF(OR(L151="",K151=""),"",MAX(L151-K151,0))</f>
        <v/>
      </c>
      <c r="N151" s="59">
        <f>IF(M151="","",IF(N(J151)=0,1,J151))</f>
        <v/>
      </c>
    </row>
    <row r="152">
      <c r="A152" s="53" t="n">
        <v>132</v>
      </c>
      <c r="B152" s="67" t="n"/>
      <c r="C152" s="55" t="n"/>
      <c r="D152" s="68" t="n"/>
      <c r="E152" s="68" t="n"/>
      <c r="F152" s="59">
        <f>IF(OR(E152="",D152=""),"",MAX(E152-D152,0))</f>
        <v/>
      </c>
      <c r="G152" s="59">
        <f>IF(F152="","",IF(N(C152)=0,1,C152))</f>
        <v/>
      </c>
      <c r="H152" s="53" t="n">
        <v>132</v>
      </c>
      <c r="I152" s="67" t="n"/>
      <c r="J152" s="55" t="n"/>
      <c r="K152" s="68" t="n"/>
      <c r="L152" s="68" t="n"/>
      <c r="M152" s="59">
        <f>IF(OR(L152="",K152=""),"",MAX(L152-K152,0))</f>
        <v/>
      </c>
      <c r="N152" s="59">
        <f>IF(M152="","",IF(N(J152)=0,1,J152))</f>
        <v/>
      </c>
    </row>
    <row r="153">
      <c r="A153" s="53" t="n">
        <v>133</v>
      </c>
      <c r="B153" s="67" t="n"/>
      <c r="C153" s="55" t="n"/>
      <c r="D153" s="68" t="n"/>
      <c r="E153" s="68" t="n"/>
      <c r="F153" s="59">
        <f>IF(OR(E153="",D153=""),"",MAX(E153-D153,0))</f>
        <v/>
      </c>
      <c r="G153" s="59">
        <f>IF(F153="","",IF(N(C153)=0,1,C153))</f>
        <v/>
      </c>
      <c r="H153" s="53" t="n">
        <v>133</v>
      </c>
      <c r="I153" s="67" t="n"/>
      <c r="J153" s="55" t="n"/>
      <c r="K153" s="68" t="n"/>
      <c r="L153" s="68" t="n"/>
      <c r="M153" s="59">
        <f>IF(OR(L153="",K153=""),"",MAX(L153-K153,0))</f>
        <v/>
      </c>
      <c r="N153" s="59">
        <f>IF(M153="","",IF(N(J153)=0,1,J153))</f>
        <v/>
      </c>
    </row>
    <row r="154">
      <c r="A154" s="53" t="n">
        <v>134</v>
      </c>
      <c r="B154" s="67" t="n"/>
      <c r="C154" s="55" t="n"/>
      <c r="D154" s="68" t="n"/>
      <c r="E154" s="68" t="n"/>
      <c r="F154" s="59">
        <f>IF(OR(E154="",D154=""),"",MAX(E154-D154,0))</f>
        <v/>
      </c>
      <c r="G154" s="59">
        <f>IF(F154="","",IF(N(C154)=0,1,C154))</f>
        <v/>
      </c>
      <c r="H154" s="53" t="n">
        <v>134</v>
      </c>
      <c r="I154" s="67" t="n"/>
      <c r="J154" s="55" t="n"/>
      <c r="K154" s="68" t="n"/>
      <c r="L154" s="68" t="n"/>
      <c r="M154" s="59">
        <f>IF(OR(L154="",K154=""),"",MAX(L154-K154,0))</f>
        <v/>
      </c>
      <c r="N154" s="59">
        <f>IF(M154="","",IF(N(J154)=0,1,J154))</f>
        <v/>
      </c>
    </row>
    <row r="155">
      <c r="A155" s="53" t="n">
        <v>135</v>
      </c>
      <c r="B155" s="67" t="n"/>
      <c r="C155" s="55" t="n"/>
      <c r="D155" s="68" t="n"/>
      <c r="E155" s="68" t="n"/>
      <c r="F155" s="59">
        <f>IF(OR(E155="",D155=""),"",MAX(E155-D155,0))</f>
        <v/>
      </c>
      <c r="G155" s="59">
        <f>IF(F155="","",IF(N(C155)=0,1,C155))</f>
        <v/>
      </c>
      <c r="H155" s="53" t="n">
        <v>135</v>
      </c>
      <c r="I155" s="67" t="n"/>
      <c r="J155" s="55" t="n"/>
      <c r="K155" s="68" t="n"/>
      <c r="L155" s="68" t="n"/>
      <c r="M155" s="59">
        <f>IF(OR(L155="",K155=""),"",MAX(L155-K155,0))</f>
        <v/>
      </c>
      <c r="N155" s="59">
        <f>IF(M155="","",IF(N(J155)=0,1,J155))</f>
        <v/>
      </c>
    </row>
    <row r="156">
      <c r="A156" s="53" t="n">
        <v>136</v>
      </c>
      <c r="B156" s="67" t="n"/>
      <c r="C156" s="55" t="n"/>
      <c r="D156" s="68" t="n"/>
      <c r="E156" s="68" t="n"/>
      <c r="F156" s="59">
        <f>IF(OR(E156="",D156=""),"",MAX(E156-D156,0))</f>
        <v/>
      </c>
      <c r="G156" s="59">
        <f>IF(F156="","",IF(N(C156)=0,1,C156))</f>
        <v/>
      </c>
      <c r="H156" s="53" t="n">
        <v>136</v>
      </c>
      <c r="I156" s="67" t="n"/>
      <c r="J156" s="55" t="n"/>
      <c r="K156" s="68" t="n"/>
      <c r="L156" s="68" t="n"/>
      <c r="M156" s="59">
        <f>IF(OR(L156="",K156=""),"",MAX(L156-K156,0))</f>
        <v/>
      </c>
      <c r="N156" s="59">
        <f>IF(M156="","",IF(N(J156)=0,1,J156))</f>
        <v/>
      </c>
    </row>
    <row r="157">
      <c r="A157" s="53" t="n">
        <v>137</v>
      </c>
      <c r="B157" s="67" t="n"/>
      <c r="C157" s="55" t="n"/>
      <c r="D157" s="68" t="n"/>
      <c r="E157" s="68" t="n"/>
      <c r="F157" s="59">
        <f>IF(OR(E157="",D157=""),"",MAX(E157-D157,0))</f>
        <v/>
      </c>
      <c r="G157" s="59">
        <f>IF(F157="","",IF(N(C157)=0,1,C157))</f>
        <v/>
      </c>
      <c r="H157" s="53" t="n">
        <v>137</v>
      </c>
      <c r="I157" s="67" t="n"/>
      <c r="J157" s="55" t="n"/>
      <c r="K157" s="68" t="n"/>
      <c r="L157" s="68" t="n"/>
      <c r="M157" s="59">
        <f>IF(OR(L157="",K157=""),"",MAX(L157-K157,0))</f>
        <v/>
      </c>
      <c r="N157" s="59">
        <f>IF(M157="","",IF(N(J157)=0,1,J157))</f>
        <v/>
      </c>
    </row>
    <row r="158">
      <c r="A158" s="53" t="n">
        <v>138</v>
      </c>
      <c r="B158" s="67" t="n"/>
      <c r="C158" s="55" t="n"/>
      <c r="D158" s="68" t="n"/>
      <c r="E158" s="68" t="n"/>
      <c r="F158" s="59">
        <f>IF(OR(E158="",D158=""),"",MAX(E158-D158,0))</f>
        <v/>
      </c>
      <c r="G158" s="59">
        <f>IF(F158="","",IF(N(C158)=0,1,C158))</f>
        <v/>
      </c>
      <c r="H158" s="53" t="n">
        <v>138</v>
      </c>
      <c r="I158" s="67" t="n"/>
      <c r="J158" s="55" t="n"/>
      <c r="K158" s="68" t="n"/>
      <c r="L158" s="68" t="n"/>
      <c r="M158" s="59">
        <f>IF(OR(L158="",K158=""),"",MAX(L158-K158,0))</f>
        <v/>
      </c>
      <c r="N158" s="59">
        <f>IF(M158="","",IF(N(J158)=0,1,J158))</f>
        <v/>
      </c>
    </row>
    <row r="159">
      <c r="A159" s="53" t="n">
        <v>139</v>
      </c>
      <c r="B159" s="67" t="n"/>
      <c r="C159" s="55" t="n"/>
      <c r="D159" s="68" t="n"/>
      <c r="E159" s="68" t="n"/>
      <c r="F159" s="59">
        <f>IF(OR(E159="",D159=""),"",MAX(E159-D159,0))</f>
        <v/>
      </c>
      <c r="G159" s="59">
        <f>IF(F159="","",IF(N(C159)=0,1,C159))</f>
        <v/>
      </c>
      <c r="H159" s="53" t="n">
        <v>139</v>
      </c>
      <c r="I159" s="67" t="n"/>
      <c r="J159" s="55" t="n"/>
      <c r="K159" s="68" t="n"/>
      <c r="L159" s="68" t="n"/>
      <c r="M159" s="59">
        <f>IF(OR(L159="",K159=""),"",MAX(L159-K159,0))</f>
        <v/>
      </c>
      <c r="N159" s="59">
        <f>IF(M159="","",IF(N(J159)=0,1,J159))</f>
        <v/>
      </c>
    </row>
    <row r="160">
      <c r="A160" s="53" t="n">
        <v>140</v>
      </c>
      <c r="B160" s="67" t="n"/>
      <c r="C160" s="55" t="n"/>
      <c r="D160" s="68" t="n"/>
      <c r="E160" s="68" t="n"/>
      <c r="F160" s="59">
        <f>IF(OR(E160="",D160=""),"",MAX(E160-D160,0))</f>
        <v/>
      </c>
      <c r="G160" s="59">
        <f>IF(F160="","",IF(N(C160)=0,1,C160))</f>
        <v/>
      </c>
      <c r="H160" s="53" t="n">
        <v>140</v>
      </c>
      <c r="I160" s="67" t="n"/>
      <c r="J160" s="55" t="n"/>
      <c r="K160" s="68" t="n"/>
      <c r="L160" s="68" t="n"/>
      <c r="M160" s="59">
        <f>IF(OR(L160="",K160=""),"",MAX(L160-K160,0))</f>
        <v/>
      </c>
      <c r="N160" s="59">
        <f>IF(M160="","",IF(N(J160)=0,1,J160))</f>
        <v/>
      </c>
    </row>
    <row r="161">
      <c r="A161" s="53" t="n">
        <v>141</v>
      </c>
      <c r="B161" s="67" t="n"/>
      <c r="C161" s="55" t="n"/>
      <c r="D161" s="68" t="n"/>
      <c r="E161" s="68" t="n"/>
      <c r="F161" s="59">
        <f>IF(OR(E161="",D161=""),"",MAX(E161-D161,0))</f>
        <v/>
      </c>
      <c r="G161" s="59">
        <f>IF(F161="","",IF(N(C161)=0,1,C161))</f>
        <v/>
      </c>
      <c r="H161" s="53" t="n">
        <v>141</v>
      </c>
      <c r="I161" s="67" t="n"/>
      <c r="J161" s="55" t="n"/>
      <c r="K161" s="68" t="n"/>
      <c r="L161" s="68" t="n"/>
      <c r="M161" s="59">
        <f>IF(OR(L161="",K161=""),"",MAX(L161-K161,0))</f>
        <v/>
      </c>
      <c r="N161" s="59">
        <f>IF(M161="","",IF(N(J161)=0,1,J161))</f>
        <v/>
      </c>
    </row>
    <row r="162">
      <c r="A162" s="53" t="n">
        <v>142</v>
      </c>
      <c r="B162" s="67" t="n"/>
      <c r="C162" s="55" t="n"/>
      <c r="D162" s="68" t="n"/>
      <c r="E162" s="68" t="n"/>
      <c r="F162" s="59">
        <f>IF(OR(E162="",D162=""),"",MAX(E162-D162,0))</f>
        <v/>
      </c>
      <c r="G162" s="59">
        <f>IF(F162="","",IF(N(C162)=0,1,C162))</f>
        <v/>
      </c>
      <c r="H162" s="53" t="n">
        <v>142</v>
      </c>
      <c r="I162" s="67" t="n"/>
      <c r="J162" s="55" t="n"/>
      <c r="K162" s="68" t="n"/>
      <c r="L162" s="68" t="n"/>
      <c r="M162" s="59">
        <f>IF(OR(L162="",K162=""),"",MAX(L162-K162,0))</f>
        <v/>
      </c>
      <c r="N162" s="59">
        <f>IF(M162="","",IF(N(J162)=0,1,J162))</f>
        <v/>
      </c>
    </row>
    <row r="163">
      <c r="A163" s="53" t="n">
        <v>143</v>
      </c>
      <c r="B163" s="67" t="n"/>
      <c r="C163" s="55" t="n"/>
      <c r="D163" s="68" t="n"/>
      <c r="E163" s="68" t="n"/>
      <c r="F163" s="59">
        <f>IF(OR(E163="",D163=""),"",MAX(E163-D163,0))</f>
        <v/>
      </c>
      <c r="G163" s="59">
        <f>IF(F163="","",IF(N(C163)=0,1,C163))</f>
        <v/>
      </c>
      <c r="H163" s="53" t="n">
        <v>143</v>
      </c>
      <c r="I163" s="67" t="n"/>
      <c r="J163" s="55" t="n"/>
      <c r="K163" s="68" t="n"/>
      <c r="L163" s="68" t="n"/>
      <c r="M163" s="59">
        <f>IF(OR(L163="",K163=""),"",MAX(L163-K163,0))</f>
        <v/>
      </c>
      <c r="N163" s="59">
        <f>IF(M163="","",IF(N(J163)=0,1,J163))</f>
        <v/>
      </c>
    </row>
    <row r="164">
      <c r="A164" s="53" t="n">
        <v>144</v>
      </c>
      <c r="B164" s="67" t="n"/>
      <c r="C164" s="55" t="n"/>
      <c r="D164" s="68" t="n"/>
      <c r="E164" s="68" t="n"/>
      <c r="F164" s="59">
        <f>IF(OR(E164="",D164=""),"",MAX(E164-D164,0))</f>
        <v/>
      </c>
      <c r="G164" s="59">
        <f>IF(F164="","",IF(N(C164)=0,1,C164))</f>
        <v/>
      </c>
      <c r="H164" s="53" t="n">
        <v>144</v>
      </c>
      <c r="I164" s="67" t="n"/>
      <c r="J164" s="55" t="n"/>
      <c r="K164" s="68" t="n"/>
      <c r="L164" s="68" t="n"/>
      <c r="M164" s="59">
        <f>IF(OR(L164="",K164=""),"",MAX(L164-K164,0))</f>
        <v/>
      </c>
      <c r="N164" s="59">
        <f>IF(M164="","",IF(N(J164)=0,1,J164))</f>
        <v/>
      </c>
    </row>
    <row r="165">
      <c r="A165" s="53" t="n">
        <v>145</v>
      </c>
      <c r="B165" s="67" t="n"/>
      <c r="C165" s="55" t="n"/>
      <c r="D165" s="68" t="n"/>
      <c r="E165" s="68" t="n"/>
      <c r="F165" s="59">
        <f>IF(OR(E165="",D165=""),"",MAX(E165-D165,0))</f>
        <v/>
      </c>
      <c r="G165" s="59">
        <f>IF(F165="","",IF(N(C165)=0,1,C165))</f>
        <v/>
      </c>
      <c r="H165" s="53" t="n">
        <v>145</v>
      </c>
      <c r="I165" s="67" t="n"/>
      <c r="J165" s="55" t="n"/>
      <c r="K165" s="68" t="n"/>
      <c r="L165" s="68" t="n"/>
      <c r="M165" s="59">
        <f>IF(OR(L165="",K165=""),"",MAX(L165-K165,0))</f>
        <v/>
      </c>
      <c r="N165" s="59">
        <f>IF(M165="","",IF(N(J165)=0,1,J165))</f>
        <v/>
      </c>
    </row>
    <row r="166">
      <c r="A166" s="53" t="n">
        <v>146</v>
      </c>
      <c r="B166" s="67" t="n"/>
      <c r="C166" s="55" t="n"/>
      <c r="D166" s="68" t="n"/>
      <c r="E166" s="68" t="n"/>
      <c r="F166" s="59">
        <f>IF(OR(E166="",D166=""),"",MAX(E166-D166,0))</f>
        <v/>
      </c>
      <c r="G166" s="59">
        <f>IF(F166="","",IF(N(C166)=0,1,C166))</f>
        <v/>
      </c>
      <c r="H166" s="53" t="n">
        <v>146</v>
      </c>
      <c r="I166" s="67" t="n"/>
      <c r="J166" s="55" t="n"/>
      <c r="K166" s="68" t="n"/>
      <c r="L166" s="68" t="n"/>
      <c r="M166" s="59">
        <f>IF(OR(L166="",K166=""),"",MAX(L166-K166,0))</f>
        <v/>
      </c>
      <c r="N166" s="59">
        <f>IF(M166="","",IF(N(J166)=0,1,J166))</f>
        <v/>
      </c>
    </row>
    <row r="167">
      <c r="A167" s="53" t="n">
        <v>147</v>
      </c>
      <c r="B167" s="67" t="n"/>
      <c r="C167" s="55" t="n"/>
      <c r="D167" s="68" t="n"/>
      <c r="E167" s="68" t="n"/>
      <c r="F167" s="59">
        <f>IF(OR(E167="",D167=""),"",MAX(E167-D167,0))</f>
        <v/>
      </c>
      <c r="G167" s="59">
        <f>IF(F167="","",IF(N(C167)=0,1,C167))</f>
        <v/>
      </c>
      <c r="H167" s="53" t="n">
        <v>147</v>
      </c>
      <c r="I167" s="67" t="n"/>
      <c r="J167" s="55" t="n"/>
      <c r="K167" s="68" t="n"/>
      <c r="L167" s="68" t="n"/>
      <c r="M167" s="59">
        <f>IF(OR(L167="",K167=""),"",MAX(L167-K167,0))</f>
        <v/>
      </c>
      <c r="N167" s="59">
        <f>IF(M167="","",IF(N(J167)=0,1,J167))</f>
        <v/>
      </c>
    </row>
    <row r="168">
      <c r="A168" s="53" t="n">
        <v>148</v>
      </c>
      <c r="B168" s="67" t="n"/>
      <c r="C168" s="55" t="n"/>
      <c r="D168" s="68" t="n"/>
      <c r="E168" s="68" t="n"/>
      <c r="F168" s="59">
        <f>IF(OR(E168="",D168=""),"",MAX(E168-D168,0))</f>
        <v/>
      </c>
      <c r="G168" s="59">
        <f>IF(F168="","",IF(N(C168)=0,1,C168))</f>
        <v/>
      </c>
      <c r="H168" s="53" t="n">
        <v>148</v>
      </c>
      <c r="I168" s="67" t="n"/>
      <c r="J168" s="55" t="n"/>
      <c r="K168" s="68" t="n"/>
      <c r="L168" s="68" t="n"/>
      <c r="M168" s="59">
        <f>IF(OR(L168="",K168=""),"",MAX(L168-K168,0))</f>
        <v/>
      </c>
      <c r="N168" s="59">
        <f>IF(M168="","",IF(N(J168)=0,1,J168))</f>
        <v/>
      </c>
    </row>
    <row r="169">
      <c r="A169" s="53" t="n">
        <v>149</v>
      </c>
      <c r="B169" s="67" t="n"/>
      <c r="C169" s="55" t="n"/>
      <c r="D169" s="68" t="n"/>
      <c r="E169" s="68" t="n"/>
      <c r="F169" s="59">
        <f>IF(OR(E169="",D169=""),"",MAX(E169-D169,0))</f>
        <v/>
      </c>
      <c r="G169" s="59">
        <f>IF(F169="","",IF(N(C169)=0,1,C169))</f>
        <v/>
      </c>
      <c r="H169" s="53" t="n">
        <v>149</v>
      </c>
      <c r="I169" s="67" t="n"/>
      <c r="J169" s="55" t="n"/>
      <c r="K169" s="68" t="n"/>
      <c r="L169" s="68" t="n"/>
      <c r="M169" s="59">
        <f>IF(OR(L169="",K169=""),"",MAX(L169-K169,0))</f>
        <v/>
      </c>
      <c r="N169" s="59">
        <f>IF(M169="","",IF(N(J169)=0,1,J169))</f>
        <v/>
      </c>
    </row>
    <row r="170">
      <c r="A170" s="53" t="n">
        <v>150</v>
      </c>
      <c r="B170" s="67" t="n"/>
      <c r="C170" s="55" t="n"/>
      <c r="D170" s="68" t="n"/>
      <c r="E170" s="68" t="n"/>
      <c r="F170" s="59">
        <f>IF(OR(E170="",D170=""),"",MAX(E170-D170,0))</f>
        <v/>
      </c>
      <c r="G170" s="59">
        <f>IF(F170="","",IF(N(C170)=0,1,C170))</f>
        <v/>
      </c>
      <c r="H170" s="53" t="n">
        <v>150</v>
      </c>
      <c r="I170" s="67" t="n"/>
      <c r="J170" s="55" t="n"/>
      <c r="K170" s="68" t="n"/>
      <c r="L170" s="68" t="n"/>
      <c r="M170" s="59">
        <f>IF(OR(L170="",K170=""),"",MAX(L170-K170,0))</f>
        <v/>
      </c>
      <c r="N170" s="59">
        <f>IF(M170="","",IF(N(J170)=0,1,J170))</f>
        <v/>
      </c>
    </row>
    <row r="171">
      <c r="A171" s="53" t="n">
        <v>151</v>
      </c>
      <c r="B171" s="67" t="n"/>
      <c r="C171" s="55" t="n"/>
      <c r="D171" s="68" t="n"/>
      <c r="E171" s="68" t="n"/>
      <c r="F171" s="59">
        <f>IF(OR(E171="",D171=""),"",MAX(E171-D171,0))</f>
        <v/>
      </c>
      <c r="G171" s="59">
        <f>IF(F171="","",IF(N(C171)=0,1,C171))</f>
        <v/>
      </c>
      <c r="H171" s="53" t="n">
        <v>151</v>
      </c>
      <c r="I171" s="67" t="n"/>
      <c r="J171" s="55" t="n"/>
      <c r="K171" s="68" t="n"/>
      <c r="L171" s="68" t="n"/>
      <c r="M171" s="59">
        <f>IF(OR(L171="",K171=""),"",MAX(L171-K171,0))</f>
        <v/>
      </c>
      <c r="N171" s="59">
        <f>IF(M171="","",IF(N(J171)=0,1,J171))</f>
        <v/>
      </c>
    </row>
    <row r="172">
      <c r="A172" s="53" t="n">
        <v>152</v>
      </c>
      <c r="B172" s="67" t="n"/>
      <c r="C172" s="55" t="n"/>
      <c r="D172" s="68" t="n"/>
      <c r="E172" s="68" t="n"/>
      <c r="F172" s="59">
        <f>IF(OR(E172="",D172=""),"",MAX(E172-D172,0))</f>
        <v/>
      </c>
      <c r="G172" s="59">
        <f>IF(F172="","",IF(N(C172)=0,1,C172))</f>
        <v/>
      </c>
      <c r="H172" s="53" t="n">
        <v>152</v>
      </c>
      <c r="I172" s="67" t="n"/>
      <c r="J172" s="55" t="n"/>
      <c r="K172" s="68" t="n"/>
      <c r="L172" s="68" t="n"/>
      <c r="M172" s="59">
        <f>IF(OR(L172="",K172=""),"",MAX(L172-K172,0))</f>
        <v/>
      </c>
      <c r="N172" s="59">
        <f>IF(M172="","",IF(N(J172)=0,1,J172))</f>
        <v/>
      </c>
    </row>
    <row r="173">
      <c r="A173" s="53" t="n">
        <v>153</v>
      </c>
      <c r="B173" s="67" t="n"/>
      <c r="C173" s="55" t="n"/>
      <c r="D173" s="68" t="n"/>
      <c r="E173" s="68" t="n"/>
      <c r="F173" s="59">
        <f>IF(OR(E173="",D173=""),"",MAX(E173-D173,0))</f>
        <v/>
      </c>
      <c r="G173" s="59">
        <f>IF(F173="","",IF(N(C173)=0,1,C173))</f>
        <v/>
      </c>
      <c r="H173" s="53" t="n">
        <v>153</v>
      </c>
      <c r="I173" s="67" t="n"/>
      <c r="J173" s="55" t="n"/>
      <c r="K173" s="68" t="n"/>
      <c r="L173" s="68" t="n"/>
      <c r="M173" s="59">
        <f>IF(OR(L173="",K173=""),"",MAX(L173-K173,0))</f>
        <v/>
      </c>
      <c r="N173" s="59">
        <f>IF(M173="","",IF(N(J173)=0,1,J173))</f>
        <v/>
      </c>
    </row>
    <row r="174">
      <c r="A174" s="53" t="n">
        <v>154</v>
      </c>
      <c r="B174" s="67" t="n"/>
      <c r="C174" s="55" t="n"/>
      <c r="D174" s="68" t="n"/>
      <c r="E174" s="68" t="n"/>
      <c r="F174" s="59">
        <f>IF(OR(E174="",D174=""),"",MAX(E174-D174,0))</f>
        <v/>
      </c>
      <c r="G174" s="59">
        <f>IF(F174="","",IF(N(C174)=0,1,C174))</f>
        <v/>
      </c>
      <c r="H174" s="53" t="n">
        <v>154</v>
      </c>
      <c r="I174" s="67" t="n"/>
      <c r="J174" s="55" t="n"/>
      <c r="K174" s="68" t="n"/>
      <c r="L174" s="68" t="n"/>
      <c r="M174" s="59">
        <f>IF(OR(L174="",K174=""),"",MAX(L174-K174,0))</f>
        <v/>
      </c>
      <c r="N174" s="59">
        <f>IF(M174="","",IF(N(J174)=0,1,J174))</f>
        <v/>
      </c>
    </row>
    <row r="175">
      <c r="A175" s="53" t="n">
        <v>155</v>
      </c>
      <c r="B175" s="67" t="n"/>
      <c r="C175" s="55" t="n"/>
      <c r="D175" s="68" t="n"/>
      <c r="E175" s="68" t="n"/>
      <c r="F175" s="59">
        <f>IF(OR(E175="",D175=""),"",MAX(E175-D175,0))</f>
        <v/>
      </c>
      <c r="G175" s="59">
        <f>IF(F175="","",IF(N(C175)=0,1,C175))</f>
        <v/>
      </c>
      <c r="H175" s="53" t="n">
        <v>155</v>
      </c>
      <c r="I175" s="67" t="n"/>
      <c r="J175" s="55" t="n"/>
      <c r="K175" s="68" t="n"/>
      <c r="L175" s="68" t="n"/>
      <c r="M175" s="59">
        <f>IF(OR(L175="",K175=""),"",MAX(L175-K175,0))</f>
        <v/>
      </c>
      <c r="N175" s="59">
        <f>IF(M175="","",IF(N(J175)=0,1,J175))</f>
        <v/>
      </c>
    </row>
    <row r="176">
      <c r="A176" s="53" t="n">
        <v>156</v>
      </c>
      <c r="B176" s="67" t="n"/>
      <c r="C176" s="55" t="n"/>
      <c r="D176" s="68" t="n"/>
      <c r="E176" s="68" t="n"/>
      <c r="F176" s="59">
        <f>IF(OR(E176="",D176=""),"",MAX(E176-D176,0))</f>
        <v/>
      </c>
      <c r="G176" s="59">
        <f>IF(F176="","",IF(N(C176)=0,1,C176))</f>
        <v/>
      </c>
      <c r="H176" s="53" t="n">
        <v>156</v>
      </c>
      <c r="I176" s="67" t="n"/>
      <c r="J176" s="55" t="n"/>
      <c r="K176" s="68" t="n"/>
      <c r="L176" s="68" t="n"/>
      <c r="M176" s="59">
        <f>IF(OR(L176="",K176=""),"",MAX(L176-K176,0))</f>
        <v/>
      </c>
      <c r="N176" s="59">
        <f>IF(M176="","",IF(N(J176)=0,1,J176))</f>
        <v/>
      </c>
    </row>
    <row r="177">
      <c r="A177" s="53" t="n">
        <v>157</v>
      </c>
      <c r="B177" s="67" t="n"/>
      <c r="C177" s="55" t="n"/>
      <c r="D177" s="68" t="n"/>
      <c r="E177" s="68" t="n"/>
      <c r="F177" s="59">
        <f>IF(OR(E177="",D177=""),"",MAX(E177-D177,0))</f>
        <v/>
      </c>
      <c r="G177" s="59">
        <f>IF(F177="","",IF(N(C177)=0,1,C177))</f>
        <v/>
      </c>
      <c r="H177" s="53" t="n">
        <v>157</v>
      </c>
      <c r="I177" s="67" t="n"/>
      <c r="J177" s="55" t="n"/>
      <c r="K177" s="68" t="n"/>
      <c r="L177" s="68" t="n"/>
      <c r="M177" s="59">
        <f>IF(OR(L177="",K177=""),"",MAX(L177-K177,0))</f>
        <v/>
      </c>
      <c r="N177" s="59">
        <f>IF(M177="","",IF(N(J177)=0,1,J177))</f>
        <v/>
      </c>
    </row>
    <row r="178">
      <c r="A178" s="53" t="n">
        <v>158</v>
      </c>
      <c r="B178" s="67" t="n"/>
      <c r="C178" s="55" t="n"/>
      <c r="D178" s="68" t="n"/>
      <c r="E178" s="68" t="n"/>
      <c r="F178" s="59">
        <f>IF(OR(E178="",D178=""),"",MAX(E178-D178,0))</f>
        <v/>
      </c>
      <c r="G178" s="59">
        <f>IF(F178="","",IF(N(C178)=0,1,C178))</f>
        <v/>
      </c>
      <c r="H178" s="53" t="n">
        <v>158</v>
      </c>
      <c r="I178" s="67" t="n"/>
      <c r="J178" s="55" t="n"/>
      <c r="K178" s="68" t="n"/>
      <c r="L178" s="68" t="n"/>
      <c r="M178" s="59">
        <f>IF(OR(L178="",K178=""),"",MAX(L178-K178,0))</f>
        <v/>
      </c>
      <c r="N178" s="59">
        <f>IF(M178="","",IF(N(J178)=0,1,J178))</f>
        <v/>
      </c>
    </row>
    <row r="179">
      <c r="A179" s="53" t="n">
        <v>159</v>
      </c>
      <c r="B179" s="67" t="n"/>
      <c r="C179" s="55" t="n"/>
      <c r="D179" s="68" t="n"/>
      <c r="E179" s="68" t="n"/>
      <c r="F179" s="59">
        <f>IF(OR(E179="",D179=""),"",MAX(E179-D179,0))</f>
        <v/>
      </c>
      <c r="G179" s="59">
        <f>IF(F179="","",IF(N(C179)=0,1,C179))</f>
        <v/>
      </c>
      <c r="H179" s="53" t="n">
        <v>159</v>
      </c>
      <c r="I179" s="67" t="n"/>
      <c r="J179" s="55" t="n"/>
      <c r="K179" s="68" t="n"/>
      <c r="L179" s="68" t="n"/>
      <c r="M179" s="59">
        <f>IF(OR(L179="",K179=""),"",MAX(L179-K179,0))</f>
        <v/>
      </c>
      <c r="N179" s="59">
        <f>IF(M179="","",IF(N(J179)=0,1,J179))</f>
        <v/>
      </c>
    </row>
    <row r="180">
      <c r="A180" s="53" t="n">
        <v>160</v>
      </c>
      <c r="B180" s="67" t="n"/>
      <c r="C180" s="55" t="n"/>
      <c r="D180" s="68" t="n"/>
      <c r="E180" s="68" t="n"/>
      <c r="F180" s="59">
        <f>IF(OR(E180="",D180=""),"",MAX(E180-D180,0))</f>
        <v/>
      </c>
      <c r="G180" s="59">
        <f>IF(F180="","",IF(N(C180)=0,1,C180))</f>
        <v/>
      </c>
      <c r="H180" s="53" t="n">
        <v>160</v>
      </c>
      <c r="I180" s="67" t="n"/>
      <c r="J180" s="55" t="n"/>
      <c r="K180" s="68" t="n"/>
      <c r="L180" s="68" t="n"/>
      <c r="M180" s="59">
        <f>IF(OR(L180="",K180=""),"",MAX(L180-K180,0))</f>
        <v/>
      </c>
      <c r="N180" s="59">
        <f>IF(M180="","",IF(N(J180)=0,1,J180))</f>
        <v/>
      </c>
    </row>
    <row r="181">
      <c r="A181" s="53" t="n">
        <v>161</v>
      </c>
      <c r="B181" s="67" t="n"/>
      <c r="C181" s="55" t="n"/>
      <c r="D181" s="68" t="n"/>
      <c r="E181" s="68" t="n"/>
      <c r="F181" s="59">
        <f>IF(OR(E181="",D181=""),"",MAX(E181-D181,0))</f>
        <v/>
      </c>
      <c r="G181" s="59">
        <f>IF(F181="","",IF(N(C181)=0,1,C181))</f>
        <v/>
      </c>
      <c r="H181" s="53" t="n">
        <v>161</v>
      </c>
      <c r="I181" s="67" t="n"/>
      <c r="J181" s="55" t="n"/>
      <c r="K181" s="68" t="n"/>
      <c r="L181" s="68" t="n"/>
      <c r="M181" s="59">
        <f>IF(OR(L181="",K181=""),"",MAX(L181-K181,0))</f>
        <v/>
      </c>
      <c r="N181" s="59">
        <f>IF(M181="","",IF(N(J181)=0,1,J181))</f>
        <v/>
      </c>
    </row>
    <row r="182">
      <c r="A182" s="53" t="n">
        <v>162</v>
      </c>
      <c r="B182" s="67" t="n"/>
      <c r="C182" s="55" t="n"/>
      <c r="D182" s="68" t="n"/>
      <c r="E182" s="68" t="n"/>
      <c r="F182" s="59">
        <f>IF(OR(E182="",D182=""),"",MAX(E182-D182,0))</f>
        <v/>
      </c>
      <c r="G182" s="59">
        <f>IF(F182="","",IF(N(C182)=0,1,C182))</f>
        <v/>
      </c>
      <c r="H182" s="53" t="n">
        <v>162</v>
      </c>
      <c r="I182" s="67" t="n"/>
      <c r="J182" s="55" t="n"/>
      <c r="K182" s="68" t="n"/>
      <c r="L182" s="68" t="n"/>
      <c r="M182" s="59">
        <f>IF(OR(L182="",K182=""),"",MAX(L182-K182,0))</f>
        <v/>
      </c>
      <c r="N182" s="59">
        <f>IF(M182="","",IF(N(J182)=0,1,J182))</f>
        <v/>
      </c>
    </row>
    <row r="183">
      <c r="A183" s="53" t="n">
        <v>163</v>
      </c>
      <c r="B183" s="67" t="n"/>
      <c r="C183" s="55" t="n"/>
      <c r="D183" s="68" t="n"/>
      <c r="E183" s="68" t="n"/>
      <c r="F183" s="59">
        <f>IF(OR(E183="",D183=""),"",MAX(E183-D183,0))</f>
        <v/>
      </c>
      <c r="G183" s="59">
        <f>IF(F183="","",IF(N(C183)=0,1,C183))</f>
        <v/>
      </c>
      <c r="H183" s="53" t="n">
        <v>163</v>
      </c>
      <c r="I183" s="67" t="n"/>
      <c r="J183" s="55" t="n"/>
      <c r="K183" s="68" t="n"/>
      <c r="L183" s="68" t="n"/>
      <c r="M183" s="59">
        <f>IF(OR(L183="",K183=""),"",MAX(L183-K183,0))</f>
        <v/>
      </c>
      <c r="N183" s="59">
        <f>IF(M183="","",IF(N(J183)=0,1,J183))</f>
        <v/>
      </c>
    </row>
    <row r="184">
      <c r="A184" s="53" t="n">
        <v>164</v>
      </c>
      <c r="B184" s="67" t="n"/>
      <c r="C184" s="55" t="n"/>
      <c r="D184" s="68" t="n"/>
      <c r="E184" s="68" t="n"/>
      <c r="F184" s="59">
        <f>IF(OR(E184="",D184=""),"",MAX(E184-D184,0))</f>
        <v/>
      </c>
      <c r="G184" s="59">
        <f>IF(F184="","",IF(N(C184)=0,1,C184))</f>
        <v/>
      </c>
      <c r="H184" s="53" t="n">
        <v>164</v>
      </c>
      <c r="I184" s="67" t="n"/>
      <c r="J184" s="55" t="n"/>
      <c r="K184" s="68" t="n"/>
      <c r="L184" s="68" t="n"/>
      <c r="M184" s="59">
        <f>IF(OR(L184="",K184=""),"",MAX(L184-K184,0))</f>
        <v/>
      </c>
      <c r="N184" s="59">
        <f>IF(M184="","",IF(N(J184)=0,1,J184))</f>
        <v/>
      </c>
    </row>
    <row r="185">
      <c r="A185" s="53" t="n">
        <v>165</v>
      </c>
      <c r="B185" s="67" t="n"/>
      <c r="C185" s="55" t="n"/>
      <c r="D185" s="68" t="n"/>
      <c r="E185" s="68" t="n"/>
      <c r="F185" s="59">
        <f>IF(OR(E185="",D185=""),"",MAX(E185-D185,0))</f>
        <v/>
      </c>
      <c r="G185" s="59">
        <f>IF(F185="","",IF(N(C185)=0,1,C185))</f>
        <v/>
      </c>
      <c r="H185" s="53" t="n">
        <v>165</v>
      </c>
      <c r="I185" s="67" t="n"/>
      <c r="J185" s="55" t="n"/>
      <c r="K185" s="68" t="n"/>
      <c r="L185" s="68" t="n"/>
      <c r="M185" s="59">
        <f>IF(OR(L185="",K185=""),"",MAX(L185-K185,0))</f>
        <v/>
      </c>
      <c r="N185" s="59">
        <f>IF(M185="","",IF(N(J185)=0,1,J185))</f>
        <v/>
      </c>
    </row>
    <row r="186">
      <c r="A186" s="53" t="n">
        <v>166</v>
      </c>
      <c r="B186" s="67" t="n"/>
      <c r="C186" s="55" t="n"/>
      <c r="D186" s="68" t="n"/>
      <c r="E186" s="68" t="n"/>
      <c r="F186" s="59">
        <f>IF(OR(E186="",D186=""),"",MAX(E186-D186,0))</f>
        <v/>
      </c>
      <c r="G186" s="59">
        <f>IF(F186="","",IF(N(C186)=0,1,C186))</f>
        <v/>
      </c>
      <c r="H186" s="53" t="n">
        <v>166</v>
      </c>
      <c r="I186" s="67" t="n"/>
      <c r="J186" s="55" t="n"/>
      <c r="K186" s="68" t="n"/>
      <c r="L186" s="68" t="n"/>
      <c r="M186" s="59">
        <f>IF(OR(L186="",K186=""),"",MAX(L186-K186,0))</f>
        <v/>
      </c>
      <c r="N186" s="59">
        <f>IF(M186="","",IF(N(J186)=0,1,J186))</f>
        <v/>
      </c>
    </row>
    <row r="187">
      <c r="A187" s="53" t="n">
        <v>167</v>
      </c>
      <c r="B187" s="67" t="n"/>
      <c r="C187" s="55" t="n"/>
      <c r="D187" s="68" t="n"/>
      <c r="E187" s="68" t="n"/>
      <c r="F187" s="59">
        <f>IF(OR(E187="",D187=""),"",MAX(E187-D187,0))</f>
        <v/>
      </c>
      <c r="G187" s="59">
        <f>IF(F187="","",IF(N(C187)=0,1,C187))</f>
        <v/>
      </c>
      <c r="H187" s="53" t="n">
        <v>167</v>
      </c>
      <c r="I187" s="67" t="n"/>
      <c r="J187" s="55" t="n"/>
      <c r="K187" s="68" t="n"/>
      <c r="L187" s="68" t="n"/>
      <c r="M187" s="59">
        <f>IF(OR(L187="",K187=""),"",MAX(L187-K187,0))</f>
        <v/>
      </c>
      <c r="N187" s="59">
        <f>IF(M187="","",IF(N(J187)=0,1,J187))</f>
        <v/>
      </c>
    </row>
    <row r="188">
      <c r="A188" s="53" t="n">
        <v>168</v>
      </c>
      <c r="B188" s="67" t="n"/>
      <c r="C188" s="55" t="n"/>
      <c r="D188" s="68" t="n"/>
      <c r="E188" s="68" t="n"/>
      <c r="F188" s="59">
        <f>IF(OR(E188="",D188=""),"",MAX(E188-D188,0))</f>
        <v/>
      </c>
      <c r="G188" s="59">
        <f>IF(F188="","",IF(N(C188)=0,1,C188))</f>
        <v/>
      </c>
      <c r="H188" s="53" t="n">
        <v>168</v>
      </c>
      <c r="I188" s="67" t="n"/>
      <c r="J188" s="55" t="n"/>
      <c r="K188" s="68" t="n"/>
      <c r="L188" s="68" t="n"/>
      <c r="M188" s="59">
        <f>IF(OR(L188="",K188=""),"",MAX(L188-K188,0))</f>
        <v/>
      </c>
      <c r="N188" s="59">
        <f>IF(M188="","",IF(N(J188)=0,1,J188))</f>
        <v/>
      </c>
    </row>
    <row r="189">
      <c r="A189" s="53" t="n">
        <v>169</v>
      </c>
      <c r="B189" s="67" t="n"/>
      <c r="C189" s="55" t="n"/>
      <c r="D189" s="68" t="n"/>
      <c r="E189" s="68" t="n"/>
      <c r="F189" s="59">
        <f>IF(OR(E189="",D189=""),"",MAX(E189-D189,0))</f>
        <v/>
      </c>
      <c r="G189" s="59">
        <f>IF(F189="","",IF(N(C189)=0,1,C189))</f>
        <v/>
      </c>
      <c r="H189" s="53" t="n">
        <v>169</v>
      </c>
      <c r="I189" s="67" t="n"/>
      <c r="J189" s="55" t="n"/>
      <c r="K189" s="68" t="n"/>
      <c r="L189" s="68" t="n"/>
      <c r="M189" s="59">
        <f>IF(OR(L189="",K189=""),"",MAX(L189-K189,0))</f>
        <v/>
      </c>
      <c r="N189" s="59">
        <f>IF(M189="","",IF(N(J189)=0,1,J189))</f>
        <v/>
      </c>
    </row>
    <row r="190">
      <c r="A190" s="53" t="n">
        <v>170</v>
      </c>
      <c r="B190" s="67" t="n"/>
      <c r="C190" s="55" t="n"/>
      <c r="D190" s="68" t="n"/>
      <c r="E190" s="68" t="n"/>
      <c r="F190" s="59">
        <f>IF(OR(E190="",D190=""),"",MAX(E190-D190,0))</f>
        <v/>
      </c>
      <c r="G190" s="59">
        <f>IF(F190="","",IF(N(C190)=0,1,C190))</f>
        <v/>
      </c>
      <c r="H190" s="53" t="n">
        <v>170</v>
      </c>
      <c r="I190" s="67" t="n"/>
      <c r="J190" s="55" t="n"/>
      <c r="K190" s="68" t="n"/>
      <c r="L190" s="68" t="n"/>
      <c r="M190" s="59">
        <f>IF(OR(L190="",K190=""),"",MAX(L190-K190,0))</f>
        <v/>
      </c>
      <c r="N190" s="59">
        <f>IF(M190="","",IF(N(J190)=0,1,J190))</f>
        <v/>
      </c>
    </row>
    <row r="191">
      <c r="A191" s="53" t="n">
        <v>171</v>
      </c>
      <c r="B191" s="67" t="n"/>
      <c r="C191" s="55" t="n"/>
      <c r="D191" s="68" t="n"/>
      <c r="E191" s="68" t="n"/>
      <c r="F191" s="59">
        <f>IF(OR(E191="",D191=""),"",MAX(E191-D191,0))</f>
        <v/>
      </c>
      <c r="G191" s="59">
        <f>IF(F191="","",IF(N(C191)=0,1,C191))</f>
        <v/>
      </c>
      <c r="H191" s="53" t="n">
        <v>171</v>
      </c>
      <c r="I191" s="67" t="n"/>
      <c r="J191" s="55" t="n"/>
      <c r="K191" s="68" t="n"/>
      <c r="L191" s="68" t="n"/>
      <c r="M191" s="59">
        <f>IF(OR(L191="",K191=""),"",MAX(L191-K191,0))</f>
        <v/>
      </c>
      <c r="N191" s="59">
        <f>IF(M191="","",IF(N(J191)=0,1,J191))</f>
        <v/>
      </c>
    </row>
    <row r="192">
      <c r="A192" s="53" t="n">
        <v>172</v>
      </c>
      <c r="B192" s="67" t="n"/>
      <c r="C192" s="55" t="n"/>
      <c r="D192" s="68" t="n"/>
      <c r="E192" s="68" t="n"/>
      <c r="F192" s="59">
        <f>IF(OR(E192="",D192=""),"",MAX(E192-D192,0))</f>
        <v/>
      </c>
      <c r="G192" s="59">
        <f>IF(F192="","",IF(N(C192)=0,1,C192))</f>
        <v/>
      </c>
      <c r="H192" s="53" t="n">
        <v>172</v>
      </c>
      <c r="I192" s="67" t="n"/>
      <c r="J192" s="55" t="n"/>
      <c r="K192" s="68" t="n"/>
      <c r="L192" s="68" t="n"/>
      <c r="M192" s="59">
        <f>IF(OR(L192="",K192=""),"",MAX(L192-K192,0))</f>
        <v/>
      </c>
      <c r="N192" s="59">
        <f>IF(M192="","",IF(N(J192)=0,1,J192))</f>
        <v/>
      </c>
    </row>
    <row r="193">
      <c r="A193" s="53" t="n">
        <v>173</v>
      </c>
      <c r="B193" s="67" t="n"/>
      <c r="C193" s="55" t="n"/>
      <c r="D193" s="68" t="n"/>
      <c r="E193" s="68" t="n"/>
      <c r="F193" s="59">
        <f>IF(OR(E193="",D193=""),"",MAX(E193-D193,0))</f>
        <v/>
      </c>
      <c r="G193" s="59">
        <f>IF(F193="","",IF(N(C193)=0,1,C193))</f>
        <v/>
      </c>
      <c r="H193" s="53" t="n">
        <v>173</v>
      </c>
      <c r="I193" s="67" t="n"/>
      <c r="J193" s="55" t="n"/>
      <c r="K193" s="68" t="n"/>
      <c r="L193" s="68" t="n"/>
      <c r="M193" s="59">
        <f>IF(OR(L193="",K193=""),"",MAX(L193-K193,0))</f>
        <v/>
      </c>
      <c r="N193" s="59">
        <f>IF(M193="","",IF(N(J193)=0,1,J193))</f>
        <v/>
      </c>
    </row>
    <row r="194">
      <c r="A194" s="53" t="n">
        <v>174</v>
      </c>
      <c r="B194" s="67" t="n"/>
      <c r="C194" s="55" t="n"/>
      <c r="D194" s="68" t="n"/>
      <c r="E194" s="68" t="n"/>
      <c r="F194" s="59">
        <f>IF(OR(E194="",D194=""),"",MAX(E194-D194,0))</f>
        <v/>
      </c>
      <c r="G194" s="59">
        <f>IF(F194="","",IF(N(C194)=0,1,C194))</f>
        <v/>
      </c>
      <c r="H194" s="53" t="n">
        <v>174</v>
      </c>
      <c r="I194" s="67" t="n"/>
      <c r="J194" s="55" t="n"/>
      <c r="K194" s="68" t="n"/>
      <c r="L194" s="68" t="n"/>
      <c r="M194" s="59">
        <f>IF(OR(L194="",K194=""),"",MAX(L194-K194,0))</f>
        <v/>
      </c>
      <c r="N194" s="59">
        <f>IF(M194="","",IF(N(J194)=0,1,J194))</f>
        <v/>
      </c>
    </row>
    <row r="195">
      <c r="A195" s="53" t="n">
        <v>175</v>
      </c>
      <c r="B195" s="67" t="n"/>
      <c r="C195" s="55" t="n"/>
      <c r="D195" s="68" t="n"/>
      <c r="E195" s="68" t="n"/>
      <c r="F195" s="59">
        <f>IF(OR(E195="",D195=""),"",MAX(E195-D195,0))</f>
        <v/>
      </c>
      <c r="G195" s="59">
        <f>IF(F195="","",IF(N(C195)=0,1,C195))</f>
        <v/>
      </c>
      <c r="H195" s="53" t="n">
        <v>175</v>
      </c>
      <c r="I195" s="67" t="n"/>
      <c r="J195" s="55" t="n"/>
      <c r="K195" s="68" t="n"/>
      <c r="L195" s="68" t="n"/>
      <c r="M195" s="59">
        <f>IF(OR(L195="",K195=""),"",MAX(L195-K195,0))</f>
        <v/>
      </c>
      <c r="N195" s="59">
        <f>IF(M195="","",IF(N(J195)=0,1,J195))</f>
        <v/>
      </c>
    </row>
    <row r="196">
      <c r="A196" s="53" t="n">
        <v>176</v>
      </c>
      <c r="B196" s="67" t="n"/>
      <c r="C196" s="55" t="n"/>
      <c r="D196" s="68" t="n"/>
      <c r="E196" s="68" t="n"/>
      <c r="F196" s="59">
        <f>IF(OR(E196="",D196=""),"",MAX(E196-D196,0))</f>
        <v/>
      </c>
      <c r="G196" s="59">
        <f>IF(F196="","",IF(N(C196)=0,1,C196))</f>
        <v/>
      </c>
      <c r="H196" s="53" t="n">
        <v>176</v>
      </c>
      <c r="I196" s="67" t="n"/>
      <c r="J196" s="55" t="n"/>
      <c r="K196" s="68" t="n"/>
      <c r="L196" s="68" t="n"/>
      <c r="M196" s="59">
        <f>IF(OR(L196="",K196=""),"",MAX(L196-K196,0))</f>
        <v/>
      </c>
      <c r="N196" s="59">
        <f>IF(M196="","",IF(N(J196)=0,1,J196))</f>
        <v/>
      </c>
    </row>
    <row r="197">
      <c r="A197" s="53" t="n">
        <v>177</v>
      </c>
      <c r="B197" s="67" t="n"/>
      <c r="C197" s="55" t="n"/>
      <c r="D197" s="68" t="n"/>
      <c r="E197" s="68" t="n"/>
      <c r="F197" s="59">
        <f>IF(OR(E197="",D197=""),"",MAX(E197-D197,0))</f>
        <v/>
      </c>
      <c r="G197" s="59">
        <f>IF(F197="","",IF(N(C197)=0,1,C197))</f>
        <v/>
      </c>
      <c r="H197" s="53" t="n">
        <v>177</v>
      </c>
      <c r="I197" s="67" t="n"/>
      <c r="J197" s="55" t="n"/>
      <c r="K197" s="68" t="n"/>
      <c r="L197" s="68" t="n"/>
      <c r="M197" s="59">
        <f>IF(OR(L197="",K197=""),"",MAX(L197-K197,0))</f>
        <v/>
      </c>
      <c r="N197" s="59">
        <f>IF(M197="","",IF(N(J197)=0,1,J197))</f>
        <v/>
      </c>
    </row>
    <row r="198">
      <c r="A198" s="53" t="n">
        <v>178</v>
      </c>
      <c r="B198" s="67" t="n"/>
      <c r="C198" s="55" t="n"/>
      <c r="D198" s="68" t="n"/>
      <c r="E198" s="68" t="n"/>
      <c r="F198" s="59">
        <f>IF(OR(E198="",D198=""),"",MAX(E198-D198,0))</f>
        <v/>
      </c>
      <c r="G198" s="59">
        <f>IF(F198="","",IF(N(C198)=0,1,C198))</f>
        <v/>
      </c>
      <c r="H198" s="53" t="n">
        <v>178</v>
      </c>
      <c r="I198" s="67" t="n"/>
      <c r="J198" s="55" t="n"/>
      <c r="K198" s="68" t="n"/>
      <c r="L198" s="68" t="n"/>
      <c r="M198" s="59">
        <f>IF(OR(L198="",K198=""),"",MAX(L198-K198,0))</f>
        <v/>
      </c>
      <c r="N198" s="59">
        <f>IF(M198="","",IF(N(J198)=0,1,J198))</f>
        <v/>
      </c>
    </row>
    <row r="199">
      <c r="A199" s="53" t="n">
        <v>179</v>
      </c>
      <c r="B199" s="67" t="n"/>
      <c r="C199" s="55" t="n"/>
      <c r="D199" s="68" t="n"/>
      <c r="E199" s="68" t="n"/>
      <c r="F199" s="59">
        <f>IF(OR(E199="",D199=""),"",MAX(E199-D199,0))</f>
        <v/>
      </c>
      <c r="G199" s="59">
        <f>IF(F199="","",IF(N(C199)=0,1,C199))</f>
        <v/>
      </c>
      <c r="H199" s="53" t="n">
        <v>179</v>
      </c>
      <c r="I199" s="67" t="n"/>
      <c r="J199" s="55" t="n"/>
      <c r="K199" s="68" t="n"/>
      <c r="L199" s="68" t="n"/>
      <c r="M199" s="59">
        <f>IF(OR(L199="",K199=""),"",MAX(L199-K199,0))</f>
        <v/>
      </c>
      <c r="N199" s="59">
        <f>IF(M199="","",IF(N(J199)=0,1,J199))</f>
        <v/>
      </c>
    </row>
    <row r="200">
      <c r="A200" s="53" t="n">
        <v>180</v>
      </c>
      <c r="B200" s="67" t="n"/>
      <c r="C200" s="55" t="n"/>
      <c r="D200" s="68" t="n"/>
      <c r="E200" s="68" t="n"/>
      <c r="F200" s="59">
        <f>IF(OR(E200="",D200=""),"",MAX(E200-D200,0))</f>
        <v/>
      </c>
      <c r="G200" s="59">
        <f>IF(F200="","",IF(N(C200)=0,1,C200))</f>
        <v/>
      </c>
      <c r="H200" s="53" t="n">
        <v>180</v>
      </c>
      <c r="I200" s="67" t="n"/>
      <c r="J200" s="55" t="n"/>
      <c r="K200" s="68" t="n"/>
      <c r="L200" s="68" t="n"/>
      <c r="M200" s="59">
        <f>IF(OR(L200="",K200=""),"",MAX(L200-K200,0))</f>
        <v/>
      </c>
      <c r="N200" s="59">
        <f>IF(M200="","",IF(N(J200)=0,1,J200))</f>
        <v/>
      </c>
    </row>
    <row r="201">
      <c r="A201" s="53" t="n">
        <v>181</v>
      </c>
      <c r="B201" s="67" t="n"/>
      <c r="C201" s="55" t="n"/>
      <c r="D201" s="68" t="n"/>
      <c r="E201" s="68" t="n"/>
      <c r="F201" s="59">
        <f>IF(OR(E201="",D201=""),"",MAX(E201-D201,0))</f>
        <v/>
      </c>
      <c r="G201" s="59">
        <f>IF(F201="","",IF(N(C201)=0,1,C201))</f>
        <v/>
      </c>
      <c r="H201" s="53" t="n">
        <v>181</v>
      </c>
      <c r="I201" s="67" t="n"/>
      <c r="J201" s="55" t="n"/>
      <c r="K201" s="68" t="n"/>
      <c r="L201" s="68" t="n"/>
      <c r="M201" s="59">
        <f>IF(OR(L201="",K201=""),"",MAX(L201-K201,0))</f>
        <v/>
      </c>
      <c r="N201" s="59">
        <f>IF(M201="","",IF(N(J201)=0,1,J201))</f>
        <v/>
      </c>
    </row>
    <row r="202">
      <c r="A202" s="53" t="n">
        <v>182</v>
      </c>
      <c r="B202" s="67" t="n"/>
      <c r="C202" s="55" t="n"/>
      <c r="D202" s="68" t="n"/>
      <c r="E202" s="68" t="n"/>
      <c r="F202" s="59">
        <f>IF(OR(E202="",D202=""),"",MAX(E202-D202,0))</f>
        <v/>
      </c>
      <c r="G202" s="59">
        <f>IF(F202="","",IF(N(C202)=0,1,C202))</f>
        <v/>
      </c>
      <c r="H202" s="53" t="n">
        <v>182</v>
      </c>
      <c r="I202" s="67" t="n"/>
      <c r="J202" s="55" t="n"/>
      <c r="K202" s="68" t="n"/>
      <c r="L202" s="68" t="n"/>
      <c r="M202" s="59">
        <f>IF(OR(L202="",K202=""),"",MAX(L202-K202,0))</f>
        <v/>
      </c>
      <c r="N202" s="59">
        <f>IF(M202="","",IF(N(J202)=0,1,J202))</f>
        <v/>
      </c>
    </row>
    <row r="203">
      <c r="A203" s="53" t="n">
        <v>183</v>
      </c>
      <c r="B203" s="67" t="n"/>
      <c r="C203" s="55" t="n"/>
      <c r="D203" s="68" t="n"/>
      <c r="E203" s="68" t="n"/>
      <c r="F203" s="59">
        <f>IF(OR(E203="",D203=""),"",MAX(E203-D203,0))</f>
        <v/>
      </c>
      <c r="G203" s="59">
        <f>IF(F203="","",IF(N(C203)=0,1,C203))</f>
        <v/>
      </c>
      <c r="H203" s="53" t="n">
        <v>183</v>
      </c>
      <c r="I203" s="67" t="n"/>
      <c r="J203" s="55" t="n"/>
      <c r="K203" s="68" t="n"/>
      <c r="L203" s="68" t="n"/>
      <c r="M203" s="59">
        <f>IF(OR(L203="",K203=""),"",MAX(L203-K203,0))</f>
        <v/>
      </c>
      <c r="N203" s="59">
        <f>IF(M203="","",IF(N(J203)=0,1,J203))</f>
        <v/>
      </c>
    </row>
    <row r="204">
      <c r="A204" s="53" t="n">
        <v>184</v>
      </c>
      <c r="B204" s="67" t="n"/>
      <c r="C204" s="55" t="n"/>
      <c r="D204" s="68" t="n"/>
      <c r="E204" s="68" t="n"/>
      <c r="F204" s="59">
        <f>IF(OR(E204="",D204=""),"",MAX(E204-D204,0))</f>
        <v/>
      </c>
      <c r="G204" s="59">
        <f>IF(F204="","",IF(N(C204)=0,1,C204))</f>
        <v/>
      </c>
      <c r="H204" s="53" t="n">
        <v>184</v>
      </c>
      <c r="I204" s="67" t="n"/>
      <c r="J204" s="55" t="n"/>
      <c r="K204" s="68" t="n"/>
      <c r="L204" s="68" t="n"/>
      <c r="M204" s="59">
        <f>IF(OR(L204="",K204=""),"",MAX(L204-K204,0))</f>
        <v/>
      </c>
      <c r="N204" s="59">
        <f>IF(M204="","",IF(N(J204)=0,1,J204))</f>
        <v/>
      </c>
    </row>
    <row r="205">
      <c r="A205" s="53" t="n">
        <v>185</v>
      </c>
      <c r="B205" s="67" t="n"/>
      <c r="C205" s="55" t="n"/>
      <c r="D205" s="68" t="n"/>
      <c r="E205" s="68" t="n"/>
      <c r="F205" s="59">
        <f>IF(OR(E205="",D205=""),"",MAX(E205-D205,0))</f>
        <v/>
      </c>
      <c r="G205" s="59">
        <f>IF(F205="","",IF(N(C205)=0,1,C205))</f>
        <v/>
      </c>
      <c r="H205" s="53" t="n">
        <v>185</v>
      </c>
      <c r="I205" s="67" t="n"/>
      <c r="J205" s="55" t="n"/>
      <c r="K205" s="68" t="n"/>
      <c r="L205" s="68" t="n"/>
      <c r="M205" s="59">
        <f>IF(OR(L205="",K205=""),"",MAX(L205-K205,0))</f>
        <v/>
      </c>
      <c r="N205" s="59">
        <f>IF(M205="","",IF(N(J205)=0,1,J205))</f>
        <v/>
      </c>
    </row>
    <row r="206">
      <c r="A206" s="53" t="n">
        <v>186</v>
      </c>
      <c r="B206" s="67" t="n"/>
      <c r="C206" s="55" t="n"/>
      <c r="D206" s="68" t="n"/>
      <c r="E206" s="68" t="n"/>
      <c r="F206" s="59">
        <f>IF(OR(E206="",D206=""),"",MAX(E206-D206,0))</f>
        <v/>
      </c>
      <c r="G206" s="59">
        <f>IF(F206="","",IF(N(C206)=0,1,C206))</f>
        <v/>
      </c>
      <c r="H206" s="53" t="n">
        <v>186</v>
      </c>
      <c r="I206" s="67" t="n"/>
      <c r="J206" s="55" t="n"/>
      <c r="K206" s="68" t="n"/>
      <c r="L206" s="68" t="n"/>
      <c r="M206" s="59">
        <f>IF(OR(L206="",K206=""),"",MAX(L206-K206,0))</f>
        <v/>
      </c>
      <c r="N206" s="59">
        <f>IF(M206="","",IF(N(J206)=0,1,J206))</f>
        <v/>
      </c>
    </row>
    <row r="207">
      <c r="A207" s="53" t="n">
        <v>187</v>
      </c>
      <c r="B207" s="67" t="n"/>
      <c r="C207" s="55" t="n"/>
      <c r="D207" s="68" t="n"/>
      <c r="E207" s="68" t="n"/>
      <c r="F207" s="59">
        <f>IF(OR(E207="",D207=""),"",MAX(E207-D207,0))</f>
        <v/>
      </c>
      <c r="G207" s="59">
        <f>IF(F207="","",IF(N(C207)=0,1,C207))</f>
        <v/>
      </c>
      <c r="H207" s="53" t="n">
        <v>187</v>
      </c>
      <c r="I207" s="67" t="n"/>
      <c r="J207" s="55" t="n"/>
      <c r="K207" s="68" t="n"/>
      <c r="L207" s="68" t="n"/>
      <c r="M207" s="59">
        <f>IF(OR(L207="",K207=""),"",MAX(L207-K207,0))</f>
        <v/>
      </c>
      <c r="N207" s="59">
        <f>IF(M207="","",IF(N(J207)=0,1,J207))</f>
        <v/>
      </c>
    </row>
    <row r="208">
      <c r="A208" s="53" t="n">
        <v>188</v>
      </c>
      <c r="B208" s="67" t="n"/>
      <c r="C208" s="55" t="n"/>
      <c r="D208" s="68" t="n"/>
      <c r="E208" s="68" t="n"/>
      <c r="F208" s="59">
        <f>IF(OR(E208="",D208=""),"",MAX(E208-D208,0))</f>
        <v/>
      </c>
      <c r="G208" s="59">
        <f>IF(F208="","",IF(N(C208)=0,1,C208))</f>
        <v/>
      </c>
      <c r="H208" s="53" t="n">
        <v>188</v>
      </c>
      <c r="I208" s="67" t="n"/>
      <c r="J208" s="55" t="n"/>
      <c r="K208" s="68" t="n"/>
      <c r="L208" s="68" t="n"/>
      <c r="M208" s="59">
        <f>IF(OR(L208="",K208=""),"",MAX(L208-K208,0))</f>
        <v/>
      </c>
      <c r="N208" s="59">
        <f>IF(M208="","",IF(N(J208)=0,1,J208))</f>
        <v/>
      </c>
    </row>
    <row r="209">
      <c r="A209" s="53" t="n">
        <v>189</v>
      </c>
      <c r="B209" s="67" t="n"/>
      <c r="C209" s="55" t="n"/>
      <c r="D209" s="68" t="n"/>
      <c r="E209" s="68" t="n"/>
      <c r="F209" s="59">
        <f>IF(OR(E209="",D209=""),"",MAX(E209-D209,0))</f>
        <v/>
      </c>
      <c r="G209" s="59">
        <f>IF(F209="","",IF(N(C209)=0,1,C209))</f>
        <v/>
      </c>
      <c r="H209" s="53" t="n">
        <v>189</v>
      </c>
      <c r="I209" s="67" t="n"/>
      <c r="J209" s="55" t="n"/>
      <c r="K209" s="68" t="n"/>
      <c r="L209" s="68" t="n"/>
      <c r="M209" s="59">
        <f>IF(OR(L209="",K209=""),"",MAX(L209-K209,0))</f>
        <v/>
      </c>
      <c r="N209" s="59">
        <f>IF(M209="","",IF(N(J209)=0,1,J209))</f>
        <v/>
      </c>
    </row>
    <row r="210">
      <c r="A210" s="53" t="n">
        <v>190</v>
      </c>
      <c r="B210" s="67" t="n"/>
      <c r="C210" s="55" t="n"/>
      <c r="D210" s="68" t="n"/>
      <c r="E210" s="68" t="n"/>
      <c r="F210" s="59">
        <f>IF(OR(E210="",D210=""),"",MAX(E210-D210,0))</f>
        <v/>
      </c>
      <c r="G210" s="59">
        <f>IF(F210="","",IF(N(C210)=0,1,C210))</f>
        <v/>
      </c>
      <c r="H210" s="53" t="n">
        <v>190</v>
      </c>
      <c r="I210" s="67" t="n"/>
      <c r="J210" s="55" t="n"/>
      <c r="K210" s="68" t="n"/>
      <c r="L210" s="68" t="n"/>
      <c r="M210" s="59">
        <f>IF(OR(L210="",K210=""),"",MAX(L210-K210,0))</f>
        <v/>
      </c>
      <c r="N210" s="59">
        <f>IF(M210="","",IF(N(J210)=0,1,J210))</f>
        <v/>
      </c>
    </row>
    <row r="211">
      <c r="A211" s="53" t="n">
        <v>191</v>
      </c>
      <c r="B211" s="67" t="n"/>
      <c r="C211" s="55" t="n"/>
      <c r="D211" s="68" t="n"/>
      <c r="E211" s="68" t="n"/>
      <c r="F211" s="59">
        <f>IF(OR(E211="",D211=""),"",MAX(E211-D211,0))</f>
        <v/>
      </c>
      <c r="G211" s="59">
        <f>IF(F211="","",IF(N(C211)=0,1,C211))</f>
        <v/>
      </c>
      <c r="H211" s="53" t="n">
        <v>191</v>
      </c>
      <c r="I211" s="67" t="n"/>
      <c r="J211" s="55" t="n"/>
      <c r="K211" s="68" t="n"/>
      <c r="L211" s="68" t="n"/>
      <c r="M211" s="59">
        <f>IF(OR(L211="",K211=""),"",MAX(L211-K211,0))</f>
        <v/>
      </c>
      <c r="N211" s="59">
        <f>IF(M211="","",IF(N(J211)=0,1,J211))</f>
        <v/>
      </c>
    </row>
    <row r="212">
      <c r="A212" s="53" t="n">
        <v>192</v>
      </c>
      <c r="B212" s="67" t="n"/>
      <c r="C212" s="55" t="n"/>
      <c r="D212" s="68" t="n"/>
      <c r="E212" s="68" t="n"/>
      <c r="F212" s="59">
        <f>IF(OR(E212="",D212=""),"",MAX(E212-D212,0))</f>
        <v/>
      </c>
      <c r="G212" s="59">
        <f>IF(F212="","",IF(N(C212)=0,1,C212))</f>
        <v/>
      </c>
      <c r="H212" s="53" t="n">
        <v>192</v>
      </c>
      <c r="I212" s="67" t="n"/>
      <c r="J212" s="55" t="n"/>
      <c r="K212" s="68" t="n"/>
      <c r="L212" s="68" t="n"/>
      <c r="M212" s="59">
        <f>IF(OR(L212="",K212=""),"",MAX(L212-K212,0))</f>
        <v/>
      </c>
      <c r="N212" s="59">
        <f>IF(M212="","",IF(N(J212)=0,1,J212))</f>
        <v/>
      </c>
    </row>
    <row r="213">
      <c r="A213" s="53" t="n">
        <v>193</v>
      </c>
      <c r="B213" s="67" t="n"/>
      <c r="C213" s="55" t="n"/>
      <c r="D213" s="68" t="n"/>
      <c r="E213" s="68" t="n"/>
      <c r="F213" s="59">
        <f>IF(OR(E213="",D213=""),"",MAX(E213-D213,0))</f>
        <v/>
      </c>
      <c r="G213" s="59">
        <f>IF(F213="","",IF(N(C213)=0,1,C213))</f>
        <v/>
      </c>
      <c r="H213" s="53" t="n">
        <v>193</v>
      </c>
      <c r="I213" s="67" t="n"/>
      <c r="J213" s="55" t="n"/>
      <c r="K213" s="68" t="n"/>
      <c r="L213" s="68" t="n"/>
      <c r="M213" s="59">
        <f>IF(OR(L213="",K213=""),"",MAX(L213-K213,0))</f>
        <v/>
      </c>
      <c r="N213" s="59">
        <f>IF(M213="","",IF(N(J213)=0,1,J213))</f>
        <v/>
      </c>
    </row>
    <row r="214">
      <c r="A214" s="53" t="n">
        <v>194</v>
      </c>
      <c r="B214" s="67" t="n"/>
      <c r="C214" s="55" t="n"/>
      <c r="D214" s="68" t="n"/>
      <c r="E214" s="68" t="n"/>
      <c r="F214" s="59">
        <f>IF(OR(E214="",D214=""),"",MAX(E214-D214,0))</f>
        <v/>
      </c>
      <c r="G214" s="59">
        <f>IF(F214="","",IF(N(C214)=0,1,C214))</f>
        <v/>
      </c>
      <c r="H214" s="53" t="n">
        <v>194</v>
      </c>
      <c r="I214" s="67" t="n"/>
      <c r="J214" s="55" t="n"/>
      <c r="K214" s="68" t="n"/>
      <c r="L214" s="68" t="n"/>
      <c r="M214" s="59">
        <f>IF(OR(L214="",K214=""),"",MAX(L214-K214,0))</f>
        <v/>
      </c>
      <c r="N214" s="59">
        <f>IF(M214="","",IF(N(J214)=0,1,J214))</f>
        <v/>
      </c>
    </row>
    <row r="215">
      <c r="A215" s="53" t="n">
        <v>195</v>
      </c>
      <c r="B215" s="67" t="n"/>
      <c r="C215" s="55" t="n"/>
      <c r="D215" s="68" t="n"/>
      <c r="E215" s="68" t="n"/>
      <c r="F215" s="59">
        <f>IF(OR(E215="",D215=""),"",MAX(E215-D215,0))</f>
        <v/>
      </c>
      <c r="G215" s="59">
        <f>IF(F215="","",IF(N(C215)=0,1,C215))</f>
        <v/>
      </c>
      <c r="H215" s="53" t="n">
        <v>195</v>
      </c>
      <c r="I215" s="67" t="n"/>
      <c r="J215" s="55" t="n"/>
      <c r="K215" s="68" t="n"/>
      <c r="L215" s="68" t="n"/>
      <c r="M215" s="59">
        <f>IF(OR(L215="",K215=""),"",MAX(L215-K215,0))</f>
        <v/>
      </c>
      <c r="N215" s="59">
        <f>IF(M215="","",IF(N(J215)=0,1,J215))</f>
        <v/>
      </c>
    </row>
    <row r="216">
      <c r="A216" s="53" t="n">
        <v>196</v>
      </c>
      <c r="B216" s="67" t="n"/>
      <c r="C216" s="55" t="n"/>
      <c r="D216" s="68" t="n"/>
      <c r="E216" s="68" t="n"/>
      <c r="F216" s="59">
        <f>IF(OR(E216="",D216=""),"",MAX(E216-D216,0))</f>
        <v/>
      </c>
      <c r="G216" s="59">
        <f>IF(F216="","",IF(N(C216)=0,1,C216))</f>
        <v/>
      </c>
      <c r="H216" s="53" t="n">
        <v>196</v>
      </c>
      <c r="I216" s="67" t="n"/>
      <c r="J216" s="55" t="n"/>
      <c r="K216" s="68" t="n"/>
      <c r="L216" s="68" t="n"/>
      <c r="M216" s="59">
        <f>IF(OR(L216="",K216=""),"",MAX(L216-K216,0))</f>
        <v/>
      </c>
      <c r="N216" s="59">
        <f>IF(M216="","",IF(N(J216)=0,1,J216))</f>
        <v/>
      </c>
    </row>
    <row r="217">
      <c r="A217" s="53" t="n">
        <v>197</v>
      </c>
      <c r="B217" s="67" t="n"/>
      <c r="C217" s="55" t="n"/>
      <c r="D217" s="68" t="n"/>
      <c r="E217" s="68" t="n"/>
      <c r="F217" s="59">
        <f>IF(OR(E217="",D217=""),"",MAX(E217-D217,0))</f>
        <v/>
      </c>
      <c r="G217" s="59">
        <f>IF(F217="","",IF(N(C217)=0,1,C217))</f>
        <v/>
      </c>
      <c r="H217" s="53" t="n">
        <v>197</v>
      </c>
      <c r="I217" s="67" t="n"/>
      <c r="J217" s="55" t="n"/>
      <c r="K217" s="68" t="n"/>
      <c r="L217" s="68" t="n"/>
      <c r="M217" s="59">
        <f>IF(OR(L217="",K217=""),"",MAX(L217-K217,0))</f>
        <v/>
      </c>
      <c r="N217" s="59">
        <f>IF(M217="","",IF(N(J217)=0,1,J217))</f>
        <v/>
      </c>
    </row>
    <row r="218">
      <c r="A218" s="53" t="n">
        <v>198</v>
      </c>
      <c r="B218" s="67" t="n"/>
      <c r="C218" s="55" t="n"/>
      <c r="D218" s="68" t="n"/>
      <c r="E218" s="68" t="n"/>
      <c r="F218" s="59">
        <f>IF(OR(E218="",D218=""),"",MAX(E218-D218,0))</f>
        <v/>
      </c>
      <c r="G218" s="59">
        <f>IF(F218="","",IF(N(C218)=0,1,C218))</f>
        <v/>
      </c>
      <c r="H218" s="53" t="n">
        <v>198</v>
      </c>
      <c r="I218" s="67" t="n"/>
      <c r="J218" s="55" t="n"/>
      <c r="K218" s="68" t="n"/>
      <c r="L218" s="68" t="n"/>
      <c r="M218" s="59">
        <f>IF(OR(L218="",K218=""),"",MAX(L218-K218,0))</f>
        <v/>
      </c>
      <c r="N218" s="59">
        <f>IF(M218="","",IF(N(J218)=0,1,J218))</f>
        <v/>
      </c>
    </row>
    <row r="219">
      <c r="A219" s="53" t="n">
        <v>199</v>
      </c>
      <c r="B219" s="67" t="n"/>
      <c r="C219" s="55" t="n"/>
      <c r="D219" s="68" t="n"/>
      <c r="E219" s="68" t="n"/>
      <c r="F219" s="59">
        <f>IF(OR(E219="",D219=""),"",MAX(E219-D219,0))</f>
        <v/>
      </c>
      <c r="G219" s="59">
        <f>IF(F219="","",IF(N(C219)=0,1,C219))</f>
        <v/>
      </c>
      <c r="H219" s="53" t="n">
        <v>199</v>
      </c>
      <c r="I219" s="67" t="n"/>
      <c r="J219" s="55" t="n"/>
      <c r="K219" s="68" t="n"/>
      <c r="L219" s="68" t="n"/>
      <c r="M219" s="59">
        <f>IF(OR(L219="",K219=""),"",MAX(L219-K219,0))</f>
        <v/>
      </c>
      <c r="N219" s="59">
        <f>IF(M219="","",IF(N(J219)=0,1,J219))</f>
        <v/>
      </c>
    </row>
    <row r="220">
      <c r="A220" s="53" t="n">
        <v>200</v>
      </c>
      <c r="B220" s="67" t="n"/>
      <c r="C220" s="55" t="n"/>
      <c r="D220" s="68" t="n"/>
      <c r="E220" s="68" t="n"/>
      <c r="F220" s="59">
        <f>IF(OR(E220="",D220=""),"",MAX(E220-D220,0))</f>
        <v/>
      </c>
      <c r="G220" s="59">
        <f>IF(F220="","",IF(N(C220)=0,1,C220))</f>
        <v/>
      </c>
      <c r="H220" s="53" t="n">
        <v>200</v>
      </c>
      <c r="I220" s="67" t="n"/>
      <c r="J220" s="55" t="n"/>
      <c r="K220" s="68" t="n"/>
      <c r="L220" s="68" t="n"/>
      <c r="M220" s="59">
        <f>IF(OR(L220="",K220=""),"",MAX(L220-K220,0))</f>
        <v/>
      </c>
      <c r="N220" s="59">
        <f>IF(M220="","",IF(N(J220)=0,1,J220))</f>
        <v/>
      </c>
    </row>
    <row r="221">
      <c r="A221" s="53" t="n">
        <v>201</v>
      </c>
      <c r="B221" s="67" t="n"/>
      <c r="C221" s="55" t="n"/>
      <c r="D221" s="68" t="n"/>
      <c r="E221" s="68" t="n"/>
      <c r="F221" s="59">
        <f>IF(OR(E221="",D221=""),"",MAX(E221-D221,0))</f>
        <v/>
      </c>
      <c r="G221" s="59">
        <f>IF(F221="","",IF(N(C221)=0,1,C221))</f>
        <v/>
      </c>
      <c r="H221" s="53" t="n">
        <v>201</v>
      </c>
      <c r="I221" s="67" t="n"/>
      <c r="J221" s="55" t="n"/>
      <c r="K221" s="68" t="n"/>
      <c r="L221" s="68" t="n"/>
      <c r="M221" s="59">
        <f>IF(OR(L221="",K221=""),"",MAX(L221-K221,0))</f>
        <v/>
      </c>
      <c r="N221" s="59">
        <f>IF(M221="","",IF(N(J221)=0,1,J221))</f>
        <v/>
      </c>
    </row>
    <row r="222">
      <c r="A222" s="53" t="n">
        <v>202</v>
      </c>
      <c r="B222" s="67" t="n"/>
      <c r="C222" s="55" t="n"/>
      <c r="D222" s="68" t="n"/>
      <c r="E222" s="68" t="n"/>
      <c r="F222" s="59">
        <f>IF(OR(E222="",D222=""),"",MAX(E222-D222,0))</f>
        <v/>
      </c>
      <c r="G222" s="59">
        <f>IF(F222="","",IF(N(C222)=0,1,C222))</f>
        <v/>
      </c>
      <c r="H222" s="53" t="n">
        <v>202</v>
      </c>
      <c r="I222" s="67" t="n"/>
      <c r="J222" s="55" t="n"/>
      <c r="K222" s="68" t="n"/>
      <c r="L222" s="68" t="n"/>
      <c r="M222" s="59">
        <f>IF(OR(L222="",K222=""),"",MAX(L222-K222,0))</f>
        <v/>
      </c>
      <c r="N222" s="59">
        <f>IF(M222="","",IF(N(J222)=0,1,J222))</f>
        <v/>
      </c>
    </row>
    <row r="223">
      <c r="A223" s="53" t="n">
        <v>203</v>
      </c>
      <c r="B223" s="67" t="n"/>
      <c r="C223" s="55" t="n"/>
      <c r="D223" s="68" t="n"/>
      <c r="E223" s="68" t="n"/>
      <c r="F223" s="59">
        <f>IF(OR(E223="",D223=""),"",MAX(E223-D223,0))</f>
        <v/>
      </c>
      <c r="G223" s="59">
        <f>IF(F223="","",IF(N(C223)=0,1,C223))</f>
        <v/>
      </c>
      <c r="H223" s="53" t="n">
        <v>203</v>
      </c>
      <c r="I223" s="67" t="n"/>
      <c r="J223" s="55" t="n"/>
      <c r="K223" s="68" t="n"/>
      <c r="L223" s="68" t="n"/>
      <c r="M223" s="59">
        <f>IF(OR(L223="",K223=""),"",MAX(L223-K223,0))</f>
        <v/>
      </c>
      <c r="N223" s="59">
        <f>IF(M223="","",IF(N(J223)=0,1,J223))</f>
        <v/>
      </c>
    </row>
    <row r="224">
      <c r="A224" s="53" t="n">
        <v>204</v>
      </c>
      <c r="B224" s="67" t="n"/>
      <c r="C224" s="55" t="n"/>
      <c r="D224" s="68" t="n"/>
      <c r="E224" s="68" t="n"/>
      <c r="F224" s="59">
        <f>IF(OR(E224="",D224=""),"",MAX(E224-D224,0))</f>
        <v/>
      </c>
      <c r="G224" s="59">
        <f>IF(F224="","",IF(N(C224)=0,1,C224))</f>
        <v/>
      </c>
      <c r="H224" s="53" t="n">
        <v>204</v>
      </c>
      <c r="I224" s="67" t="n"/>
      <c r="J224" s="55" t="n"/>
      <c r="K224" s="68" t="n"/>
      <c r="L224" s="68" t="n"/>
      <c r="M224" s="59">
        <f>IF(OR(L224="",K224=""),"",MAX(L224-K224,0))</f>
        <v/>
      </c>
      <c r="N224" s="59">
        <f>IF(M224="","",IF(N(J224)=0,1,J224))</f>
        <v/>
      </c>
    </row>
    <row r="225">
      <c r="A225" s="53" t="n">
        <v>205</v>
      </c>
      <c r="B225" s="67" t="n"/>
      <c r="C225" s="55" t="n"/>
      <c r="D225" s="68" t="n"/>
      <c r="E225" s="68" t="n"/>
      <c r="F225" s="59">
        <f>IF(OR(E225="",D225=""),"",MAX(E225-D225,0))</f>
        <v/>
      </c>
      <c r="G225" s="59">
        <f>IF(F225="","",IF(N(C225)=0,1,C225))</f>
        <v/>
      </c>
      <c r="H225" s="53" t="n">
        <v>205</v>
      </c>
      <c r="I225" s="67" t="n"/>
      <c r="J225" s="55" t="n"/>
      <c r="K225" s="68" t="n"/>
      <c r="L225" s="68" t="n"/>
      <c r="M225" s="59">
        <f>IF(OR(L225="",K225=""),"",MAX(L225-K225,0))</f>
        <v/>
      </c>
      <c r="N225" s="59">
        <f>IF(M225="","",IF(N(J225)=0,1,J225))</f>
        <v/>
      </c>
    </row>
    <row r="226">
      <c r="A226" s="53" t="n">
        <v>206</v>
      </c>
      <c r="B226" s="67" t="n"/>
      <c r="C226" s="55" t="n"/>
      <c r="D226" s="68" t="n"/>
      <c r="E226" s="68" t="n"/>
      <c r="F226" s="59">
        <f>IF(OR(E226="",D226=""),"",MAX(E226-D226,0))</f>
        <v/>
      </c>
      <c r="G226" s="59">
        <f>IF(F226="","",IF(N(C226)=0,1,C226))</f>
        <v/>
      </c>
      <c r="H226" s="53" t="n">
        <v>206</v>
      </c>
      <c r="I226" s="67" t="n"/>
      <c r="J226" s="55" t="n"/>
      <c r="K226" s="68" t="n"/>
      <c r="L226" s="68" t="n"/>
      <c r="M226" s="59">
        <f>IF(OR(L226="",K226=""),"",MAX(L226-K226,0))</f>
        <v/>
      </c>
      <c r="N226" s="59">
        <f>IF(M226="","",IF(N(J226)=0,1,J226))</f>
        <v/>
      </c>
    </row>
    <row r="227">
      <c r="A227" s="53" t="n">
        <v>207</v>
      </c>
      <c r="B227" s="67" t="n"/>
      <c r="C227" s="55" t="n"/>
      <c r="D227" s="68" t="n"/>
      <c r="E227" s="68" t="n"/>
      <c r="F227" s="59">
        <f>IF(OR(E227="",D227=""),"",MAX(E227-D227,0))</f>
        <v/>
      </c>
      <c r="G227" s="59">
        <f>IF(F227="","",IF(N(C227)=0,1,C227))</f>
        <v/>
      </c>
      <c r="H227" s="53" t="n">
        <v>207</v>
      </c>
      <c r="I227" s="67" t="n"/>
      <c r="J227" s="55" t="n"/>
      <c r="K227" s="68" t="n"/>
      <c r="L227" s="68" t="n"/>
      <c r="M227" s="59">
        <f>IF(OR(L227="",K227=""),"",MAX(L227-K227,0))</f>
        <v/>
      </c>
      <c r="N227" s="59">
        <f>IF(M227="","",IF(N(J227)=0,1,J227))</f>
        <v/>
      </c>
    </row>
    <row r="228">
      <c r="A228" s="53" t="n">
        <v>208</v>
      </c>
      <c r="B228" s="67" t="n"/>
      <c r="C228" s="55" t="n"/>
      <c r="D228" s="68" t="n"/>
      <c r="E228" s="68" t="n"/>
      <c r="F228" s="59">
        <f>IF(OR(E228="",D228=""),"",MAX(E228-D228,0))</f>
        <v/>
      </c>
      <c r="G228" s="59">
        <f>IF(F228="","",IF(N(C228)=0,1,C228))</f>
        <v/>
      </c>
      <c r="H228" s="53" t="n">
        <v>208</v>
      </c>
      <c r="I228" s="67" t="n"/>
      <c r="J228" s="55" t="n"/>
      <c r="K228" s="68" t="n"/>
      <c r="L228" s="68" t="n"/>
      <c r="M228" s="59">
        <f>IF(OR(L228="",K228=""),"",MAX(L228-K228,0))</f>
        <v/>
      </c>
      <c r="N228" s="59">
        <f>IF(M228="","",IF(N(J228)=0,1,J228))</f>
        <v/>
      </c>
    </row>
    <row r="229">
      <c r="A229" s="53" t="n">
        <v>209</v>
      </c>
      <c r="B229" s="67" t="n"/>
      <c r="C229" s="55" t="n"/>
      <c r="D229" s="68" t="n"/>
      <c r="E229" s="68" t="n"/>
      <c r="F229" s="59">
        <f>IF(OR(E229="",D229=""),"",MAX(E229-D229,0))</f>
        <v/>
      </c>
      <c r="G229" s="59">
        <f>IF(F229="","",IF(N(C229)=0,1,C229))</f>
        <v/>
      </c>
      <c r="H229" s="53" t="n">
        <v>209</v>
      </c>
      <c r="I229" s="67" t="n"/>
      <c r="J229" s="55" t="n"/>
      <c r="K229" s="68" t="n"/>
      <c r="L229" s="68" t="n"/>
      <c r="M229" s="59">
        <f>IF(OR(L229="",K229=""),"",MAX(L229-K229,0))</f>
        <v/>
      </c>
      <c r="N229" s="59">
        <f>IF(M229="","",IF(N(J229)=0,1,J229))</f>
        <v/>
      </c>
    </row>
    <row r="230">
      <c r="A230" s="53" t="n">
        <v>210</v>
      </c>
      <c r="B230" s="67" t="n"/>
      <c r="C230" s="55" t="n"/>
      <c r="D230" s="68" t="n"/>
      <c r="E230" s="68" t="n"/>
      <c r="F230" s="59">
        <f>IF(OR(E230="",D230=""),"",MAX(E230-D230,0))</f>
        <v/>
      </c>
      <c r="G230" s="59">
        <f>IF(F230="","",IF(N(C230)=0,1,C230))</f>
        <v/>
      </c>
      <c r="H230" s="53" t="n">
        <v>210</v>
      </c>
      <c r="I230" s="67" t="n"/>
      <c r="J230" s="55" t="n"/>
      <c r="K230" s="68" t="n"/>
      <c r="L230" s="68" t="n"/>
      <c r="M230" s="59">
        <f>IF(OR(L230="",K230=""),"",MAX(L230-K230,0))</f>
        <v/>
      </c>
      <c r="N230" s="59">
        <f>IF(M230="","",IF(N(J230)=0,1,J230))</f>
        <v/>
      </c>
    </row>
    <row r="231">
      <c r="A231" s="53" t="n">
        <v>211</v>
      </c>
      <c r="B231" s="67" t="n"/>
      <c r="C231" s="55" t="n"/>
      <c r="D231" s="68" t="n"/>
      <c r="E231" s="68" t="n"/>
      <c r="F231" s="59">
        <f>IF(OR(E231="",D231=""),"",MAX(E231-D231,0))</f>
        <v/>
      </c>
      <c r="G231" s="59">
        <f>IF(F231="","",IF(N(C231)=0,1,C231))</f>
        <v/>
      </c>
      <c r="H231" s="53" t="n">
        <v>211</v>
      </c>
      <c r="I231" s="67" t="n"/>
      <c r="J231" s="55" t="n"/>
      <c r="K231" s="68" t="n"/>
      <c r="L231" s="68" t="n"/>
      <c r="M231" s="59">
        <f>IF(OR(L231="",K231=""),"",MAX(L231-K231,0))</f>
        <v/>
      </c>
      <c r="N231" s="59">
        <f>IF(M231="","",IF(N(J231)=0,1,J231))</f>
        <v/>
      </c>
    </row>
    <row r="232">
      <c r="A232" s="53" t="n">
        <v>212</v>
      </c>
      <c r="B232" s="67" t="n"/>
      <c r="C232" s="55" t="n"/>
      <c r="D232" s="68" t="n"/>
      <c r="E232" s="68" t="n"/>
      <c r="F232" s="59">
        <f>IF(OR(E232="",D232=""),"",MAX(E232-D232,0))</f>
        <v/>
      </c>
      <c r="G232" s="59">
        <f>IF(F232="","",IF(N(C232)=0,1,C232))</f>
        <v/>
      </c>
      <c r="H232" s="53" t="n">
        <v>212</v>
      </c>
      <c r="I232" s="67" t="n"/>
      <c r="J232" s="55" t="n"/>
      <c r="K232" s="68" t="n"/>
      <c r="L232" s="68" t="n"/>
      <c r="M232" s="59">
        <f>IF(OR(L232="",K232=""),"",MAX(L232-K232,0))</f>
        <v/>
      </c>
      <c r="N232" s="59">
        <f>IF(M232="","",IF(N(J232)=0,1,J232))</f>
        <v/>
      </c>
    </row>
    <row r="233">
      <c r="A233" s="53" t="n">
        <v>213</v>
      </c>
      <c r="B233" s="67" t="n"/>
      <c r="C233" s="55" t="n"/>
      <c r="D233" s="68" t="n"/>
      <c r="E233" s="68" t="n"/>
      <c r="F233" s="59">
        <f>IF(OR(E233="",D233=""),"",MAX(E233-D233,0))</f>
        <v/>
      </c>
      <c r="G233" s="59">
        <f>IF(F233="","",IF(N(C233)=0,1,C233))</f>
        <v/>
      </c>
      <c r="H233" s="53" t="n">
        <v>213</v>
      </c>
      <c r="I233" s="67" t="n"/>
      <c r="J233" s="55" t="n"/>
      <c r="K233" s="68" t="n"/>
      <c r="L233" s="68" t="n"/>
      <c r="M233" s="59">
        <f>IF(OR(L233="",K233=""),"",MAX(L233-K233,0))</f>
        <v/>
      </c>
      <c r="N233" s="59">
        <f>IF(M233="","",IF(N(J233)=0,1,J233))</f>
        <v/>
      </c>
    </row>
    <row r="234">
      <c r="A234" s="53" t="n">
        <v>214</v>
      </c>
      <c r="B234" s="67" t="n"/>
      <c r="C234" s="55" t="n"/>
      <c r="D234" s="68" t="n"/>
      <c r="E234" s="68" t="n"/>
      <c r="F234" s="59">
        <f>IF(OR(E234="",D234=""),"",MAX(E234-D234,0))</f>
        <v/>
      </c>
      <c r="G234" s="59">
        <f>IF(F234="","",IF(N(C234)=0,1,C234))</f>
        <v/>
      </c>
      <c r="H234" s="53" t="n">
        <v>214</v>
      </c>
      <c r="I234" s="67" t="n"/>
      <c r="J234" s="55" t="n"/>
      <c r="K234" s="68" t="n"/>
      <c r="L234" s="68" t="n"/>
      <c r="M234" s="59">
        <f>IF(OR(L234="",K234=""),"",MAX(L234-K234,0))</f>
        <v/>
      </c>
      <c r="N234" s="59">
        <f>IF(M234="","",IF(N(J234)=0,1,J234))</f>
        <v/>
      </c>
    </row>
    <row r="235">
      <c r="A235" s="53" t="n">
        <v>215</v>
      </c>
      <c r="B235" s="67" t="n"/>
      <c r="C235" s="55" t="n"/>
      <c r="D235" s="68" t="n"/>
      <c r="E235" s="68" t="n"/>
      <c r="F235" s="59">
        <f>IF(OR(E235="",D235=""),"",MAX(E235-D235,0))</f>
        <v/>
      </c>
      <c r="G235" s="59">
        <f>IF(F235="","",IF(N(C235)=0,1,C235))</f>
        <v/>
      </c>
      <c r="H235" s="53" t="n">
        <v>215</v>
      </c>
      <c r="I235" s="67" t="n"/>
      <c r="J235" s="55" t="n"/>
      <c r="K235" s="68" t="n"/>
      <c r="L235" s="68" t="n"/>
      <c r="M235" s="59">
        <f>IF(OR(L235="",K235=""),"",MAX(L235-K235,0))</f>
        <v/>
      </c>
      <c r="N235" s="59">
        <f>IF(M235="","",IF(N(J235)=0,1,J235))</f>
        <v/>
      </c>
    </row>
    <row r="236">
      <c r="A236" s="53" t="n">
        <v>216</v>
      </c>
      <c r="B236" s="67" t="n"/>
      <c r="C236" s="55" t="n"/>
      <c r="D236" s="68" t="n"/>
      <c r="E236" s="68" t="n"/>
      <c r="F236" s="59">
        <f>IF(OR(E236="",D236=""),"",MAX(E236-D236,0))</f>
        <v/>
      </c>
      <c r="G236" s="59">
        <f>IF(F236="","",IF(N(C236)=0,1,C236))</f>
        <v/>
      </c>
      <c r="H236" s="53" t="n">
        <v>216</v>
      </c>
      <c r="I236" s="67" t="n"/>
      <c r="J236" s="55" t="n"/>
      <c r="K236" s="68" t="n"/>
      <c r="L236" s="68" t="n"/>
      <c r="M236" s="59">
        <f>IF(OR(L236="",K236=""),"",MAX(L236-K236,0))</f>
        <v/>
      </c>
      <c r="N236" s="59">
        <f>IF(M236="","",IF(N(J236)=0,1,J236))</f>
        <v/>
      </c>
    </row>
    <row r="237">
      <c r="A237" s="53" t="n">
        <v>217</v>
      </c>
      <c r="B237" s="67" t="n"/>
      <c r="C237" s="55" t="n"/>
      <c r="D237" s="68" t="n"/>
      <c r="E237" s="68" t="n"/>
      <c r="F237" s="59">
        <f>IF(OR(E237="",D237=""),"",MAX(E237-D237,0))</f>
        <v/>
      </c>
      <c r="G237" s="59">
        <f>IF(F237="","",IF(N(C237)=0,1,C237))</f>
        <v/>
      </c>
      <c r="H237" s="53" t="n">
        <v>217</v>
      </c>
      <c r="I237" s="67" t="n"/>
      <c r="J237" s="55" t="n"/>
      <c r="K237" s="68" t="n"/>
      <c r="L237" s="68" t="n"/>
      <c r="M237" s="59">
        <f>IF(OR(L237="",K237=""),"",MAX(L237-K237,0))</f>
        <v/>
      </c>
      <c r="N237" s="59">
        <f>IF(M237="","",IF(N(J237)=0,1,J237))</f>
        <v/>
      </c>
    </row>
    <row r="238">
      <c r="A238" s="53" t="n">
        <v>218</v>
      </c>
      <c r="B238" s="67" t="n"/>
      <c r="C238" s="55" t="n"/>
      <c r="D238" s="68" t="n"/>
      <c r="E238" s="68" t="n"/>
      <c r="F238" s="59">
        <f>IF(OR(E238="",D238=""),"",MAX(E238-D238,0))</f>
        <v/>
      </c>
      <c r="G238" s="59">
        <f>IF(F238="","",IF(N(C238)=0,1,C238))</f>
        <v/>
      </c>
      <c r="H238" s="53" t="n">
        <v>218</v>
      </c>
      <c r="I238" s="67" t="n"/>
      <c r="J238" s="55" t="n"/>
      <c r="K238" s="68" t="n"/>
      <c r="L238" s="68" t="n"/>
      <c r="M238" s="59">
        <f>IF(OR(L238="",K238=""),"",MAX(L238-K238,0))</f>
        <v/>
      </c>
      <c r="N238" s="59">
        <f>IF(M238="","",IF(N(J238)=0,1,J238))</f>
        <v/>
      </c>
    </row>
    <row r="239">
      <c r="A239" s="53" t="n">
        <v>219</v>
      </c>
      <c r="B239" s="67" t="n"/>
      <c r="C239" s="55" t="n"/>
      <c r="D239" s="68" t="n"/>
      <c r="E239" s="68" t="n"/>
      <c r="F239" s="59">
        <f>IF(OR(E239="",D239=""),"",MAX(E239-D239,0))</f>
        <v/>
      </c>
      <c r="G239" s="59">
        <f>IF(F239="","",IF(N(C239)=0,1,C239))</f>
        <v/>
      </c>
      <c r="H239" s="53" t="n">
        <v>219</v>
      </c>
      <c r="I239" s="67" t="n"/>
      <c r="J239" s="55" t="n"/>
      <c r="K239" s="68" t="n"/>
      <c r="L239" s="68" t="n"/>
      <c r="M239" s="59">
        <f>IF(OR(L239="",K239=""),"",MAX(L239-K239,0))</f>
        <v/>
      </c>
      <c r="N239" s="59">
        <f>IF(M239="","",IF(N(J239)=0,1,J239))</f>
        <v/>
      </c>
    </row>
    <row r="240">
      <c r="A240" s="53" t="n">
        <v>220</v>
      </c>
      <c r="B240" s="67" t="n"/>
      <c r="C240" s="55" t="n"/>
      <c r="D240" s="68" t="n"/>
      <c r="E240" s="68" t="n"/>
      <c r="F240" s="59">
        <f>IF(OR(E240="",D240=""),"",MAX(E240-D240,0))</f>
        <v/>
      </c>
      <c r="G240" s="59">
        <f>IF(F240="","",IF(N(C240)=0,1,C240))</f>
        <v/>
      </c>
      <c r="H240" s="53" t="n">
        <v>220</v>
      </c>
      <c r="I240" s="67" t="n"/>
      <c r="J240" s="55" t="n"/>
      <c r="K240" s="68" t="n"/>
      <c r="L240" s="68" t="n"/>
      <c r="M240" s="59">
        <f>IF(OR(L240="",K240=""),"",MAX(L240-K240,0))</f>
        <v/>
      </c>
      <c r="N240" s="59">
        <f>IF(M240="","",IF(N(J240)=0,1,J240))</f>
        <v/>
      </c>
    </row>
    <row r="241">
      <c r="A241" s="53" t="n">
        <v>221</v>
      </c>
      <c r="B241" s="67" t="n"/>
      <c r="C241" s="55" t="n"/>
      <c r="D241" s="68" t="n"/>
      <c r="E241" s="68" t="n"/>
      <c r="F241" s="59">
        <f>IF(OR(E241="",D241=""),"",MAX(E241-D241,0))</f>
        <v/>
      </c>
      <c r="G241" s="59">
        <f>IF(F241="","",IF(N(C241)=0,1,C241))</f>
        <v/>
      </c>
      <c r="H241" s="53" t="n">
        <v>221</v>
      </c>
      <c r="I241" s="67" t="n"/>
      <c r="J241" s="55" t="n"/>
      <c r="K241" s="68" t="n"/>
      <c r="L241" s="68" t="n"/>
      <c r="M241" s="59">
        <f>IF(OR(L241="",K241=""),"",MAX(L241-K241,0))</f>
        <v/>
      </c>
      <c r="N241" s="59">
        <f>IF(M241="","",IF(N(J241)=0,1,J241))</f>
        <v/>
      </c>
    </row>
    <row r="242">
      <c r="A242" s="53" t="n">
        <v>222</v>
      </c>
      <c r="B242" s="67" t="n"/>
      <c r="C242" s="55" t="n"/>
      <c r="D242" s="68" t="n"/>
      <c r="E242" s="68" t="n"/>
      <c r="F242" s="59">
        <f>IF(OR(E242="",D242=""),"",MAX(E242-D242,0))</f>
        <v/>
      </c>
      <c r="G242" s="59">
        <f>IF(F242="","",IF(N(C242)=0,1,C242))</f>
        <v/>
      </c>
      <c r="H242" s="53" t="n">
        <v>222</v>
      </c>
      <c r="I242" s="67" t="n"/>
      <c r="J242" s="55" t="n"/>
      <c r="K242" s="68" t="n"/>
      <c r="L242" s="68" t="n"/>
      <c r="M242" s="59">
        <f>IF(OR(L242="",K242=""),"",MAX(L242-K242,0))</f>
        <v/>
      </c>
      <c r="N242" s="59">
        <f>IF(M242="","",IF(N(J242)=0,1,J242))</f>
        <v/>
      </c>
    </row>
    <row r="243">
      <c r="A243" s="53" t="n">
        <v>223</v>
      </c>
      <c r="B243" s="67" t="n"/>
      <c r="C243" s="55" t="n"/>
      <c r="D243" s="68" t="n"/>
      <c r="E243" s="68" t="n"/>
      <c r="F243" s="59">
        <f>IF(OR(E243="",D243=""),"",MAX(E243-D243,0))</f>
        <v/>
      </c>
      <c r="G243" s="59">
        <f>IF(F243="","",IF(N(C243)=0,1,C243))</f>
        <v/>
      </c>
      <c r="H243" s="53" t="n">
        <v>223</v>
      </c>
      <c r="I243" s="67" t="n"/>
      <c r="J243" s="55" t="n"/>
      <c r="K243" s="68" t="n"/>
      <c r="L243" s="68" t="n"/>
      <c r="M243" s="59">
        <f>IF(OR(L243="",K243=""),"",MAX(L243-K243,0))</f>
        <v/>
      </c>
      <c r="N243" s="59">
        <f>IF(M243="","",IF(N(J243)=0,1,J243))</f>
        <v/>
      </c>
    </row>
    <row r="244">
      <c r="A244" s="53" t="n">
        <v>224</v>
      </c>
      <c r="B244" s="67" t="n"/>
      <c r="C244" s="55" t="n"/>
      <c r="D244" s="68" t="n"/>
      <c r="E244" s="68" t="n"/>
      <c r="F244" s="59">
        <f>IF(OR(E244="",D244=""),"",MAX(E244-D244,0))</f>
        <v/>
      </c>
      <c r="G244" s="59">
        <f>IF(F244="","",IF(N(C244)=0,1,C244))</f>
        <v/>
      </c>
      <c r="H244" s="53" t="n">
        <v>224</v>
      </c>
      <c r="I244" s="67" t="n"/>
      <c r="J244" s="55" t="n"/>
      <c r="K244" s="68" t="n"/>
      <c r="L244" s="68" t="n"/>
      <c r="M244" s="59">
        <f>IF(OR(L244="",K244=""),"",MAX(L244-K244,0))</f>
        <v/>
      </c>
      <c r="N244" s="59">
        <f>IF(M244="","",IF(N(J244)=0,1,J244))</f>
        <v/>
      </c>
    </row>
    <row r="245">
      <c r="A245" s="53" t="n">
        <v>225</v>
      </c>
      <c r="B245" s="67" t="n"/>
      <c r="C245" s="55" t="n"/>
      <c r="D245" s="68" t="n"/>
      <c r="E245" s="68" t="n"/>
      <c r="F245" s="59">
        <f>IF(OR(E245="",D245=""),"",MAX(E245-D245,0))</f>
        <v/>
      </c>
      <c r="G245" s="59">
        <f>IF(F245="","",IF(N(C245)=0,1,C245))</f>
        <v/>
      </c>
      <c r="H245" s="53" t="n">
        <v>225</v>
      </c>
      <c r="I245" s="67" t="n"/>
      <c r="J245" s="55" t="n"/>
      <c r="K245" s="68" t="n"/>
      <c r="L245" s="68" t="n"/>
      <c r="M245" s="59">
        <f>IF(OR(L245="",K245=""),"",MAX(L245-K245,0))</f>
        <v/>
      </c>
      <c r="N245" s="59">
        <f>IF(M245="","",IF(N(J245)=0,1,J245))</f>
        <v/>
      </c>
    </row>
    <row r="246">
      <c r="A246" s="53" t="n">
        <v>226</v>
      </c>
      <c r="B246" s="67" t="n"/>
      <c r="C246" s="55" t="n"/>
      <c r="D246" s="68" t="n"/>
      <c r="E246" s="68" t="n"/>
      <c r="F246" s="59">
        <f>IF(OR(E246="",D246=""),"",MAX(E246-D246,0))</f>
        <v/>
      </c>
      <c r="G246" s="59">
        <f>IF(F246="","",IF(N(C246)=0,1,C246))</f>
        <v/>
      </c>
      <c r="H246" s="53" t="n">
        <v>226</v>
      </c>
      <c r="I246" s="67" t="n"/>
      <c r="J246" s="55" t="n"/>
      <c r="K246" s="68" t="n"/>
      <c r="L246" s="68" t="n"/>
      <c r="M246" s="59">
        <f>IF(OR(L246="",K246=""),"",MAX(L246-K246,0))</f>
        <v/>
      </c>
      <c r="N246" s="59">
        <f>IF(M246="","",IF(N(J246)=0,1,J246))</f>
        <v/>
      </c>
    </row>
    <row r="247">
      <c r="A247" s="53" t="n">
        <v>227</v>
      </c>
      <c r="B247" s="67" t="n"/>
      <c r="C247" s="55" t="n"/>
      <c r="D247" s="68" t="n"/>
      <c r="E247" s="68" t="n"/>
      <c r="F247" s="59">
        <f>IF(OR(E247="",D247=""),"",MAX(E247-D247,0))</f>
        <v/>
      </c>
      <c r="G247" s="59">
        <f>IF(F247="","",IF(N(C247)=0,1,C247))</f>
        <v/>
      </c>
      <c r="H247" s="53" t="n">
        <v>227</v>
      </c>
      <c r="I247" s="67" t="n"/>
      <c r="J247" s="55" t="n"/>
      <c r="K247" s="68" t="n"/>
      <c r="L247" s="68" t="n"/>
      <c r="M247" s="59">
        <f>IF(OR(L247="",K247=""),"",MAX(L247-K247,0))</f>
        <v/>
      </c>
      <c r="N247" s="59">
        <f>IF(M247="","",IF(N(J247)=0,1,J247))</f>
        <v/>
      </c>
    </row>
    <row r="248">
      <c r="A248" s="53" t="n">
        <v>228</v>
      </c>
      <c r="B248" s="67" t="n"/>
      <c r="C248" s="55" t="n"/>
      <c r="D248" s="68" t="n"/>
      <c r="E248" s="68" t="n"/>
      <c r="F248" s="59">
        <f>IF(OR(E248="",D248=""),"",MAX(E248-D248,0))</f>
        <v/>
      </c>
      <c r="G248" s="59">
        <f>IF(F248="","",IF(N(C248)=0,1,C248))</f>
        <v/>
      </c>
      <c r="H248" s="53" t="n">
        <v>228</v>
      </c>
      <c r="I248" s="67" t="n"/>
      <c r="J248" s="55" t="n"/>
      <c r="K248" s="68" t="n"/>
      <c r="L248" s="68" t="n"/>
      <c r="M248" s="59">
        <f>IF(OR(L248="",K248=""),"",MAX(L248-K248,0))</f>
        <v/>
      </c>
      <c r="N248" s="59">
        <f>IF(M248="","",IF(N(J248)=0,1,J248))</f>
        <v/>
      </c>
    </row>
    <row r="249">
      <c r="A249" s="53" t="n">
        <v>229</v>
      </c>
      <c r="B249" s="67" t="n"/>
      <c r="C249" s="55" t="n"/>
      <c r="D249" s="68" t="n"/>
      <c r="E249" s="68" t="n"/>
      <c r="F249" s="59">
        <f>IF(OR(E249="",D249=""),"",MAX(E249-D249,0))</f>
        <v/>
      </c>
      <c r="G249" s="59">
        <f>IF(F249="","",IF(N(C249)=0,1,C249))</f>
        <v/>
      </c>
      <c r="H249" s="53" t="n">
        <v>229</v>
      </c>
      <c r="I249" s="67" t="n"/>
      <c r="J249" s="55" t="n"/>
      <c r="K249" s="68" t="n"/>
      <c r="L249" s="68" t="n"/>
      <c r="M249" s="59">
        <f>IF(OR(L249="",K249=""),"",MAX(L249-K249,0))</f>
        <v/>
      </c>
      <c r="N249" s="59">
        <f>IF(M249="","",IF(N(J249)=0,1,J249))</f>
        <v/>
      </c>
    </row>
    <row r="250">
      <c r="A250" s="53" t="n">
        <v>230</v>
      </c>
      <c r="B250" s="67" t="n"/>
      <c r="C250" s="55" t="n"/>
      <c r="D250" s="68" t="n"/>
      <c r="E250" s="68" t="n"/>
      <c r="F250" s="59">
        <f>IF(OR(E250="",D250=""),"",MAX(E250-D250,0))</f>
        <v/>
      </c>
      <c r="G250" s="59">
        <f>IF(F250="","",IF(N(C250)=0,1,C250))</f>
        <v/>
      </c>
      <c r="H250" s="53" t="n">
        <v>230</v>
      </c>
      <c r="I250" s="67" t="n"/>
      <c r="J250" s="55" t="n"/>
      <c r="K250" s="68" t="n"/>
      <c r="L250" s="68" t="n"/>
      <c r="M250" s="59">
        <f>IF(OR(L250="",K250=""),"",MAX(L250-K250,0))</f>
        <v/>
      </c>
      <c r="N250" s="59">
        <f>IF(M250="","",IF(N(J250)=0,1,J250))</f>
        <v/>
      </c>
    </row>
    <row r="251">
      <c r="A251" s="53" t="n">
        <v>231</v>
      </c>
      <c r="B251" s="67" t="n"/>
      <c r="C251" s="55" t="n"/>
      <c r="D251" s="68" t="n"/>
      <c r="E251" s="68" t="n"/>
      <c r="F251" s="59">
        <f>IF(OR(E251="",D251=""),"",MAX(E251-D251,0))</f>
        <v/>
      </c>
      <c r="G251" s="59">
        <f>IF(F251="","",IF(N(C251)=0,1,C251))</f>
        <v/>
      </c>
      <c r="H251" s="53" t="n">
        <v>231</v>
      </c>
      <c r="I251" s="67" t="n"/>
      <c r="J251" s="55" t="n"/>
      <c r="K251" s="68" t="n"/>
      <c r="L251" s="68" t="n"/>
      <c r="M251" s="59">
        <f>IF(OR(L251="",K251=""),"",MAX(L251-K251,0))</f>
        <v/>
      </c>
      <c r="N251" s="59">
        <f>IF(M251="","",IF(N(J251)=0,1,J251))</f>
        <v/>
      </c>
    </row>
    <row r="252">
      <c r="A252" s="53" t="n">
        <v>232</v>
      </c>
      <c r="B252" s="67" t="n"/>
      <c r="C252" s="55" t="n"/>
      <c r="D252" s="68" t="n"/>
      <c r="E252" s="68" t="n"/>
      <c r="F252" s="59">
        <f>IF(OR(E252="",D252=""),"",MAX(E252-D252,0))</f>
        <v/>
      </c>
      <c r="G252" s="59">
        <f>IF(F252="","",IF(N(C252)=0,1,C252))</f>
        <v/>
      </c>
      <c r="H252" s="53" t="n">
        <v>232</v>
      </c>
      <c r="I252" s="67" t="n"/>
      <c r="J252" s="55" t="n"/>
      <c r="K252" s="68" t="n"/>
      <c r="L252" s="68" t="n"/>
      <c r="M252" s="59">
        <f>IF(OR(L252="",K252=""),"",MAX(L252-K252,0))</f>
        <v/>
      </c>
      <c r="N252" s="59">
        <f>IF(M252="","",IF(N(J252)=0,1,J252))</f>
        <v/>
      </c>
    </row>
    <row r="253">
      <c r="A253" s="53" t="n">
        <v>233</v>
      </c>
      <c r="B253" s="67" t="n"/>
      <c r="C253" s="55" t="n"/>
      <c r="D253" s="68" t="n"/>
      <c r="E253" s="68" t="n"/>
      <c r="F253" s="59">
        <f>IF(OR(E253="",D253=""),"",MAX(E253-D253,0))</f>
        <v/>
      </c>
      <c r="G253" s="59">
        <f>IF(F253="","",IF(N(C253)=0,1,C253))</f>
        <v/>
      </c>
      <c r="H253" s="53" t="n">
        <v>233</v>
      </c>
      <c r="I253" s="67" t="n"/>
      <c r="J253" s="55" t="n"/>
      <c r="K253" s="68" t="n"/>
      <c r="L253" s="68" t="n"/>
      <c r="M253" s="59">
        <f>IF(OR(L253="",K253=""),"",MAX(L253-K253,0))</f>
        <v/>
      </c>
      <c r="N253" s="59">
        <f>IF(M253="","",IF(N(J253)=0,1,J253))</f>
        <v/>
      </c>
    </row>
    <row r="254">
      <c r="A254" s="53" t="n">
        <v>234</v>
      </c>
      <c r="B254" s="67" t="n"/>
      <c r="C254" s="55" t="n"/>
      <c r="D254" s="68" t="n"/>
      <c r="E254" s="68" t="n"/>
      <c r="F254" s="59">
        <f>IF(OR(E254="",D254=""),"",MAX(E254-D254,0))</f>
        <v/>
      </c>
      <c r="G254" s="59">
        <f>IF(F254="","",IF(N(C254)=0,1,C254))</f>
        <v/>
      </c>
      <c r="H254" s="53" t="n">
        <v>234</v>
      </c>
      <c r="I254" s="67" t="n"/>
      <c r="J254" s="55" t="n"/>
      <c r="K254" s="68" t="n"/>
      <c r="L254" s="68" t="n"/>
      <c r="M254" s="59">
        <f>IF(OR(L254="",K254=""),"",MAX(L254-K254,0))</f>
        <v/>
      </c>
      <c r="N254" s="59">
        <f>IF(M254="","",IF(N(J254)=0,1,J254))</f>
        <v/>
      </c>
    </row>
    <row r="255">
      <c r="A255" s="53" t="n">
        <v>235</v>
      </c>
      <c r="B255" s="67" t="n"/>
      <c r="C255" s="55" t="n"/>
      <c r="D255" s="68" t="n"/>
      <c r="E255" s="68" t="n"/>
      <c r="F255" s="59">
        <f>IF(OR(E255="",D255=""),"",MAX(E255-D255,0))</f>
        <v/>
      </c>
      <c r="G255" s="59">
        <f>IF(F255="","",IF(N(C255)=0,1,C255))</f>
        <v/>
      </c>
      <c r="H255" s="53" t="n">
        <v>235</v>
      </c>
      <c r="I255" s="67" t="n"/>
      <c r="J255" s="55" t="n"/>
      <c r="K255" s="68" t="n"/>
      <c r="L255" s="68" t="n"/>
      <c r="M255" s="59">
        <f>IF(OR(L255="",K255=""),"",MAX(L255-K255,0))</f>
        <v/>
      </c>
      <c r="N255" s="59">
        <f>IF(M255="","",IF(N(J255)=0,1,J255))</f>
        <v/>
      </c>
    </row>
    <row r="256">
      <c r="A256" s="53" t="n">
        <v>236</v>
      </c>
      <c r="B256" s="67" t="n"/>
      <c r="C256" s="55" t="n"/>
      <c r="D256" s="68" t="n"/>
      <c r="E256" s="68" t="n"/>
      <c r="F256" s="59">
        <f>IF(OR(E256="",D256=""),"",MAX(E256-D256,0))</f>
        <v/>
      </c>
      <c r="G256" s="59">
        <f>IF(F256="","",IF(N(C256)=0,1,C256))</f>
        <v/>
      </c>
      <c r="H256" s="53" t="n">
        <v>236</v>
      </c>
      <c r="I256" s="67" t="n"/>
      <c r="J256" s="55" t="n"/>
      <c r="K256" s="68" t="n"/>
      <c r="L256" s="68" t="n"/>
      <c r="M256" s="59">
        <f>IF(OR(L256="",K256=""),"",MAX(L256-K256,0))</f>
        <v/>
      </c>
      <c r="N256" s="59">
        <f>IF(M256="","",IF(N(J256)=0,1,J256))</f>
        <v/>
      </c>
    </row>
    <row r="257">
      <c r="A257" s="53" t="n">
        <v>237</v>
      </c>
      <c r="B257" s="67" t="n"/>
      <c r="C257" s="55" t="n"/>
      <c r="D257" s="68" t="n"/>
      <c r="E257" s="68" t="n"/>
      <c r="F257" s="59">
        <f>IF(OR(E257="",D257=""),"",MAX(E257-D257,0))</f>
        <v/>
      </c>
      <c r="G257" s="59">
        <f>IF(F257="","",IF(N(C257)=0,1,C257))</f>
        <v/>
      </c>
      <c r="H257" s="53" t="n">
        <v>237</v>
      </c>
      <c r="I257" s="67" t="n"/>
      <c r="J257" s="55" t="n"/>
      <c r="K257" s="68" t="n"/>
      <c r="L257" s="68" t="n"/>
      <c r="M257" s="59">
        <f>IF(OR(L257="",K257=""),"",MAX(L257-K257,0))</f>
        <v/>
      </c>
      <c r="N257" s="59">
        <f>IF(M257="","",IF(N(J257)=0,1,J257))</f>
        <v/>
      </c>
    </row>
    <row r="258">
      <c r="A258" s="53" t="n">
        <v>238</v>
      </c>
      <c r="B258" s="67" t="n"/>
      <c r="C258" s="55" t="n"/>
      <c r="D258" s="68" t="n"/>
      <c r="E258" s="68" t="n"/>
      <c r="F258" s="59">
        <f>IF(OR(E258="",D258=""),"",MAX(E258-D258,0))</f>
        <v/>
      </c>
      <c r="G258" s="59">
        <f>IF(F258="","",IF(N(C258)=0,1,C258))</f>
        <v/>
      </c>
      <c r="H258" s="53" t="n">
        <v>238</v>
      </c>
      <c r="I258" s="67" t="n"/>
      <c r="J258" s="55" t="n"/>
      <c r="K258" s="68" t="n"/>
      <c r="L258" s="68" t="n"/>
      <c r="M258" s="59">
        <f>IF(OR(L258="",K258=""),"",MAX(L258-K258,0))</f>
        <v/>
      </c>
      <c r="N258" s="59">
        <f>IF(M258="","",IF(N(J258)=0,1,J258))</f>
        <v/>
      </c>
    </row>
    <row r="259">
      <c r="A259" s="53" t="n">
        <v>239</v>
      </c>
      <c r="B259" s="67" t="n"/>
      <c r="C259" s="55" t="n"/>
      <c r="D259" s="68" t="n"/>
      <c r="E259" s="68" t="n"/>
      <c r="F259" s="59">
        <f>IF(OR(E259="",D259=""),"",MAX(E259-D259,0))</f>
        <v/>
      </c>
      <c r="G259" s="59">
        <f>IF(F259="","",IF(N(C259)=0,1,C259))</f>
        <v/>
      </c>
      <c r="H259" s="53" t="n">
        <v>239</v>
      </c>
      <c r="I259" s="67" t="n"/>
      <c r="J259" s="55" t="n"/>
      <c r="K259" s="68" t="n"/>
      <c r="L259" s="68" t="n"/>
      <c r="M259" s="59">
        <f>IF(OR(L259="",K259=""),"",MAX(L259-K259,0))</f>
        <v/>
      </c>
      <c r="N259" s="59">
        <f>IF(M259="","",IF(N(J259)=0,1,J259))</f>
        <v/>
      </c>
    </row>
    <row r="260">
      <c r="A260" s="53" t="n">
        <v>240</v>
      </c>
      <c r="B260" s="67" t="n"/>
      <c r="C260" s="55" t="n"/>
      <c r="D260" s="68" t="n"/>
      <c r="E260" s="68" t="n"/>
      <c r="F260" s="59">
        <f>IF(OR(E260="",D260=""),"",MAX(E260-D260,0))</f>
        <v/>
      </c>
      <c r="G260" s="59">
        <f>IF(F260="","",IF(N(C260)=0,1,C260))</f>
        <v/>
      </c>
      <c r="H260" s="53" t="n">
        <v>240</v>
      </c>
      <c r="I260" s="67" t="n"/>
      <c r="J260" s="55" t="n"/>
      <c r="K260" s="68" t="n"/>
      <c r="L260" s="68" t="n"/>
      <c r="M260" s="59">
        <f>IF(OR(L260="",K260=""),"",MAX(L260-K260,0))</f>
        <v/>
      </c>
      <c r="N260" s="59">
        <f>IF(M260="","",IF(N(J260)=0,1,J260))</f>
        <v/>
      </c>
    </row>
    <row r="261">
      <c r="A261" s="53" t="n">
        <v>241</v>
      </c>
      <c r="B261" s="67" t="n"/>
      <c r="C261" s="55" t="n"/>
      <c r="D261" s="68" t="n"/>
      <c r="E261" s="68" t="n"/>
      <c r="F261" s="59">
        <f>IF(OR(E261="",D261=""),"",MAX(E261-D261,0))</f>
        <v/>
      </c>
      <c r="G261" s="59">
        <f>IF(F261="","",IF(N(C261)=0,1,C261))</f>
        <v/>
      </c>
      <c r="H261" s="53" t="n">
        <v>241</v>
      </c>
      <c r="I261" s="67" t="n"/>
      <c r="J261" s="55" t="n"/>
      <c r="K261" s="68" t="n"/>
      <c r="L261" s="68" t="n"/>
      <c r="M261" s="59">
        <f>IF(OR(L261="",K261=""),"",MAX(L261-K261,0))</f>
        <v/>
      </c>
      <c r="N261" s="59">
        <f>IF(M261="","",IF(N(J261)=0,1,J261))</f>
        <v/>
      </c>
    </row>
    <row r="262">
      <c r="A262" s="53" t="n">
        <v>242</v>
      </c>
      <c r="B262" s="67" t="n"/>
      <c r="C262" s="55" t="n"/>
      <c r="D262" s="68" t="n"/>
      <c r="E262" s="68" t="n"/>
      <c r="F262" s="59">
        <f>IF(OR(E262="",D262=""),"",MAX(E262-D262,0))</f>
        <v/>
      </c>
      <c r="G262" s="59">
        <f>IF(F262="","",IF(N(C262)=0,1,C262))</f>
        <v/>
      </c>
      <c r="H262" s="53" t="n">
        <v>242</v>
      </c>
      <c r="I262" s="67" t="n"/>
      <c r="J262" s="55" t="n"/>
      <c r="K262" s="68" t="n"/>
      <c r="L262" s="68" t="n"/>
      <c r="M262" s="59">
        <f>IF(OR(L262="",K262=""),"",MAX(L262-K262,0))</f>
        <v/>
      </c>
      <c r="N262" s="59">
        <f>IF(M262="","",IF(N(J262)=0,1,J262))</f>
        <v/>
      </c>
    </row>
    <row r="263">
      <c r="A263" s="53" t="n">
        <v>243</v>
      </c>
      <c r="B263" s="67" t="n"/>
      <c r="C263" s="55" t="n"/>
      <c r="D263" s="68" t="n"/>
      <c r="E263" s="68" t="n"/>
      <c r="F263" s="59">
        <f>IF(OR(E263="",D263=""),"",MAX(E263-D263,0))</f>
        <v/>
      </c>
      <c r="G263" s="59">
        <f>IF(F263="","",IF(N(C263)=0,1,C263))</f>
        <v/>
      </c>
      <c r="H263" s="53" t="n">
        <v>243</v>
      </c>
      <c r="I263" s="67" t="n"/>
      <c r="J263" s="55" t="n"/>
      <c r="K263" s="68" t="n"/>
      <c r="L263" s="68" t="n"/>
      <c r="M263" s="59">
        <f>IF(OR(L263="",K263=""),"",MAX(L263-K263,0))</f>
        <v/>
      </c>
      <c r="N263" s="59">
        <f>IF(M263="","",IF(N(J263)=0,1,J263))</f>
        <v/>
      </c>
    </row>
    <row r="264">
      <c r="A264" s="53" t="n">
        <v>244</v>
      </c>
      <c r="B264" s="67" t="n"/>
      <c r="C264" s="55" t="n"/>
      <c r="D264" s="68" t="n"/>
      <c r="E264" s="68" t="n"/>
      <c r="F264" s="59">
        <f>IF(OR(E264="",D264=""),"",MAX(E264-D264,0))</f>
        <v/>
      </c>
      <c r="G264" s="59">
        <f>IF(F264="","",IF(N(C264)=0,1,C264))</f>
        <v/>
      </c>
      <c r="H264" s="53" t="n">
        <v>244</v>
      </c>
      <c r="I264" s="67" t="n"/>
      <c r="J264" s="55" t="n"/>
      <c r="K264" s="68" t="n"/>
      <c r="L264" s="68" t="n"/>
      <c r="M264" s="59">
        <f>IF(OR(L264="",K264=""),"",MAX(L264-K264,0))</f>
        <v/>
      </c>
      <c r="N264" s="59">
        <f>IF(M264="","",IF(N(J264)=0,1,J264))</f>
        <v/>
      </c>
    </row>
    <row r="265">
      <c r="A265" s="53" t="n">
        <v>245</v>
      </c>
      <c r="B265" s="67" t="n"/>
      <c r="C265" s="55" t="n"/>
      <c r="D265" s="68" t="n"/>
      <c r="E265" s="68" t="n"/>
      <c r="F265" s="59">
        <f>IF(OR(E265="",D265=""),"",MAX(E265-D265,0))</f>
        <v/>
      </c>
      <c r="G265" s="59">
        <f>IF(F265="","",IF(N(C265)=0,1,C265))</f>
        <v/>
      </c>
      <c r="H265" s="53" t="n">
        <v>245</v>
      </c>
      <c r="I265" s="67" t="n"/>
      <c r="J265" s="55" t="n"/>
      <c r="K265" s="68" t="n"/>
      <c r="L265" s="68" t="n"/>
      <c r="M265" s="59">
        <f>IF(OR(L265="",K265=""),"",MAX(L265-K265,0))</f>
        <v/>
      </c>
      <c r="N265" s="59">
        <f>IF(M265="","",IF(N(J265)=0,1,J265))</f>
        <v/>
      </c>
    </row>
    <row r="266">
      <c r="A266" s="53" t="n">
        <v>246</v>
      </c>
      <c r="B266" s="67" t="n"/>
      <c r="C266" s="55" t="n"/>
      <c r="D266" s="68" t="n"/>
      <c r="E266" s="68" t="n"/>
      <c r="F266" s="59">
        <f>IF(OR(E266="",D266=""),"",MAX(E266-D266,0))</f>
        <v/>
      </c>
      <c r="G266" s="59">
        <f>IF(F266="","",IF(N(C266)=0,1,C266))</f>
        <v/>
      </c>
      <c r="H266" s="53" t="n">
        <v>246</v>
      </c>
      <c r="I266" s="67" t="n"/>
      <c r="J266" s="55" t="n"/>
      <c r="K266" s="68" t="n"/>
      <c r="L266" s="68" t="n"/>
      <c r="M266" s="59">
        <f>IF(OR(L266="",K266=""),"",MAX(L266-K266,0))</f>
        <v/>
      </c>
      <c r="N266" s="59">
        <f>IF(M266="","",IF(N(J266)=0,1,J266))</f>
        <v/>
      </c>
    </row>
    <row r="267">
      <c r="A267" s="53" t="n">
        <v>247</v>
      </c>
      <c r="B267" s="67" t="n"/>
      <c r="C267" s="55" t="n"/>
      <c r="D267" s="68" t="n"/>
      <c r="E267" s="68" t="n"/>
      <c r="F267" s="59">
        <f>IF(OR(E267="",D267=""),"",MAX(E267-D267,0))</f>
        <v/>
      </c>
      <c r="G267" s="59">
        <f>IF(F267="","",IF(N(C267)=0,1,C267))</f>
        <v/>
      </c>
      <c r="H267" s="53" t="n">
        <v>247</v>
      </c>
      <c r="I267" s="67" t="n"/>
      <c r="J267" s="55" t="n"/>
      <c r="K267" s="68" t="n"/>
      <c r="L267" s="68" t="n"/>
      <c r="M267" s="59">
        <f>IF(OR(L267="",K267=""),"",MAX(L267-K267,0))</f>
        <v/>
      </c>
      <c r="N267" s="59">
        <f>IF(M267="","",IF(N(J267)=0,1,J267))</f>
        <v/>
      </c>
    </row>
    <row r="268">
      <c r="A268" s="53" t="n">
        <v>248</v>
      </c>
      <c r="B268" s="67" t="n"/>
      <c r="C268" s="55" t="n"/>
      <c r="D268" s="68" t="n"/>
      <c r="E268" s="68" t="n"/>
      <c r="F268" s="59">
        <f>IF(OR(E268="",D268=""),"",MAX(E268-D268,0))</f>
        <v/>
      </c>
      <c r="G268" s="59">
        <f>IF(F268="","",IF(N(C268)=0,1,C268))</f>
        <v/>
      </c>
      <c r="H268" s="53" t="n">
        <v>248</v>
      </c>
      <c r="I268" s="67" t="n"/>
      <c r="J268" s="55" t="n"/>
      <c r="K268" s="68" t="n"/>
      <c r="L268" s="68" t="n"/>
      <c r="M268" s="59">
        <f>IF(OR(L268="",K268=""),"",MAX(L268-K268,0))</f>
        <v/>
      </c>
      <c r="N268" s="59">
        <f>IF(M268="","",IF(N(J268)=0,1,J268))</f>
        <v/>
      </c>
    </row>
    <row r="269">
      <c r="A269" s="53" t="n">
        <v>249</v>
      </c>
      <c r="B269" s="67" t="n"/>
      <c r="C269" s="55" t="n"/>
      <c r="D269" s="68" t="n"/>
      <c r="E269" s="68" t="n"/>
      <c r="F269" s="59">
        <f>IF(OR(E269="",D269=""),"",MAX(E269-D269,0))</f>
        <v/>
      </c>
      <c r="G269" s="59">
        <f>IF(F269="","",IF(N(C269)=0,1,C269))</f>
        <v/>
      </c>
      <c r="H269" s="53" t="n">
        <v>249</v>
      </c>
      <c r="I269" s="67" t="n"/>
      <c r="J269" s="55" t="n"/>
      <c r="K269" s="68" t="n"/>
      <c r="L269" s="68" t="n"/>
      <c r="M269" s="59">
        <f>IF(OR(L269="",K269=""),"",MAX(L269-K269,0))</f>
        <v/>
      </c>
      <c r="N269" s="59">
        <f>IF(M269="","",IF(N(J269)=0,1,J269))</f>
        <v/>
      </c>
    </row>
    <row r="270">
      <c r="A270" s="53" t="n">
        <v>250</v>
      </c>
      <c r="B270" s="67" t="n"/>
      <c r="C270" s="55" t="n"/>
      <c r="D270" s="68" t="n"/>
      <c r="E270" s="68" t="n"/>
      <c r="F270" s="59">
        <f>IF(OR(E270="",D270=""),"",MAX(E270-D270,0))</f>
        <v/>
      </c>
      <c r="G270" s="59">
        <f>IF(F270="","",IF(N(C270)=0,1,C270))</f>
        <v/>
      </c>
      <c r="H270" s="53" t="n">
        <v>250</v>
      </c>
      <c r="I270" s="67" t="n"/>
      <c r="J270" s="55" t="n"/>
      <c r="K270" s="68" t="n"/>
      <c r="L270" s="68" t="n"/>
      <c r="M270" s="59">
        <f>IF(OR(L270="",K270=""),"",MAX(L270-K270,0))</f>
        <v/>
      </c>
      <c r="N270" s="59">
        <f>IF(M270="","",IF(N(J270)=0,1,J270))</f>
        <v/>
      </c>
    </row>
    <row r="271">
      <c r="A271" s="53" t="n">
        <v>251</v>
      </c>
      <c r="B271" s="67" t="n"/>
      <c r="C271" s="55" t="n"/>
      <c r="D271" s="68" t="n"/>
      <c r="E271" s="68" t="n"/>
      <c r="F271" s="59">
        <f>IF(OR(E271="",D271=""),"",MAX(E271-D271,0))</f>
        <v/>
      </c>
      <c r="G271" s="59">
        <f>IF(F271="","",IF(N(C271)=0,1,C271))</f>
        <v/>
      </c>
      <c r="H271" s="53" t="n">
        <v>251</v>
      </c>
      <c r="I271" s="67" t="n"/>
      <c r="J271" s="55" t="n"/>
      <c r="K271" s="68" t="n"/>
      <c r="L271" s="68" t="n"/>
      <c r="M271" s="59">
        <f>IF(OR(L271="",K271=""),"",MAX(L271-K271,0))</f>
        <v/>
      </c>
      <c r="N271" s="59">
        <f>IF(M271="","",IF(N(J271)=0,1,J271))</f>
        <v/>
      </c>
    </row>
    <row r="272">
      <c r="A272" s="53" t="n">
        <v>252</v>
      </c>
      <c r="B272" s="67" t="n"/>
      <c r="C272" s="55" t="n"/>
      <c r="D272" s="68" t="n"/>
      <c r="E272" s="68" t="n"/>
      <c r="F272" s="59">
        <f>IF(OR(E272="",D272=""),"",MAX(E272-D272,0))</f>
        <v/>
      </c>
      <c r="G272" s="59">
        <f>IF(F272="","",IF(N(C272)=0,1,C272))</f>
        <v/>
      </c>
      <c r="H272" s="53" t="n">
        <v>252</v>
      </c>
      <c r="I272" s="67" t="n"/>
      <c r="J272" s="55" t="n"/>
      <c r="K272" s="68" t="n"/>
      <c r="L272" s="68" t="n"/>
      <c r="M272" s="59">
        <f>IF(OR(L272="",K272=""),"",MAX(L272-K272,0))</f>
        <v/>
      </c>
      <c r="N272" s="59">
        <f>IF(M272="","",IF(N(J272)=0,1,J272))</f>
        <v/>
      </c>
    </row>
    <row r="273">
      <c r="A273" s="53" t="n">
        <v>253</v>
      </c>
      <c r="B273" s="67" t="n"/>
      <c r="C273" s="55" t="n"/>
      <c r="D273" s="68" t="n"/>
      <c r="E273" s="68" t="n"/>
      <c r="F273" s="59">
        <f>IF(OR(E273="",D273=""),"",MAX(E273-D273,0))</f>
        <v/>
      </c>
      <c r="G273" s="59">
        <f>IF(F273="","",IF(N(C273)=0,1,C273))</f>
        <v/>
      </c>
      <c r="H273" s="53" t="n">
        <v>253</v>
      </c>
      <c r="I273" s="67" t="n"/>
      <c r="J273" s="55" t="n"/>
      <c r="K273" s="68" t="n"/>
      <c r="L273" s="68" t="n"/>
      <c r="M273" s="59">
        <f>IF(OR(L273="",K273=""),"",MAX(L273-K273,0))</f>
        <v/>
      </c>
      <c r="N273" s="59">
        <f>IF(M273="","",IF(N(J273)=0,1,J273))</f>
        <v/>
      </c>
    </row>
    <row r="274">
      <c r="A274" s="53" t="n">
        <v>254</v>
      </c>
      <c r="B274" s="67" t="n"/>
      <c r="C274" s="55" t="n"/>
      <c r="D274" s="68" t="n"/>
      <c r="E274" s="68" t="n"/>
      <c r="F274" s="59">
        <f>IF(OR(E274="",D274=""),"",MAX(E274-D274,0))</f>
        <v/>
      </c>
      <c r="G274" s="59">
        <f>IF(F274="","",IF(N(C274)=0,1,C274))</f>
        <v/>
      </c>
      <c r="H274" s="53" t="n">
        <v>254</v>
      </c>
      <c r="I274" s="67" t="n"/>
      <c r="J274" s="55" t="n"/>
      <c r="K274" s="68" t="n"/>
      <c r="L274" s="68" t="n"/>
      <c r="M274" s="59">
        <f>IF(OR(L274="",K274=""),"",MAX(L274-K274,0))</f>
        <v/>
      </c>
      <c r="N274" s="59">
        <f>IF(M274="","",IF(N(J274)=0,1,J274))</f>
        <v/>
      </c>
    </row>
    <row r="275">
      <c r="A275" s="53" t="n">
        <v>255</v>
      </c>
      <c r="B275" s="67" t="n"/>
      <c r="C275" s="55" t="n"/>
      <c r="D275" s="68" t="n"/>
      <c r="E275" s="68" t="n"/>
      <c r="F275" s="59">
        <f>IF(OR(E275="",D275=""),"",MAX(E275-D275,0))</f>
        <v/>
      </c>
      <c r="G275" s="59">
        <f>IF(F275="","",IF(N(C275)=0,1,C275))</f>
        <v/>
      </c>
      <c r="H275" s="53" t="n">
        <v>255</v>
      </c>
      <c r="I275" s="67" t="n"/>
      <c r="J275" s="55" t="n"/>
      <c r="K275" s="68" t="n"/>
      <c r="L275" s="68" t="n"/>
      <c r="M275" s="59">
        <f>IF(OR(L275="",K275=""),"",MAX(L275-K275,0))</f>
        <v/>
      </c>
      <c r="N275" s="59">
        <f>IF(M275="","",IF(N(J275)=0,1,J275))</f>
        <v/>
      </c>
    </row>
    <row r="276">
      <c r="A276" s="53" t="n">
        <v>256</v>
      </c>
      <c r="B276" s="67" t="n"/>
      <c r="C276" s="55" t="n"/>
      <c r="D276" s="68" t="n"/>
      <c r="E276" s="68" t="n"/>
      <c r="F276" s="59">
        <f>IF(OR(E276="",D276=""),"",MAX(E276-D276,0))</f>
        <v/>
      </c>
      <c r="G276" s="59">
        <f>IF(F276="","",IF(N(C276)=0,1,C276))</f>
        <v/>
      </c>
      <c r="H276" s="53" t="n">
        <v>256</v>
      </c>
      <c r="I276" s="67" t="n"/>
      <c r="J276" s="55" t="n"/>
      <c r="K276" s="68" t="n"/>
      <c r="L276" s="68" t="n"/>
      <c r="M276" s="59">
        <f>IF(OR(L276="",K276=""),"",MAX(L276-K276,0))</f>
        <v/>
      </c>
      <c r="N276" s="59">
        <f>IF(M276="","",IF(N(J276)=0,1,J276))</f>
        <v/>
      </c>
    </row>
    <row r="277">
      <c r="A277" s="53" t="n">
        <v>257</v>
      </c>
      <c r="B277" s="67" t="n"/>
      <c r="C277" s="55" t="n"/>
      <c r="D277" s="68" t="n"/>
      <c r="E277" s="68" t="n"/>
      <c r="F277" s="59">
        <f>IF(OR(E277="",D277=""),"",MAX(E277-D277,0))</f>
        <v/>
      </c>
      <c r="G277" s="59">
        <f>IF(F277="","",IF(N(C277)=0,1,C277))</f>
        <v/>
      </c>
      <c r="H277" s="53" t="n">
        <v>257</v>
      </c>
      <c r="I277" s="67" t="n"/>
      <c r="J277" s="55" t="n"/>
      <c r="K277" s="68" t="n"/>
      <c r="L277" s="68" t="n"/>
      <c r="M277" s="59">
        <f>IF(OR(L277="",K277=""),"",MAX(L277-K277,0))</f>
        <v/>
      </c>
      <c r="N277" s="59">
        <f>IF(M277="","",IF(N(J277)=0,1,J277))</f>
        <v/>
      </c>
    </row>
    <row r="278">
      <c r="A278" s="53" t="n">
        <v>258</v>
      </c>
      <c r="B278" s="67" t="n"/>
      <c r="C278" s="55" t="n"/>
      <c r="D278" s="68" t="n"/>
      <c r="E278" s="68" t="n"/>
      <c r="F278" s="59">
        <f>IF(OR(E278="",D278=""),"",MAX(E278-D278,0))</f>
        <v/>
      </c>
      <c r="G278" s="59">
        <f>IF(F278="","",IF(N(C278)=0,1,C278))</f>
        <v/>
      </c>
      <c r="H278" s="53" t="n">
        <v>258</v>
      </c>
      <c r="I278" s="67" t="n"/>
      <c r="J278" s="55" t="n"/>
      <c r="K278" s="68" t="n"/>
      <c r="L278" s="68" t="n"/>
      <c r="M278" s="59">
        <f>IF(OR(L278="",K278=""),"",MAX(L278-K278,0))</f>
        <v/>
      </c>
      <c r="N278" s="59">
        <f>IF(M278="","",IF(N(J278)=0,1,J278))</f>
        <v/>
      </c>
    </row>
    <row r="279">
      <c r="A279" s="53" t="n">
        <v>259</v>
      </c>
      <c r="B279" s="67" t="n"/>
      <c r="C279" s="55" t="n"/>
      <c r="D279" s="68" t="n"/>
      <c r="E279" s="68" t="n"/>
      <c r="F279" s="59">
        <f>IF(OR(E279="",D279=""),"",MAX(E279-D279,0))</f>
        <v/>
      </c>
      <c r="G279" s="59">
        <f>IF(F279="","",IF(N(C279)=0,1,C279))</f>
        <v/>
      </c>
      <c r="H279" s="53" t="n">
        <v>259</v>
      </c>
      <c r="I279" s="67" t="n"/>
      <c r="J279" s="55" t="n"/>
      <c r="K279" s="68" t="n"/>
      <c r="L279" s="68" t="n"/>
      <c r="M279" s="59">
        <f>IF(OR(L279="",K279=""),"",MAX(L279-K279,0))</f>
        <v/>
      </c>
      <c r="N279" s="59">
        <f>IF(M279="","",IF(N(J279)=0,1,J279))</f>
        <v/>
      </c>
    </row>
    <row r="280">
      <c r="A280" s="53" t="n">
        <v>260</v>
      </c>
      <c r="B280" s="67" t="n"/>
      <c r="C280" s="55" t="n"/>
      <c r="D280" s="68" t="n"/>
      <c r="E280" s="68" t="n"/>
      <c r="F280" s="59">
        <f>IF(OR(E280="",D280=""),"",MAX(E280-D280,0))</f>
        <v/>
      </c>
      <c r="G280" s="59">
        <f>IF(F280="","",IF(N(C280)=0,1,C280))</f>
        <v/>
      </c>
      <c r="H280" s="53" t="n">
        <v>260</v>
      </c>
      <c r="I280" s="67" t="n"/>
      <c r="J280" s="55" t="n"/>
      <c r="K280" s="68" t="n"/>
      <c r="L280" s="68" t="n"/>
      <c r="M280" s="59">
        <f>IF(OR(L280="",K280=""),"",MAX(L280-K280,0))</f>
        <v/>
      </c>
      <c r="N280" s="59">
        <f>IF(M280="","",IF(N(J280)=0,1,J280))</f>
        <v/>
      </c>
    </row>
    <row r="281">
      <c r="A281" s="53" t="n">
        <v>261</v>
      </c>
      <c r="B281" s="67" t="n"/>
      <c r="C281" s="55" t="n"/>
      <c r="D281" s="68" t="n"/>
      <c r="E281" s="68" t="n"/>
      <c r="F281" s="59">
        <f>IF(OR(E281="",D281=""),"",MAX(E281-D281,0))</f>
        <v/>
      </c>
      <c r="G281" s="59">
        <f>IF(F281="","",IF(N(C281)=0,1,C281))</f>
        <v/>
      </c>
      <c r="H281" s="53" t="n">
        <v>261</v>
      </c>
      <c r="I281" s="67" t="n"/>
      <c r="J281" s="55" t="n"/>
      <c r="K281" s="68" t="n"/>
      <c r="L281" s="68" t="n"/>
      <c r="M281" s="59">
        <f>IF(OR(L281="",K281=""),"",MAX(L281-K281,0))</f>
        <v/>
      </c>
      <c r="N281" s="59">
        <f>IF(M281="","",IF(N(J281)=0,1,J281))</f>
        <v/>
      </c>
    </row>
    <row r="282">
      <c r="A282" s="53" t="n">
        <v>262</v>
      </c>
      <c r="B282" s="67" t="n"/>
      <c r="C282" s="55" t="n"/>
      <c r="D282" s="68" t="n"/>
      <c r="E282" s="68" t="n"/>
      <c r="F282" s="59">
        <f>IF(OR(E282="",D282=""),"",MAX(E282-D282,0))</f>
        <v/>
      </c>
      <c r="G282" s="59">
        <f>IF(F282="","",IF(N(C282)=0,1,C282))</f>
        <v/>
      </c>
      <c r="H282" s="53" t="n">
        <v>262</v>
      </c>
      <c r="I282" s="67" t="n"/>
      <c r="J282" s="55" t="n"/>
      <c r="K282" s="68" t="n"/>
      <c r="L282" s="68" t="n"/>
      <c r="M282" s="59">
        <f>IF(OR(L282="",K282=""),"",MAX(L282-K282,0))</f>
        <v/>
      </c>
      <c r="N282" s="59">
        <f>IF(M282="","",IF(N(J282)=0,1,J282))</f>
        <v/>
      </c>
    </row>
    <row r="283">
      <c r="A283" s="53" t="n">
        <v>263</v>
      </c>
      <c r="B283" s="67" t="n"/>
      <c r="C283" s="55" t="n"/>
      <c r="D283" s="68" t="n"/>
      <c r="E283" s="68" t="n"/>
      <c r="F283" s="59">
        <f>IF(OR(E283="",D283=""),"",MAX(E283-D283,0))</f>
        <v/>
      </c>
      <c r="G283" s="59">
        <f>IF(F283="","",IF(N(C283)=0,1,C283))</f>
        <v/>
      </c>
      <c r="H283" s="53" t="n">
        <v>263</v>
      </c>
      <c r="I283" s="67" t="n"/>
      <c r="J283" s="55" t="n"/>
      <c r="K283" s="68" t="n"/>
      <c r="L283" s="68" t="n"/>
      <c r="M283" s="59">
        <f>IF(OR(L283="",K283=""),"",MAX(L283-K283,0))</f>
        <v/>
      </c>
      <c r="N283" s="59">
        <f>IF(M283="","",IF(N(J283)=0,1,J283))</f>
        <v/>
      </c>
    </row>
    <row r="284">
      <c r="A284" s="53" t="n">
        <v>264</v>
      </c>
      <c r="B284" s="67" t="n"/>
      <c r="C284" s="55" t="n"/>
      <c r="D284" s="68" t="n"/>
      <c r="E284" s="68" t="n"/>
      <c r="F284" s="59">
        <f>IF(OR(E284="",D284=""),"",MAX(E284-D284,0))</f>
        <v/>
      </c>
      <c r="G284" s="59">
        <f>IF(F284="","",IF(N(C284)=0,1,C284))</f>
        <v/>
      </c>
      <c r="H284" s="53" t="n">
        <v>264</v>
      </c>
      <c r="I284" s="67" t="n"/>
      <c r="J284" s="55" t="n"/>
      <c r="K284" s="68" t="n"/>
      <c r="L284" s="68" t="n"/>
      <c r="M284" s="59">
        <f>IF(OR(L284="",K284=""),"",MAX(L284-K284,0))</f>
        <v/>
      </c>
      <c r="N284" s="59">
        <f>IF(M284="","",IF(N(J284)=0,1,J284))</f>
        <v/>
      </c>
    </row>
    <row r="285">
      <c r="A285" s="53" t="n">
        <v>265</v>
      </c>
      <c r="B285" s="67" t="n"/>
      <c r="C285" s="55" t="n"/>
      <c r="D285" s="68" t="n"/>
      <c r="E285" s="68" t="n"/>
      <c r="F285" s="59">
        <f>IF(OR(E285="",D285=""),"",MAX(E285-D285,0))</f>
        <v/>
      </c>
      <c r="G285" s="59">
        <f>IF(F285="","",IF(N(C285)=0,1,C285))</f>
        <v/>
      </c>
      <c r="H285" s="53" t="n">
        <v>265</v>
      </c>
      <c r="I285" s="67" t="n"/>
      <c r="J285" s="55" t="n"/>
      <c r="K285" s="68" t="n"/>
      <c r="L285" s="68" t="n"/>
      <c r="M285" s="59">
        <f>IF(OR(L285="",K285=""),"",MAX(L285-K285,0))</f>
        <v/>
      </c>
      <c r="N285" s="59">
        <f>IF(M285="","",IF(N(J285)=0,1,J285))</f>
        <v/>
      </c>
    </row>
    <row r="286">
      <c r="A286" s="53" t="n">
        <v>266</v>
      </c>
      <c r="B286" s="67" t="n"/>
      <c r="C286" s="55" t="n"/>
      <c r="D286" s="68" t="n"/>
      <c r="E286" s="68" t="n"/>
      <c r="F286" s="59">
        <f>IF(OR(E286="",D286=""),"",MAX(E286-D286,0))</f>
        <v/>
      </c>
      <c r="G286" s="59">
        <f>IF(F286="","",IF(N(C286)=0,1,C286))</f>
        <v/>
      </c>
      <c r="H286" s="53" t="n">
        <v>266</v>
      </c>
      <c r="I286" s="67" t="n"/>
      <c r="J286" s="55" t="n"/>
      <c r="K286" s="68" t="n"/>
      <c r="L286" s="68" t="n"/>
      <c r="M286" s="59">
        <f>IF(OR(L286="",K286=""),"",MAX(L286-K286,0))</f>
        <v/>
      </c>
      <c r="N286" s="59">
        <f>IF(M286="","",IF(N(J286)=0,1,J286))</f>
        <v/>
      </c>
    </row>
    <row r="287">
      <c r="A287" s="53" t="n">
        <v>267</v>
      </c>
      <c r="B287" s="67" t="n"/>
      <c r="C287" s="55" t="n"/>
      <c r="D287" s="68" t="n"/>
      <c r="E287" s="68" t="n"/>
      <c r="F287" s="59">
        <f>IF(OR(E287="",D287=""),"",MAX(E287-D287,0))</f>
        <v/>
      </c>
      <c r="G287" s="59">
        <f>IF(F287="","",IF(N(C287)=0,1,C287))</f>
        <v/>
      </c>
      <c r="H287" s="53" t="n">
        <v>267</v>
      </c>
      <c r="I287" s="67" t="n"/>
      <c r="J287" s="55" t="n"/>
      <c r="K287" s="68" t="n"/>
      <c r="L287" s="68" t="n"/>
      <c r="M287" s="59">
        <f>IF(OR(L287="",K287=""),"",MAX(L287-K287,0))</f>
        <v/>
      </c>
      <c r="N287" s="59">
        <f>IF(M287="","",IF(N(J287)=0,1,J287))</f>
        <v/>
      </c>
    </row>
    <row r="288">
      <c r="A288" s="53" t="n">
        <v>268</v>
      </c>
      <c r="B288" s="67" t="n"/>
      <c r="C288" s="55" t="n"/>
      <c r="D288" s="68" t="n"/>
      <c r="E288" s="68" t="n"/>
      <c r="F288" s="59">
        <f>IF(OR(E288="",D288=""),"",MAX(E288-D288,0))</f>
        <v/>
      </c>
      <c r="G288" s="59">
        <f>IF(F288="","",IF(N(C288)=0,1,C288))</f>
        <v/>
      </c>
      <c r="H288" s="53" t="n">
        <v>268</v>
      </c>
      <c r="I288" s="67" t="n"/>
      <c r="J288" s="55" t="n"/>
      <c r="K288" s="68" t="n"/>
      <c r="L288" s="68" t="n"/>
      <c r="M288" s="59">
        <f>IF(OR(L288="",K288=""),"",MAX(L288-K288,0))</f>
        <v/>
      </c>
      <c r="N288" s="59">
        <f>IF(M288="","",IF(N(J288)=0,1,J288))</f>
        <v/>
      </c>
    </row>
    <row r="289">
      <c r="A289" s="53" t="n">
        <v>269</v>
      </c>
      <c r="B289" s="67" t="n"/>
      <c r="C289" s="55" t="n"/>
      <c r="D289" s="68" t="n"/>
      <c r="E289" s="68" t="n"/>
      <c r="F289" s="59">
        <f>IF(OR(E289="",D289=""),"",MAX(E289-D289,0))</f>
        <v/>
      </c>
      <c r="G289" s="59">
        <f>IF(F289="","",IF(N(C289)=0,1,C289))</f>
        <v/>
      </c>
      <c r="H289" s="53" t="n">
        <v>269</v>
      </c>
      <c r="I289" s="67" t="n"/>
      <c r="J289" s="55" t="n"/>
      <c r="K289" s="68" t="n"/>
      <c r="L289" s="68" t="n"/>
      <c r="M289" s="59">
        <f>IF(OR(L289="",K289=""),"",MAX(L289-K289,0))</f>
        <v/>
      </c>
      <c r="N289" s="59">
        <f>IF(M289="","",IF(N(J289)=0,1,J289))</f>
        <v/>
      </c>
    </row>
    <row r="290">
      <c r="A290" s="53" t="n">
        <v>270</v>
      </c>
      <c r="B290" s="67" t="n"/>
      <c r="C290" s="55" t="n"/>
      <c r="D290" s="68" t="n"/>
      <c r="E290" s="68" t="n"/>
      <c r="F290" s="59">
        <f>IF(OR(E290="",D290=""),"",MAX(E290-D290,0))</f>
        <v/>
      </c>
      <c r="G290" s="59">
        <f>IF(F290="","",IF(N(C290)=0,1,C290))</f>
        <v/>
      </c>
      <c r="H290" s="53" t="n">
        <v>270</v>
      </c>
      <c r="I290" s="67" t="n"/>
      <c r="J290" s="55" t="n"/>
      <c r="K290" s="68" t="n"/>
      <c r="L290" s="68" t="n"/>
      <c r="M290" s="59">
        <f>IF(OR(L290="",K290=""),"",MAX(L290-K290,0))</f>
        <v/>
      </c>
      <c r="N290" s="59">
        <f>IF(M290="","",IF(N(J290)=0,1,J290))</f>
        <v/>
      </c>
    </row>
    <row r="291">
      <c r="A291" s="53" t="n">
        <v>271</v>
      </c>
      <c r="B291" s="67" t="n"/>
      <c r="C291" s="55" t="n"/>
      <c r="D291" s="68" t="n"/>
      <c r="E291" s="68" t="n"/>
      <c r="F291" s="59">
        <f>IF(OR(E291="",D291=""),"",MAX(E291-D291,0))</f>
        <v/>
      </c>
      <c r="G291" s="59">
        <f>IF(F291="","",IF(N(C291)=0,1,C291))</f>
        <v/>
      </c>
      <c r="H291" s="53" t="n">
        <v>271</v>
      </c>
      <c r="I291" s="67" t="n"/>
      <c r="J291" s="55" t="n"/>
      <c r="K291" s="68" t="n"/>
      <c r="L291" s="68" t="n"/>
      <c r="M291" s="59">
        <f>IF(OR(L291="",K291=""),"",MAX(L291-K291,0))</f>
        <v/>
      </c>
      <c r="N291" s="59">
        <f>IF(M291="","",IF(N(J291)=0,1,J291))</f>
        <v/>
      </c>
    </row>
    <row r="292">
      <c r="A292" s="53" t="n">
        <v>272</v>
      </c>
      <c r="B292" s="67" t="n"/>
      <c r="C292" s="55" t="n"/>
      <c r="D292" s="68" t="n"/>
      <c r="E292" s="68" t="n"/>
      <c r="F292" s="59">
        <f>IF(OR(E292="",D292=""),"",MAX(E292-D292,0))</f>
        <v/>
      </c>
      <c r="G292" s="59">
        <f>IF(F292="","",IF(N(C292)=0,1,C292))</f>
        <v/>
      </c>
      <c r="H292" s="53" t="n">
        <v>272</v>
      </c>
      <c r="I292" s="67" t="n"/>
      <c r="J292" s="55" t="n"/>
      <c r="K292" s="68" t="n"/>
      <c r="L292" s="68" t="n"/>
      <c r="M292" s="59">
        <f>IF(OR(L292="",K292=""),"",MAX(L292-K292,0))</f>
        <v/>
      </c>
      <c r="N292" s="59">
        <f>IF(M292="","",IF(N(J292)=0,1,J292))</f>
        <v/>
      </c>
    </row>
    <row r="293">
      <c r="A293" s="53" t="n">
        <v>273</v>
      </c>
      <c r="B293" s="67" t="n"/>
      <c r="C293" s="55" t="n"/>
      <c r="D293" s="68" t="n"/>
      <c r="E293" s="68" t="n"/>
      <c r="F293" s="59">
        <f>IF(OR(E293="",D293=""),"",MAX(E293-D293,0))</f>
        <v/>
      </c>
      <c r="G293" s="59">
        <f>IF(F293="","",IF(N(C293)=0,1,C293))</f>
        <v/>
      </c>
      <c r="H293" s="53" t="n">
        <v>273</v>
      </c>
      <c r="I293" s="67" t="n"/>
      <c r="J293" s="55" t="n"/>
      <c r="K293" s="68" t="n"/>
      <c r="L293" s="68" t="n"/>
      <c r="M293" s="59">
        <f>IF(OR(L293="",K293=""),"",MAX(L293-K293,0))</f>
        <v/>
      </c>
      <c r="N293" s="59">
        <f>IF(M293="","",IF(N(J293)=0,1,J293))</f>
        <v/>
      </c>
    </row>
    <row r="294">
      <c r="A294" s="53" t="n">
        <v>274</v>
      </c>
      <c r="B294" s="67" t="n"/>
      <c r="C294" s="55" t="n"/>
      <c r="D294" s="68" t="n"/>
      <c r="E294" s="68" t="n"/>
      <c r="F294" s="59">
        <f>IF(OR(E294="",D294=""),"",MAX(E294-D294,0))</f>
        <v/>
      </c>
      <c r="G294" s="59">
        <f>IF(F294="","",IF(N(C294)=0,1,C294))</f>
        <v/>
      </c>
      <c r="H294" s="53" t="n">
        <v>274</v>
      </c>
      <c r="I294" s="67" t="n"/>
      <c r="J294" s="55" t="n"/>
      <c r="K294" s="68" t="n"/>
      <c r="L294" s="68" t="n"/>
      <c r="M294" s="59">
        <f>IF(OR(L294="",K294=""),"",MAX(L294-K294,0))</f>
        <v/>
      </c>
      <c r="N294" s="59">
        <f>IF(M294="","",IF(N(J294)=0,1,J294))</f>
        <v/>
      </c>
    </row>
    <row r="295">
      <c r="A295" s="53" t="n">
        <v>275</v>
      </c>
      <c r="B295" s="67" t="n"/>
      <c r="C295" s="55" t="n"/>
      <c r="D295" s="68" t="n"/>
      <c r="E295" s="68" t="n"/>
      <c r="F295" s="59">
        <f>IF(OR(E295="",D295=""),"",MAX(E295-D295,0))</f>
        <v/>
      </c>
      <c r="G295" s="59">
        <f>IF(F295="","",IF(N(C295)=0,1,C295))</f>
        <v/>
      </c>
      <c r="H295" s="53" t="n">
        <v>275</v>
      </c>
      <c r="I295" s="67" t="n"/>
      <c r="J295" s="55" t="n"/>
      <c r="K295" s="68" t="n"/>
      <c r="L295" s="68" t="n"/>
      <c r="M295" s="59">
        <f>IF(OR(L295="",K295=""),"",MAX(L295-K295,0))</f>
        <v/>
      </c>
      <c r="N295" s="59">
        <f>IF(M295="","",IF(N(J295)=0,1,J295))</f>
        <v/>
      </c>
    </row>
    <row r="296">
      <c r="A296" s="53" t="n">
        <v>276</v>
      </c>
      <c r="B296" s="67" t="n"/>
      <c r="C296" s="55" t="n"/>
      <c r="D296" s="68" t="n"/>
      <c r="E296" s="68" t="n"/>
      <c r="F296" s="59">
        <f>IF(OR(E296="",D296=""),"",MAX(E296-D296,0))</f>
        <v/>
      </c>
      <c r="G296" s="59">
        <f>IF(F296="","",IF(N(C296)=0,1,C296))</f>
        <v/>
      </c>
      <c r="H296" s="53" t="n">
        <v>276</v>
      </c>
      <c r="I296" s="67" t="n"/>
      <c r="J296" s="55" t="n"/>
      <c r="K296" s="68" t="n"/>
      <c r="L296" s="68" t="n"/>
      <c r="M296" s="59">
        <f>IF(OR(L296="",K296=""),"",MAX(L296-K296,0))</f>
        <v/>
      </c>
      <c r="N296" s="59">
        <f>IF(M296="","",IF(N(J296)=0,1,J296))</f>
        <v/>
      </c>
    </row>
    <row r="297">
      <c r="A297" s="53" t="n">
        <v>277</v>
      </c>
      <c r="B297" s="67" t="n"/>
      <c r="C297" s="55" t="n"/>
      <c r="D297" s="68" t="n"/>
      <c r="E297" s="68" t="n"/>
      <c r="F297" s="59">
        <f>IF(OR(E297="",D297=""),"",MAX(E297-D297,0))</f>
        <v/>
      </c>
      <c r="G297" s="59">
        <f>IF(F297="","",IF(N(C297)=0,1,C297))</f>
        <v/>
      </c>
      <c r="H297" s="53" t="n">
        <v>277</v>
      </c>
      <c r="I297" s="67" t="n"/>
      <c r="J297" s="55" t="n"/>
      <c r="K297" s="68" t="n"/>
      <c r="L297" s="68" t="n"/>
      <c r="M297" s="59">
        <f>IF(OR(L297="",K297=""),"",MAX(L297-K297,0))</f>
        <v/>
      </c>
      <c r="N297" s="59">
        <f>IF(M297="","",IF(N(J297)=0,1,J297))</f>
        <v/>
      </c>
    </row>
    <row r="298">
      <c r="A298" s="53" t="n">
        <v>278</v>
      </c>
      <c r="B298" s="67" t="n"/>
      <c r="C298" s="55" t="n"/>
      <c r="D298" s="68" t="n"/>
      <c r="E298" s="68" t="n"/>
      <c r="F298" s="59">
        <f>IF(OR(E298="",D298=""),"",MAX(E298-D298,0))</f>
        <v/>
      </c>
      <c r="G298" s="59">
        <f>IF(F298="","",IF(N(C298)=0,1,C298))</f>
        <v/>
      </c>
      <c r="H298" s="53" t="n">
        <v>278</v>
      </c>
      <c r="I298" s="67" t="n"/>
      <c r="J298" s="55" t="n"/>
      <c r="K298" s="68" t="n"/>
      <c r="L298" s="68" t="n"/>
      <c r="M298" s="59">
        <f>IF(OR(L298="",K298=""),"",MAX(L298-K298,0))</f>
        <v/>
      </c>
      <c r="N298" s="59">
        <f>IF(M298="","",IF(N(J298)=0,1,J298))</f>
        <v/>
      </c>
    </row>
    <row r="299">
      <c r="A299" s="53" t="n">
        <v>279</v>
      </c>
      <c r="B299" s="67" t="n"/>
      <c r="C299" s="55" t="n"/>
      <c r="D299" s="68" t="n"/>
      <c r="E299" s="68" t="n"/>
      <c r="F299" s="59">
        <f>IF(OR(E299="",D299=""),"",MAX(E299-D299,0))</f>
        <v/>
      </c>
      <c r="G299" s="59">
        <f>IF(F299="","",IF(N(C299)=0,1,C299))</f>
        <v/>
      </c>
      <c r="H299" s="53" t="n">
        <v>279</v>
      </c>
      <c r="I299" s="67" t="n"/>
      <c r="J299" s="55" t="n"/>
      <c r="K299" s="68" t="n"/>
      <c r="L299" s="68" t="n"/>
      <c r="M299" s="59">
        <f>IF(OR(L299="",K299=""),"",MAX(L299-K299,0))</f>
        <v/>
      </c>
      <c r="N299" s="59">
        <f>IF(M299="","",IF(N(J299)=0,1,J299))</f>
        <v/>
      </c>
    </row>
    <row r="300">
      <c r="A300" s="53" t="n">
        <v>280</v>
      </c>
      <c r="B300" s="67" t="n"/>
      <c r="C300" s="55" t="n"/>
      <c r="D300" s="68" t="n"/>
      <c r="E300" s="68" t="n"/>
      <c r="F300" s="59">
        <f>IF(OR(E300="",D300=""),"",MAX(E300-D300,0))</f>
        <v/>
      </c>
      <c r="G300" s="59">
        <f>IF(F300="","",IF(N(C300)=0,1,C300))</f>
        <v/>
      </c>
      <c r="H300" s="53" t="n">
        <v>280</v>
      </c>
      <c r="I300" s="67" t="n"/>
      <c r="J300" s="55" t="n"/>
      <c r="K300" s="68" t="n"/>
      <c r="L300" s="68" t="n"/>
      <c r="M300" s="59">
        <f>IF(OR(L300="",K300=""),"",MAX(L300-K300,0))</f>
        <v/>
      </c>
      <c r="N300" s="59">
        <f>IF(M300="","",IF(N(J300)=0,1,J300))</f>
        <v/>
      </c>
    </row>
    <row r="301">
      <c r="A301" s="53" t="n">
        <v>281</v>
      </c>
      <c r="B301" s="67" t="n"/>
      <c r="C301" s="55" t="n"/>
      <c r="D301" s="68" t="n"/>
      <c r="E301" s="68" t="n"/>
      <c r="F301" s="59">
        <f>IF(OR(E301="",D301=""),"",MAX(E301-D301,0))</f>
        <v/>
      </c>
      <c r="G301" s="59">
        <f>IF(F301="","",IF(N(C301)=0,1,C301))</f>
        <v/>
      </c>
      <c r="H301" s="53" t="n">
        <v>281</v>
      </c>
      <c r="I301" s="67" t="n"/>
      <c r="J301" s="55" t="n"/>
      <c r="K301" s="68" t="n"/>
      <c r="L301" s="68" t="n"/>
      <c r="M301" s="59">
        <f>IF(OR(L301="",K301=""),"",MAX(L301-K301,0))</f>
        <v/>
      </c>
      <c r="N301" s="59">
        <f>IF(M301="","",IF(N(J301)=0,1,J301))</f>
        <v/>
      </c>
    </row>
    <row r="302">
      <c r="A302" s="53" t="n">
        <v>282</v>
      </c>
      <c r="B302" s="67" t="n"/>
      <c r="C302" s="55" t="n"/>
      <c r="D302" s="68" t="n"/>
      <c r="E302" s="68" t="n"/>
      <c r="F302" s="59">
        <f>IF(OR(E302="",D302=""),"",MAX(E302-D302,0))</f>
        <v/>
      </c>
      <c r="G302" s="59">
        <f>IF(F302="","",IF(N(C302)=0,1,C302))</f>
        <v/>
      </c>
      <c r="H302" s="53" t="n">
        <v>282</v>
      </c>
      <c r="I302" s="67" t="n"/>
      <c r="J302" s="55" t="n"/>
      <c r="K302" s="68" t="n"/>
      <c r="L302" s="68" t="n"/>
      <c r="M302" s="59">
        <f>IF(OR(L302="",K302=""),"",MAX(L302-K302,0))</f>
        <v/>
      </c>
      <c r="N302" s="59">
        <f>IF(M302="","",IF(N(J302)=0,1,J302))</f>
        <v/>
      </c>
    </row>
    <row r="303">
      <c r="A303" s="53" t="n">
        <v>283</v>
      </c>
      <c r="B303" s="67" t="n"/>
      <c r="C303" s="55" t="n"/>
      <c r="D303" s="68" t="n"/>
      <c r="E303" s="68" t="n"/>
      <c r="F303" s="59">
        <f>IF(OR(E303="",D303=""),"",MAX(E303-D303,0))</f>
        <v/>
      </c>
      <c r="G303" s="59">
        <f>IF(F303="","",IF(N(C303)=0,1,C303))</f>
        <v/>
      </c>
      <c r="H303" s="53" t="n">
        <v>283</v>
      </c>
      <c r="I303" s="67" t="n"/>
      <c r="J303" s="55" t="n"/>
      <c r="K303" s="68" t="n"/>
      <c r="L303" s="68" t="n"/>
      <c r="M303" s="59">
        <f>IF(OR(L303="",K303=""),"",MAX(L303-K303,0))</f>
        <v/>
      </c>
      <c r="N303" s="59">
        <f>IF(M303="","",IF(N(J303)=0,1,J303))</f>
        <v/>
      </c>
    </row>
    <row r="304">
      <c r="A304" s="53" t="n">
        <v>284</v>
      </c>
      <c r="B304" s="67" t="n"/>
      <c r="C304" s="55" t="n"/>
      <c r="D304" s="68" t="n"/>
      <c r="E304" s="68" t="n"/>
      <c r="F304" s="59">
        <f>IF(OR(E304="",D304=""),"",MAX(E304-D304,0))</f>
        <v/>
      </c>
      <c r="G304" s="59">
        <f>IF(F304="","",IF(N(C304)=0,1,C304))</f>
        <v/>
      </c>
      <c r="H304" s="53" t="n">
        <v>284</v>
      </c>
      <c r="I304" s="67" t="n"/>
      <c r="J304" s="55" t="n"/>
      <c r="K304" s="68" t="n"/>
      <c r="L304" s="68" t="n"/>
      <c r="M304" s="59">
        <f>IF(OR(L304="",K304=""),"",MAX(L304-K304,0))</f>
        <v/>
      </c>
      <c r="N304" s="59">
        <f>IF(M304="","",IF(N(J304)=0,1,J304))</f>
        <v/>
      </c>
    </row>
    <row r="305">
      <c r="A305" s="53" t="n">
        <v>285</v>
      </c>
      <c r="B305" s="67" t="n"/>
      <c r="C305" s="55" t="n"/>
      <c r="D305" s="68" t="n"/>
      <c r="E305" s="68" t="n"/>
      <c r="F305" s="59">
        <f>IF(OR(E305="",D305=""),"",MAX(E305-D305,0))</f>
        <v/>
      </c>
      <c r="G305" s="59">
        <f>IF(F305="","",IF(N(C305)=0,1,C305))</f>
        <v/>
      </c>
      <c r="H305" s="53" t="n">
        <v>285</v>
      </c>
      <c r="I305" s="67" t="n"/>
      <c r="J305" s="55" t="n"/>
      <c r="K305" s="68" t="n"/>
      <c r="L305" s="68" t="n"/>
      <c r="M305" s="59">
        <f>IF(OR(L305="",K305=""),"",MAX(L305-K305,0))</f>
        <v/>
      </c>
      <c r="N305" s="59">
        <f>IF(M305="","",IF(N(J305)=0,1,J305))</f>
        <v/>
      </c>
    </row>
    <row r="306">
      <c r="A306" s="53" t="n">
        <v>286</v>
      </c>
      <c r="B306" s="67" t="n"/>
      <c r="C306" s="55" t="n"/>
      <c r="D306" s="68" t="n"/>
      <c r="E306" s="68" t="n"/>
      <c r="F306" s="59">
        <f>IF(OR(E306="",D306=""),"",MAX(E306-D306,0))</f>
        <v/>
      </c>
      <c r="G306" s="59">
        <f>IF(F306="","",IF(N(C306)=0,1,C306))</f>
        <v/>
      </c>
      <c r="H306" s="53" t="n">
        <v>286</v>
      </c>
      <c r="I306" s="67" t="n"/>
      <c r="J306" s="55" t="n"/>
      <c r="K306" s="68" t="n"/>
      <c r="L306" s="68" t="n"/>
      <c r="M306" s="59">
        <f>IF(OR(L306="",K306=""),"",MAX(L306-K306,0))</f>
        <v/>
      </c>
      <c r="N306" s="59">
        <f>IF(M306="","",IF(N(J306)=0,1,J306))</f>
        <v/>
      </c>
    </row>
    <row r="307">
      <c r="A307" s="53" t="n">
        <v>287</v>
      </c>
      <c r="B307" s="67" t="n"/>
      <c r="C307" s="55" t="n"/>
      <c r="D307" s="68" t="n"/>
      <c r="E307" s="68" t="n"/>
      <c r="F307" s="59">
        <f>IF(OR(E307="",D307=""),"",MAX(E307-D307,0))</f>
        <v/>
      </c>
      <c r="G307" s="59">
        <f>IF(F307="","",IF(N(C307)=0,1,C307))</f>
        <v/>
      </c>
      <c r="H307" s="53" t="n">
        <v>287</v>
      </c>
      <c r="I307" s="67" t="n"/>
      <c r="J307" s="55" t="n"/>
      <c r="K307" s="68" t="n"/>
      <c r="L307" s="68" t="n"/>
      <c r="M307" s="59">
        <f>IF(OR(L307="",K307=""),"",MAX(L307-K307,0))</f>
        <v/>
      </c>
      <c r="N307" s="59">
        <f>IF(M307="","",IF(N(J307)=0,1,J307))</f>
        <v/>
      </c>
    </row>
    <row r="308">
      <c r="A308" s="53" t="n">
        <v>288</v>
      </c>
      <c r="B308" s="67" t="n"/>
      <c r="C308" s="55" t="n"/>
      <c r="D308" s="68" t="n"/>
      <c r="E308" s="68" t="n"/>
      <c r="F308" s="59">
        <f>IF(OR(E308="",D308=""),"",MAX(E308-D308,0))</f>
        <v/>
      </c>
      <c r="G308" s="59">
        <f>IF(F308="","",IF(N(C308)=0,1,C308))</f>
        <v/>
      </c>
      <c r="H308" s="53" t="n">
        <v>288</v>
      </c>
      <c r="I308" s="67" t="n"/>
      <c r="J308" s="55" t="n"/>
      <c r="K308" s="68" t="n"/>
      <c r="L308" s="68" t="n"/>
      <c r="M308" s="59">
        <f>IF(OR(L308="",K308=""),"",MAX(L308-K308,0))</f>
        <v/>
      </c>
      <c r="N308" s="59">
        <f>IF(M308="","",IF(N(J308)=0,1,J308))</f>
        <v/>
      </c>
    </row>
    <row r="309">
      <c r="A309" s="53" t="n">
        <v>289</v>
      </c>
      <c r="B309" s="67" t="n"/>
      <c r="C309" s="55" t="n"/>
      <c r="D309" s="68" t="n"/>
      <c r="E309" s="68" t="n"/>
      <c r="F309" s="59">
        <f>IF(OR(E309="",D309=""),"",MAX(E309-D309,0))</f>
        <v/>
      </c>
      <c r="G309" s="59">
        <f>IF(F309="","",IF(N(C309)=0,1,C309))</f>
        <v/>
      </c>
      <c r="H309" s="53" t="n">
        <v>289</v>
      </c>
      <c r="I309" s="67" t="n"/>
      <c r="J309" s="55" t="n"/>
      <c r="K309" s="68" t="n"/>
      <c r="L309" s="68" t="n"/>
      <c r="M309" s="59">
        <f>IF(OR(L309="",K309=""),"",MAX(L309-K309,0))</f>
        <v/>
      </c>
      <c r="N309" s="59">
        <f>IF(M309="","",IF(N(J309)=0,1,J309))</f>
        <v/>
      </c>
    </row>
    <row r="310">
      <c r="A310" s="53" t="n">
        <v>290</v>
      </c>
      <c r="B310" s="67" t="n"/>
      <c r="C310" s="55" t="n"/>
      <c r="D310" s="68" t="n"/>
      <c r="E310" s="68" t="n"/>
      <c r="F310" s="59">
        <f>IF(OR(E310="",D310=""),"",MAX(E310-D310,0))</f>
        <v/>
      </c>
      <c r="G310" s="59">
        <f>IF(F310="","",IF(N(C310)=0,1,C310))</f>
        <v/>
      </c>
      <c r="H310" s="53" t="n">
        <v>290</v>
      </c>
      <c r="I310" s="67" t="n"/>
      <c r="J310" s="55" t="n"/>
      <c r="K310" s="68" t="n"/>
      <c r="L310" s="68" t="n"/>
      <c r="M310" s="59">
        <f>IF(OR(L310="",K310=""),"",MAX(L310-K310,0))</f>
        <v/>
      </c>
      <c r="N310" s="59">
        <f>IF(M310="","",IF(N(J310)=0,1,J310))</f>
        <v/>
      </c>
    </row>
    <row r="311">
      <c r="A311" s="53" t="n">
        <v>291</v>
      </c>
      <c r="B311" s="67" t="n"/>
      <c r="C311" s="55" t="n"/>
      <c r="D311" s="68" t="n"/>
      <c r="E311" s="68" t="n"/>
      <c r="F311" s="59">
        <f>IF(OR(E311="",D311=""),"",MAX(E311-D311,0))</f>
        <v/>
      </c>
      <c r="G311" s="59">
        <f>IF(F311="","",IF(N(C311)=0,1,C311))</f>
        <v/>
      </c>
      <c r="H311" s="53" t="n">
        <v>291</v>
      </c>
      <c r="I311" s="67" t="n"/>
      <c r="J311" s="55" t="n"/>
      <c r="K311" s="68" t="n"/>
      <c r="L311" s="68" t="n"/>
      <c r="M311" s="59">
        <f>IF(OR(L311="",K311=""),"",MAX(L311-K311,0))</f>
        <v/>
      </c>
      <c r="N311" s="59">
        <f>IF(M311="","",IF(N(J311)=0,1,J311))</f>
        <v/>
      </c>
    </row>
    <row r="312">
      <c r="A312" s="53" t="n">
        <v>292</v>
      </c>
      <c r="B312" s="67" t="n"/>
      <c r="C312" s="55" t="n"/>
      <c r="D312" s="68" t="n"/>
      <c r="E312" s="68" t="n"/>
      <c r="F312" s="59">
        <f>IF(OR(E312="",D312=""),"",MAX(E312-D312,0))</f>
        <v/>
      </c>
      <c r="G312" s="59">
        <f>IF(F312="","",IF(N(C312)=0,1,C312))</f>
        <v/>
      </c>
      <c r="H312" s="53" t="n">
        <v>292</v>
      </c>
      <c r="I312" s="67" t="n"/>
      <c r="J312" s="55" t="n"/>
      <c r="K312" s="68" t="n"/>
      <c r="L312" s="68" t="n"/>
      <c r="M312" s="59">
        <f>IF(OR(L312="",K312=""),"",MAX(L312-K312,0))</f>
        <v/>
      </c>
      <c r="N312" s="59">
        <f>IF(M312="","",IF(N(J312)=0,1,J312))</f>
        <v/>
      </c>
    </row>
    <row r="313">
      <c r="A313" s="53" t="n">
        <v>293</v>
      </c>
      <c r="B313" s="67" t="n"/>
      <c r="C313" s="55" t="n"/>
      <c r="D313" s="68" t="n"/>
      <c r="E313" s="68" t="n"/>
      <c r="F313" s="59">
        <f>IF(OR(E313="",D313=""),"",MAX(E313-D313,0))</f>
        <v/>
      </c>
      <c r="G313" s="59">
        <f>IF(F313="","",IF(N(C313)=0,1,C313))</f>
        <v/>
      </c>
      <c r="H313" s="53" t="n">
        <v>293</v>
      </c>
      <c r="I313" s="67" t="n"/>
      <c r="J313" s="55" t="n"/>
      <c r="K313" s="68" t="n"/>
      <c r="L313" s="68" t="n"/>
      <c r="M313" s="59">
        <f>IF(OR(L313="",K313=""),"",MAX(L313-K313,0))</f>
        <v/>
      </c>
      <c r="N313" s="59">
        <f>IF(M313="","",IF(N(J313)=0,1,J313))</f>
        <v/>
      </c>
    </row>
    <row r="314">
      <c r="A314" s="53" t="n">
        <v>294</v>
      </c>
      <c r="B314" s="67" t="n"/>
      <c r="C314" s="55" t="n"/>
      <c r="D314" s="68" t="n"/>
      <c r="E314" s="68" t="n"/>
      <c r="F314" s="59">
        <f>IF(OR(E314="",D314=""),"",MAX(E314-D314,0))</f>
        <v/>
      </c>
      <c r="G314" s="59">
        <f>IF(F314="","",IF(N(C314)=0,1,C314))</f>
        <v/>
      </c>
      <c r="H314" s="53" t="n">
        <v>294</v>
      </c>
      <c r="I314" s="67" t="n"/>
      <c r="J314" s="55" t="n"/>
      <c r="K314" s="68" t="n"/>
      <c r="L314" s="68" t="n"/>
      <c r="M314" s="59">
        <f>IF(OR(L314="",K314=""),"",MAX(L314-K314,0))</f>
        <v/>
      </c>
      <c r="N314" s="59">
        <f>IF(M314="","",IF(N(J314)=0,1,J314))</f>
        <v/>
      </c>
    </row>
    <row r="315">
      <c r="A315" s="53" t="n">
        <v>295</v>
      </c>
      <c r="B315" s="67" t="n"/>
      <c r="C315" s="55" t="n"/>
      <c r="D315" s="68" t="n"/>
      <c r="E315" s="68" t="n"/>
      <c r="F315" s="59">
        <f>IF(OR(E315="",D315=""),"",MAX(E315-D315,0))</f>
        <v/>
      </c>
      <c r="G315" s="59">
        <f>IF(F315="","",IF(N(C315)=0,1,C315))</f>
        <v/>
      </c>
      <c r="H315" s="53" t="n">
        <v>295</v>
      </c>
      <c r="I315" s="67" t="n"/>
      <c r="J315" s="55" t="n"/>
      <c r="K315" s="68" t="n"/>
      <c r="L315" s="68" t="n"/>
      <c r="M315" s="59">
        <f>IF(OR(L315="",K315=""),"",MAX(L315-K315,0))</f>
        <v/>
      </c>
      <c r="N315" s="59">
        <f>IF(M315="","",IF(N(J315)=0,1,J315))</f>
        <v/>
      </c>
    </row>
    <row r="316">
      <c r="A316" s="53" t="n">
        <v>296</v>
      </c>
      <c r="B316" s="67" t="n"/>
      <c r="C316" s="55" t="n"/>
      <c r="D316" s="68" t="n"/>
      <c r="E316" s="68" t="n"/>
      <c r="F316" s="59">
        <f>IF(OR(E316="",D316=""),"",MAX(E316-D316,0))</f>
        <v/>
      </c>
      <c r="G316" s="59">
        <f>IF(F316="","",IF(N(C316)=0,1,C316))</f>
        <v/>
      </c>
      <c r="H316" s="53" t="n">
        <v>296</v>
      </c>
      <c r="I316" s="67" t="n"/>
      <c r="J316" s="55" t="n"/>
      <c r="K316" s="68" t="n"/>
      <c r="L316" s="68" t="n"/>
      <c r="M316" s="59">
        <f>IF(OR(L316="",K316=""),"",MAX(L316-K316,0))</f>
        <v/>
      </c>
      <c r="N316" s="59">
        <f>IF(M316="","",IF(N(J316)=0,1,J316))</f>
        <v/>
      </c>
    </row>
    <row r="317">
      <c r="A317" s="53" t="n">
        <v>297</v>
      </c>
      <c r="B317" s="67" t="n"/>
      <c r="C317" s="55" t="n"/>
      <c r="D317" s="68" t="n"/>
      <c r="E317" s="68" t="n"/>
      <c r="F317" s="59">
        <f>IF(OR(E317="",D317=""),"",MAX(E317-D317,0))</f>
        <v/>
      </c>
      <c r="G317" s="59">
        <f>IF(F317="","",IF(N(C317)=0,1,C317))</f>
        <v/>
      </c>
      <c r="H317" s="53" t="n">
        <v>297</v>
      </c>
      <c r="I317" s="67" t="n"/>
      <c r="J317" s="55" t="n"/>
      <c r="K317" s="68" t="n"/>
      <c r="L317" s="68" t="n"/>
      <c r="M317" s="59">
        <f>IF(OR(L317="",K317=""),"",MAX(L317-K317,0))</f>
        <v/>
      </c>
      <c r="N317" s="59">
        <f>IF(M317="","",IF(N(J317)=0,1,J317))</f>
        <v/>
      </c>
    </row>
    <row r="318">
      <c r="A318" s="53" t="n">
        <v>298</v>
      </c>
      <c r="B318" s="67" t="n"/>
      <c r="C318" s="55" t="n"/>
      <c r="D318" s="68" t="n"/>
      <c r="E318" s="68" t="n"/>
      <c r="F318" s="59">
        <f>IF(OR(E318="",D318=""),"",MAX(E318-D318,0))</f>
        <v/>
      </c>
      <c r="G318" s="59">
        <f>IF(F318="","",IF(N(C318)=0,1,C318))</f>
        <v/>
      </c>
      <c r="H318" s="53" t="n">
        <v>298</v>
      </c>
      <c r="I318" s="67" t="n"/>
      <c r="J318" s="55" t="n"/>
      <c r="K318" s="68" t="n"/>
      <c r="L318" s="68" t="n"/>
      <c r="M318" s="59">
        <f>IF(OR(L318="",K318=""),"",MAX(L318-K318,0))</f>
        <v/>
      </c>
      <c r="N318" s="59">
        <f>IF(M318="","",IF(N(J318)=0,1,J318))</f>
        <v/>
      </c>
    </row>
    <row r="319">
      <c r="A319" s="53" t="n">
        <v>299</v>
      </c>
      <c r="B319" s="67" t="n"/>
      <c r="C319" s="55" t="n"/>
      <c r="D319" s="68" t="n"/>
      <c r="E319" s="68" t="n"/>
      <c r="F319" s="59">
        <f>IF(OR(E319="",D319=""),"",MAX(E319-D319,0))</f>
        <v/>
      </c>
      <c r="G319" s="59">
        <f>IF(F319="","",IF(N(C319)=0,1,C319))</f>
        <v/>
      </c>
      <c r="H319" s="53" t="n">
        <v>299</v>
      </c>
      <c r="I319" s="67" t="n"/>
      <c r="J319" s="55" t="n"/>
      <c r="K319" s="68" t="n"/>
      <c r="L319" s="68" t="n"/>
      <c r="M319" s="59">
        <f>IF(OR(L319="",K319=""),"",MAX(L319-K319,0))</f>
        <v/>
      </c>
      <c r="N319" s="59">
        <f>IF(M319="","",IF(N(J319)=0,1,J319))</f>
        <v/>
      </c>
    </row>
    <row r="320">
      <c r="A320" s="53" t="n">
        <v>300</v>
      </c>
      <c r="B320" s="67" t="n"/>
      <c r="C320" s="55" t="n"/>
      <c r="D320" s="68" t="n"/>
      <c r="E320" s="68" t="n"/>
      <c r="F320" s="59">
        <f>IF(OR(E320="",D320=""),"",MAX(E320-D320,0))</f>
        <v/>
      </c>
      <c r="G320" s="59">
        <f>IF(F320="","",IF(N(C320)=0,1,C320))</f>
        <v/>
      </c>
      <c r="H320" s="53" t="n">
        <v>300</v>
      </c>
      <c r="I320" s="67" t="n"/>
      <c r="J320" s="55" t="n"/>
      <c r="K320" s="68" t="n"/>
      <c r="L320" s="68" t="n"/>
      <c r="M320" s="59">
        <f>IF(OR(L320="",K320=""),"",MAX(L320-K320,0))</f>
        <v/>
      </c>
      <c r="N320" s="59">
        <f>IF(M320="","",IF(N(J320)=0,1,J320))</f>
        <v/>
      </c>
    </row>
    <row r="321">
      <c r="A321" s="53" t="n">
        <v>301</v>
      </c>
      <c r="B321" s="67" t="n"/>
      <c r="C321" s="55" t="n"/>
      <c r="D321" s="68" t="n"/>
      <c r="E321" s="68" t="n"/>
      <c r="F321" s="59">
        <f>IF(OR(E321="",D321=""),"",MAX(E321-D321,0))</f>
        <v/>
      </c>
      <c r="G321" s="59">
        <f>IF(F321="","",IF(N(C321)=0,1,C321))</f>
        <v/>
      </c>
      <c r="H321" s="53" t="n">
        <v>301</v>
      </c>
      <c r="I321" s="67" t="n"/>
      <c r="J321" s="55" t="n"/>
      <c r="K321" s="68" t="n"/>
      <c r="L321" s="68" t="n"/>
      <c r="M321" s="59">
        <f>IF(OR(L321="",K321=""),"",MAX(L321-K321,0))</f>
        <v/>
      </c>
      <c r="N321" s="59">
        <f>IF(M321="","",IF(N(J321)=0,1,J321))</f>
        <v/>
      </c>
    </row>
    <row r="322">
      <c r="A322" s="53" t="n">
        <v>302</v>
      </c>
      <c r="B322" s="67" t="n"/>
      <c r="C322" s="55" t="n"/>
      <c r="D322" s="68" t="n"/>
      <c r="E322" s="68" t="n"/>
      <c r="F322" s="59">
        <f>IF(OR(E322="",D322=""),"",MAX(E322-D322,0))</f>
        <v/>
      </c>
      <c r="G322" s="59">
        <f>IF(F322="","",IF(N(C322)=0,1,C322))</f>
        <v/>
      </c>
      <c r="H322" s="53" t="n">
        <v>302</v>
      </c>
      <c r="I322" s="67" t="n"/>
      <c r="J322" s="55" t="n"/>
      <c r="K322" s="68" t="n"/>
      <c r="L322" s="68" t="n"/>
      <c r="M322" s="59">
        <f>IF(OR(L322="",K322=""),"",MAX(L322-K322,0))</f>
        <v/>
      </c>
      <c r="N322" s="59">
        <f>IF(M322="","",IF(N(J322)=0,1,J322))</f>
        <v/>
      </c>
    </row>
    <row r="323">
      <c r="A323" s="53" t="n">
        <v>303</v>
      </c>
      <c r="B323" s="67" t="n"/>
      <c r="C323" s="55" t="n"/>
      <c r="D323" s="68" t="n"/>
      <c r="E323" s="68" t="n"/>
      <c r="F323" s="59">
        <f>IF(OR(E323="",D323=""),"",MAX(E323-D323,0))</f>
        <v/>
      </c>
      <c r="G323" s="59">
        <f>IF(F323="","",IF(N(C323)=0,1,C323))</f>
        <v/>
      </c>
      <c r="H323" s="53" t="n">
        <v>303</v>
      </c>
      <c r="I323" s="67" t="n"/>
      <c r="J323" s="55" t="n"/>
      <c r="K323" s="68" t="n"/>
      <c r="L323" s="68" t="n"/>
      <c r="M323" s="59">
        <f>IF(OR(L323="",K323=""),"",MAX(L323-K323,0))</f>
        <v/>
      </c>
      <c r="N323" s="59">
        <f>IF(M323="","",IF(N(J323)=0,1,J323))</f>
        <v/>
      </c>
    </row>
    <row r="324">
      <c r="A324" s="53" t="n">
        <v>304</v>
      </c>
      <c r="B324" s="67" t="n"/>
      <c r="C324" s="55" t="n"/>
      <c r="D324" s="68" t="n"/>
      <c r="E324" s="68" t="n"/>
      <c r="F324" s="59">
        <f>IF(OR(E324="",D324=""),"",MAX(E324-D324,0))</f>
        <v/>
      </c>
      <c r="G324" s="59">
        <f>IF(F324="","",IF(N(C324)=0,1,C324))</f>
        <v/>
      </c>
      <c r="H324" s="53" t="n">
        <v>304</v>
      </c>
      <c r="I324" s="67" t="n"/>
      <c r="J324" s="55" t="n"/>
      <c r="K324" s="68" t="n"/>
      <c r="L324" s="68" t="n"/>
      <c r="M324" s="59">
        <f>IF(OR(L324="",K324=""),"",MAX(L324-K324,0))</f>
        <v/>
      </c>
      <c r="N324" s="59">
        <f>IF(M324="","",IF(N(J324)=0,1,J324))</f>
        <v/>
      </c>
    </row>
    <row r="325">
      <c r="A325" s="53" t="n">
        <v>305</v>
      </c>
      <c r="B325" s="67" t="n"/>
      <c r="C325" s="55" t="n"/>
      <c r="D325" s="68" t="n"/>
      <c r="E325" s="68" t="n"/>
      <c r="F325" s="59">
        <f>IF(OR(E325="",D325=""),"",MAX(E325-D325,0))</f>
        <v/>
      </c>
      <c r="G325" s="59">
        <f>IF(F325="","",IF(N(C325)=0,1,C325))</f>
        <v/>
      </c>
      <c r="H325" s="53" t="n">
        <v>305</v>
      </c>
      <c r="I325" s="67" t="n"/>
      <c r="J325" s="55" t="n"/>
      <c r="K325" s="68" t="n"/>
      <c r="L325" s="68" t="n"/>
      <c r="M325" s="59">
        <f>IF(OR(L325="",K325=""),"",MAX(L325-K325,0))</f>
        <v/>
      </c>
      <c r="N325" s="59">
        <f>IF(M325="","",IF(N(J325)=0,1,J325))</f>
        <v/>
      </c>
    </row>
    <row r="326">
      <c r="A326" s="53" t="n">
        <v>306</v>
      </c>
      <c r="B326" s="67" t="n"/>
      <c r="C326" s="55" t="n"/>
      <c r="D326" s="68" t="n"/>
      <c r="E326" s="68" t="n"/>
      <c r="F326" s="59">
        <f>IF(OR(E326="",D326=""),"",MAX(E326-D326,0))</f>
        <v/>
      </c>
      <c r="G326" s="59">
        <f>IF(F326="","",IF(N(C326)=0,1,C326))</f>
        <v/>
      </c>
      <c r="H326" s="53" t="n">
        <v>306</v>
      </c>
      <c r="I326" s="67" t="n"/>
      <c r="J326" s="55" t="n"/>
      <c r="K326" s="68" t="n"/>
      <c r="L326" s="68" t="n"/>
      <c r="M326" s="59">
        <f>IF(OR(L326="",K326=""),"",MAX(L326-K326,0))</f>
        <v/>
      </c>
      <c r="N326" s="59">
        <f>IF(M326="","",IF(N(J326)=0,1,J326))</f>
        <v/>
      </c>
    </row>
    <row r="327">
      <c r="A327" s="53" t="n">
        <v>307</v>
      </c>
      <c r="B327" s="67" t="n"/>
      <c r="C327" s="55" t="n"/>
      <c r="D327" s="68" t="n"/>
      <c r="E327" s="68" t="n"/>
      <c r="F327" s="59">
        <f>IF(OR(E327="",D327=""),"",MAX(E327-D327,0))</f>
        <v/>
      </c>
      <c r="G327" s="59">
        <f>IF(F327="","",IF(N(C327)=0,1,C327))</f>
        <v/>
      </c>
      <c r="H327" s="53" t="n">
        <v>307</v>
      </c>
      <c r="I327" s="67" t="n"/>
      <c r="J327" s="55" t="n"/>
      <c r="K327" s="68" t="n"/>
      <c r="L327" s="68" t="n"/>
      <c r="M327" s="59">
        <f>IF(OR(L327="",K327=""),"",MAX(L327-K327,0))</f>
        <v/>
      </c>
      <c r="N327" s="59">
        <f>IF(M327="","",IF(N(J327)=0,1,J327))</f>
        <v/>
      </c>
    </row>
    <row r="328">
      <c r="A328" s="53" t="n">
        <v>308</v>
      </c>
      <c r="B328" s="67" t="n"/>
      <c r="C328" s="55" t="n"/>
      <c r="D328" s="68" t="n"/>
      <c r="E328" s="68" t="n"/>
      <c r="F328" s="59">
        <f>IF(OR(E328="",D328=""),"",MAX(E328-D328,0))</f>
        <v/>
      </c>
      <c r="G328" s="59">
        <f>IF(F328="","",IF(N(C328)=0,1,C328))</f>
        <v/>
      </c>
      <c r="H328" s="53" t="n">
        <v>308</v>
      </c>
      <c r="I328" s="67" t="n"/>
      <c r="J328" s="55" t="n"/>
      <c r="K328" s="68" t="n"/>
      <c r="L328" s="68" t="n"/>
      <c r="M328" s="59">
        <f>IF(OR(L328="",K328=""),"",MAX(L328-K328,0))</f>
        <v/>
      </c>
      <c r="N328" s="59">
        <f>IF(M328="","",IF(N(J328)=0,1,J328))</f>
        <v/>
      </c>
    </row>
    <row r="329">
      <c r="A329" s="53" t="n">
        <v>309</v>
      </c>
      <c r="B329" s="67" t="n"/>
      <c r="C329" s="55" t="n"/>
      <c r="D329" s="68" t="n"/>
      <c r="E329" s="68" t="n"/>
      <c r="F329" s="59">
        <f>IF(OR(E329="",D329=""),"",MAX(E329-D329,0))</f>
        <v/>
      </c>
      <c r="G329" s="59">
        <f>IF(F329="","",IF(N(C329)=0,1,C329))</f>
        <v/>
      </c>
      <c r="H329" s="53" t="n">
        <v>309</v>
      </c>
      <c r="I329" s="67" t="n"/>
      <c r="J329" s="55" t="n"/>
      <c r="K329" s="68" t="n"/>
      <c r="L329" s="68" t="n"/>
      <c r="M329" s="59">
        <f>IF(OR(L329="",K329=""),"",MAX(L329-K329,0))</f>
        <v/>
      </c>
      <c r="N329" s="59">
        <f>IF(M329="","",IF(N(J329)=0,1,J329))</f>
        <v/>
      </c>
    </row>
    <row r="330">
      <c r="A330" s="53" t="n">
        <v>310</v>
      </c>
      <c r="B330" s="67" t="n"/>
      <c r="C330" s="55" t="n"/>
      <c r="D330" s="68" t="n"/>
      <c r="E330" s="68" t="n"/>
      <c r="F330" s="59">
        <f>IF(OR(E330="",D330=""),"",MAX(E330-D330,0))</f>
        <v/>
      </c>
      <c r="G330" s="59">
        <f>IF(F330="","",IF(N(C330)=0,1,C330))</f>
        <v/>
      </c>
      <c r="H330" s="53" t="n">
        <v>310</v>
      </c>
      <c r="I330" s="67" t="n"/>
      <c r="J330" s="55" t="n"/>
      <c r="K330" s="68" t="n"/>
      <c r="L330" s="68" t="n"/>
      <c r="M330" s="59">
        <f>IF(OR(L330="",K330=""),"",MAX(L330-K330,0))</f>
        <v/>
      </c>
      <c r="N330" s="59">
        <f>IF(M330="","",IF(N(J330)=0,1,J330))</f>
        <v/>
      </c>
    </row>
    <row r="331">
      <c r="A331" s="53" t="n">
        <v>311</v>
      </c>
      <c r="B331" s="67" t="n"/>
      <c r="C331" s="55" t="n"/>
      <c r="D331" s="68" t="n"/>
      <c r="E331" s="68" t="n"/>
      <c r="F331" s="59">
        <f>IF(OR(E331="",D331=""),"",MAX(E331-D331,0))</f>
        <v/>
      </c>
      <c r="G331" s="59">
        <f>IF(F331="","",IF(N(C331)=0,1,C331))</f>
        <v/>
      </c>
      <c r="H331" s="53" t="n">
        <v>311</v>
      </c>
      <c r="I331" s="67" t="n"/>
      <c r="J331" s="55" t="n"/>
      <c r="K331" s="68" t="n"/>
      <c r="L331" s="68" t="n"/>
      <c r="M331" s="59">
        <f>IF(OR(L331="",K331=""),"",MAX(L331-K331,0))</f>
        <v/>
      </c>
      <c r="N331" s="59">
        <f>IF(M331="","",IF(N(J331)=0,1,J331))</f>
        <v/>
      </c>
    </row>
    <row r="332">
      <c r="A332" s="53" t="n">
        <v>312</v>
      </c>
      <c r="B332" s="67" t="n"/>
      <c r="C332" s="55" t="n"/>
      <c r="D332" s="68" t="n"/>
      <c r="E332" s="68" t="n"/>
      <c r="F332" s="59">
        <f>IF(OR(E332="",D332=""),"",MAX(E332-D332,0))</f>
        <v/>
      </c>
      <c r="G332" s="59">
        <f>IF(F332="","",IF(N(C332)=0,1,C332))</f>
        <v/>
      </c>
      <c r="H332" s="53" t="n">
        <v>312</v>
      </c>
      <c r="I332" s="67" t="n"/>
      <c r="J332" s="55" t="n"/>
      <c r="K332" s="68" t="n"/>
      <c r="L332" s="68" t="n"/>
      <c r="M332" s="59">
        <f>IF(OR(L332="",K332=""),"",MAX(L332-K332,0))</f>
        <v/>
      </c>
      <c r="N332" s="59">
        <f>IF(M332="","",IF(N(J332)=0,1,J332))</f>
        <v/>
      </c>
    </row>
    <row r="333">
      <c r="A333" s="53" t="n">
        <v>313</v>
      </c>
      <c r="B333" s="67" t="n"/>
      <c r="C333" s="55" t="n"/>
      <c r="D333" s="68" t="n"/>
      <c r="E333" s="68" t="n"/>
      <c r="F333" s="59">
        <f>IF(OR(E333="",D333=""),"",MAX(E333-D333,0))</f>
        <v/>
      </c>
      <c r="G333" s="59">
        <f>IF(F333="","",IF(N(C333)=0,1,C333))</f>
        <v/>
      </c>
      <c r="H333" s="53" t="n">
        <v>313</v>
      </c>
      <c r="I333" s="67" t="n"/>
      <c r="J333" s="55" t="n"/>
      <c r="K333" s="68" t="n"/>
      <c r="L333" s="68" t="n"/>
      <c r="M333" s="59">
        <f>IF(OR(L333="",K333=""),"",MAX(L333-K333,0))</f>
        <v/>
      </c>
      <c r="N333" s="59">
        <f>IF(M333="","",IF(N(J333)=0,1,J333))</f>
        <v/>
      </c>
    </row>
    <row r="334">
      <c r="A334" s="53" t="n">
        <v>314</v>
      </c>
      <c r="B334" s="67" t="n"/>
      <c r="C334" s="55" t="n"/>
      <c r="D334" s="68" t="n"/>
      <c r="E334" s="68" t="n"/>
      <c r="F334" s="59">
        <f>IF(OR(E334="",D334=""),"",MAX(E334-D334,0))</f>
        <v/>
      </c>
      <c r="G334" s="59">
        <f>IF(F334="","",IF(N(C334)=0,1,C334))</f>
        <v/>
      </c>
      <c r="H334" s="53" t="n">
        <v>314</v>
      </c>
      <c r="I334" s="67" t="n"/>
      <c r="J334" s="55" t="n"/>
      <c r="K334" s="68" t="n"/>
      <c r="L334" s="68" t="n"/>
      <c r="M334" s="59">
        <f>IF(OR(L334="",K334=""),"",MAX(L334-K334,0))</f>
        <v/>
      </c>
      <c r="N334" s="59">
        <f>IF(M334="","",IF(N(J334)=0,1,J334))</f>
        <v/>
      </c>
    </row>
    <row r="335">
      <c r="A335" s="53" t="n">
        <v>315</v>
      </c>
      <c r="B335" s="67" t="n"/>
      <c r="C335" s="55" t="n"/>
      <c r="D335" s="68" t="n"/>
      <c r="E335" s="68" t="n"/>
      <c r="F335" s="59">
        <f>IF(OR(E335="",D335=""),"",MAX(E335-D335,0))</f>
        <v/>
      </c>
      <c r="G335" s="59">
        <f>IF(F335="","",IF(N(C335)=0,1,C335))</f>
        <v/>
      </c>
      <c r="H335" s="53" t="n">
        <v>315</v>
      </c>
      <c r="I335" s="67" t="n"/>
      <c r="J335" s="55" t="n"/>
      <c r="K335" s="68" t="n"/>
      <c r="L335" s="68" t="n"/>
      <c r="M335" s="59">
        <f>IF(OR(L335="",K335=""),"",MAX(L335-K335,0))</f>
        <v/>
      </c>
      <c r="N335" s="59">
        <f>IF(M335="","",IF(N(J335)=0,1,J335))</f>
        <v/>
      </c>
    </row>
    <row r="336">
      <c r="A336" s="53" t="n">
        <v>316</v>
      </c>
      <c r="B336" s="67" t="n"/>
      <c r="C336" s="55" t="n"/>
      <c r="D336" s="68" t="n"/>
      <c r="E336" s="68" t="n"/>
      <c r="F336" s="59">
        <f>IF(OR(E336="",D336=""),"",MAX(E336-D336,0))</f>
        <v/>
      </c>
      <c r="G336" s="59">
        <f>IF(F336="","",IF(N(C336)=0,1,C336))</f>
        <v/>
      </c>
      <c r="H336" s="53" t="n">
        <v>316</v>
      </c>
      <c r="I336" s="67" t="n"/>
      <c r="J336" s="55" t="n"/>
      <c r="K336" s="68" t="n"/>
      <c r="L336" s="68" t="n"/>
      <c r="M336" s="59">
        <f>IF(OR(L336="",K336=""),"",MAX(L336-K336,0))</f>
        <v/>
      </c>
      <c r="N336" s="59">
        <f>IF(M336="","",IF(N(J336)=0,1,J336))</f>
        <v/>
      </c>
    </row>
    <row r="337">
      <c r="A337" s="53" t="n">
        <v>317</v>
      </c>
      <c r="B337" s="67" t="n"/>
      <c r="C337" s="55" t="n"/>
      <c r="D337" s="68" t="n"/>
      <c r="E337" s="68" t="n"/>
      <c r="F337" s="59">
        <f>IF(OR(E337="",D337=""),"",MAX(E337-D337,0))</f>
        <v/>
      </c>
      <c r="G337" s="59">
        <f>IF(F337="","",IF(N(C337)=0,1,C337))</f>
        <v/>
      </c>
      <c r="H337" s="53" t="n">
        <v>317</v>
      </c>
      <c r="I337" s="67" t="n"/>
      <c r="J337" s="55" t="n"/>
      <c r="K337" s="68" t="n"/>
      <c r="L337" s="68" t="n"/>
      <c r="M337" s="59">
        <f>IF(OR(L337="",K337=""),"",MAX(L337-K337,0))</f>
        <v/>
      </c>
      <c r="N337" s="59">
        <f>IF(M337="","",IF(N(J337)=0,1,J337))</f>
        <v/>
      </c>
    </row>
    <row r="338">
      <c r="A338" s="53" t="n">
        <v>318</v>
      </c>
      <c r="B338" s="67" t="n"/>
      <c r="C338" s="55" t="n"/>
      <c r="D338" s="68" t="n"/>
      <c r="E338" s="68" t="n"/>
      <c r="F338" s="59">
        <f>IF(OR(E338="",D338=""),"",MAX(E338-D338,0))</f>
        <v/>
      </c>
      <c r="G338" s="59">
        <f>IF(F338="","",IF(N(C338)=0,1,C338))</f>
        <v/>
      </c>
      <c r="H338" s="53" t="n">
        <v>318</v>
      </c>
      <c r="I338" s="67" t="n"/>
      <c r="J338" s="55" t="n"/>
      <c r="K338" s="68" t="n"/>
      <c r="L338" s="68" t="n"/>
      <c r="M338" s="59">
        <f>IF(OR(L338="",K338=""),"",MAX(L338-K338,0))</f>
        <v/>
      </c>
      <c r="N338" s="59">
        <f>IF(M338="","",IF(N(J338)=0,1,J338))</f>
        <v/>
      </c>
    </row>
    <row r="339">
      <c r="A339" s="53" t="n">
        <v>319</v>
      </c>
      <c r="B339" s="67" t="n"/>
      <c r="C339" s="55" t="n"/>
      <c r="D339" s="68" t="n"/>
      <c r="E339" s="68" t="n"/>
      <c r="F339" s="59">
        <f>IF(OR(E339="",D339=""),"",MAX(E339-D339,0))</f>
        <v/>
      </c>
      <c r="G339" s="59">
        <f>IF(F339="","",IF(N(C339)=0,1,C339))</f>
        <v/>
      </c>
      <c r="H339" s="53" t="n">
        <v>319</v>
      </c>
      <c r="I339" s="67" t="n"/>
      <c r="J339" s="55" t="n"/>
      <c r="K339" s="68" t="n"/>
      <c r="L339" s="68" t="n"/>
      <c r="M339" s="59">
        <f>IF(OR(L339="",K339=""),"",MAX(L339-K339,0))</f>
        <v/>
      </c>
      <c r="N339" s="59">
        <f>IF(M339="","",IF(N(J339)=0,1,J339))</f>
        <v/>
      </c>
    </row>
    <row r="340">
      <c r="A340" s="53" t="n">
        <v>320</v>
      </c>
      <c r="B340" s="67" t="n"/>
      <c r="C340" s="55" t="n"/>
      <c r="D340" s="68" t="n"/>
      <c r="E340" s="68" t="n"/>
      <c r="F340" s="59">
        <f>IF(OR(E340="",D340=""),"",MAX(E340-D340,0))</f>
        <v/>
      </c>
      <c r="G340" s="59">
        <f>IF(F340="","",IF(N(C340)=0,1,C340))</f>
        <v/>
      </c>
      <c r="H340" s="53" t="n">
        <v>320</v>
      </c>
      <c r="I340" s="67" t="n"/>
      <c r="J340" s="55" t="n"/>
      <c r="K340" s="68" t="n"/>
      <c r="L340" s="68" t="n"/>
      <c r="M340" s="59">
        <f>IF(OR(L340="",K340=""),"",MAX(L340-K340,0))</f>
        <v/>
      </c>
      <c r="N340" s="59">
        <f>IF(M340="","",IF(N(J340)=0,1,J340))</f>
        <v/>
      </c>
    </row>
    <row r="341">
      <c r="A341" s="53" t="n">
        <v>321</v>
      </c>
      <c r="B341" s="67" t="n"/>
      <c r="C341" s="55" t="n"/>
      <c r="D341" s="68" t="n"/>
      <c r="E341" s="68" t="n"/>
      <c r="F341" s="59">
        <f>IF(OR(E341="",D341=""),"",MAX(E341-D341,0))</f>
        <v/>
      </c>
      <c r="G341" s="59">
        <f>IF(F341="","",IF(N(C341)=0,1,C341))</f>
        <v/>
      </c>
      <c r="H341" s="53" t="n">
        <v>321</v>
      </c>
      <c r="I341" s="67" t="n"/>
      <c r="J341" s="55" t="n"/>
      <c r="K341" s="68" t="n"/>
      <c r="L341" s="68" t="n"/>
      <c r="M341" s="59">
        <f>IF(OR(L341="",K341=""),"",MAX(L341-K341,0))</f>
        <v/>
      </c>
      <c r="N341" s="59">
        <f>IF(M341="","",IF(N(J341)=0,1,J341))</f>
        <v/>
      </c>
    </row>
    <row r="342">
      <c r="A342" s="53" t="n">
        <v>322</v>
      </c>
      <c r="B342" s="67" t="n"/>
      <c r="C342" s="55" t="n"/>
      <c r="D342" s="68" t="n"/>
      <c r="E342" s="68" t="n"/>
      <c r="F342" s="59">
        <f>IF(OR(E342="",D342=""),"",MAX(E342-D342,0))</f>
        <v/>
      </c>
      <c r="G342" s="59">
        <f>IF(F342="","",IF(N(C342)=0,1,C342))</f>
        <v/>
      </c>
      <c r="H342" s="53" t="n">
        <v>322</v>
      </c>
      <c r="I342" s="67" t="n"/>
      <c r="J342" s="55" t="n"/>
      <c r="K342" s="68" t="n"/>
      <c r="L342" s="68" t="n"/>
      <c r="M342" s="59">
        <f>IF(OR(L342="",K342=""),"",MAX(L342-K342,0))</f>
        <v/>
      </c>
      <c r="N342" s="59">
        <f>IF(M342="","",IF(N(J342)=0,1,J342))</f>
        <v/>
      </c>
    </row>
    <row r="343">
      <c r="A343" s="53" t="n">
        <v>323</v>
      </c>
      <c r="B343" s="67" t="n"/>
      <c r="C343" s="55" t="n"/>
      <c r="D343" s="68" t="n"/>
      <c r="E343" s="68" t="n"/>
      <c r="F343" s="59">
        <f>IF(OR(E343="",D343=""),"",MAX(E343-D343,0))</f>
        <v/>
      </c>
      <c r="G343" s="59">
        <f>IF(F343="","",IF(N(C343)=0,1,C343))</f>
        <v/>
      </c>
      <c r="H343" s="53" t="n">
        <v>323</v>
      </c>
      <c r="I343" s="67" t="n"/>
      <c r="J343" s="55" t="n"/>
      <c r="K343" s="68" t="n"/>
      <c r="L343" s="68" t="n"/>
      <c r="M343" s="59">
        <f>IF(OR(L343="",K343=""),"",MAX(L343-K343,0))</f>
        <v/>
      </c>
      <c r="N343" s="59">
        <f>IF(M343="","",IF(N(J343)=0,1,J343))</f>
        <v/>
      </c>
    </row>
    <row r="344">
      <c r="A344" s="53" t="n">
        <v>324</v>
      </c>
      <c r="B344" s="67" t="n"/>
      <c r="C344" s="55" t="n"/>
      <c r="D344" s="68" t="n"/>
      <c r="E344" s="68" t="n"/>
      <c r="F344" s="59">
        <f>IF(OR(E344="",D344=""),"",MAX(E344-D344,0))</f>
        <v/>
      </c>
      <c r="G344" s="59">
        <f>IF(F344="","",IF(N(C344)=0,1,C344))</f>
        <v/>
      </c>
      <c r="H344" s="53" t="n">
        <v>324</v>
      </c>
      <c r="I344" s="67" t="n"/>
      <c r="J344" s="55" t="n"/>
      <c r="K344" s="68" t="n"/>
      <c r="L344" s="68" t="n"/>
      <c r="M344" s="59">
        <f>IF(OR(L344="",K344=""),"",MAX(L344-K344,0))</f>
        <v/>
      </c>
      <c r="N344" s="59">
        <f>IF(M344="","",IF(N(J344)=0,1,J344))</f>
        <v/>
      </c>
    </row>
    <row r="345">
      <c r="A345" s="53" t="n">
        <v>325</v>
      </c>
      <c r="B345" s="67" t="n"/>
      <c r="C345" s="55" t="n"/>
      <c r="D345" s="68" t="n"/>
      <c r="E345" s="68" t="n"/>
      <c r="F345" s="59">
        <f>IF(OR(E345="",D345=""),"",MAX(E345-D345,0))</f>
        <v/>
      </c>
      <c r="G345" s="59">
        <f>IF(F345="","",IF(N(C345)=0,1,C345))</f>
        <v/>
      </c>
      <c r="H345" s="53" t="n">
        <v>325</v>
      </c>
      <c r="I345" s="67" t="n"/>
      <c r="J345" s="55" t="n"/>
      <c r="K345" s="68" t="n"/>
      <c r="L345" s="68" t="n"/>
      <c r="M345" s="59">
        <f>IF(OR(L345="",K345=""),"",MAX(L345-K345,0))</f>
        <v/>
      </c>
      <c r="N345" s="59">
        <f>IF(M345="","",IF(N(J345)=0,1,J345))</f>
        <v/>
      </c>
    </row>
    <row r="346">
      <c r="A346" s="53" t="n">
        <v>326</v>
      </c>
      <c r="B346" s="67" t="n"/>
      <c r="C346" s="55" t="n"/>
      <c r="D346" s="68" t="n"/>
      <c r="E346" s="68" t="n"/>
      <c r="F346" s="59">
        <f>IF(OR(E346="",D346=""),"",MAX(E346-D346,0))</f>
        <v/>
      </c>
      <c r="G346" s="59">
        <f>IF(F346="","",IF(N(C346)=0,1,C346))</f>
        <v/>
      </c>
      <c r="H346" s="53" t="n">
        <v>326</v>
      </c>
      <c r="I346" s="67" t="n"/>
      <c r="J346" s="55" t="n"/>
      <c r="K346" s="68" t="n"/>
      <c r="L346" s="68" t="n"/>
      <c r="M346" s="59">
        <f>IF(OR(L346="",K346=""),"",MAX(L346-K346,0))</f>
        <v/>
      </c>
      <c r="N346" s="59">
        <f>IF(M346="","",IF(N(J346)=0,1,J346))</f>
        <v/>
      </c>
    </row>
    <row r="347">
      <c r="A347" s="53" t="n">
        <v>327</v>
      </c>
      <c r="B347" s="67" t="n"/>
      <c r="C347" s="55" t="n"/>
      <c r="D347" s="68" t="n"/>
      <c r="E347" s="68" t="n"/>
      <c r="F347" s="59">
        <f>IF(OR(E347="",D347=""),"",MAX(E347-D347,0))</f>
        <v/>
      </c>
      <c r="G347" s="59">
        <f>IF(F347="","",IF(N(C347)=0,1,C347))</f>
        <v/>
      </c>
      <c r="H347" s="53" t="n">
        <v>327</v>
      </c>
      <c r="I347" s="67" t="n"/>
      <c r="J347" s="55" t="n"/>
      <c r="K347" s="68" t="n"/>
      <c r="L347" s="68" t="n"/>
      <c r="M347" s="59">
        <f>IF(OR(L347="",K347=""),"",MAX(L347-K347,0))</f>
        <v/>
      </c>
      <c r="N347" s="59">
        <f>IF(M347="","",IF(N(J347)=0,1,J347))</f>
        <v/>
      </c>
    </row>
    <row r="348">
      <c r="A348" s="53" t="n">
        <v>328</v>
      </c>
      <c r="B348" s="67" t="n"/>
      <c r="C348" s="55" t="n"/>
      <c r="D348" s="68" t="n"/>
      <c r="E348" s="68" t="n"/>
      <c r="F348" s="59">
        <f>IF(OR(E348="",D348=""),"",MAX(E348-D348,0))</f>
        <v/>
      </c>
      <c r="G348" s="59">
        <f>IF(F348="","",IF(N(C348)=0,1,C348))</f>
        <v/>
      </c>
      <c r="H348" s="53" t="n">
        <v>328</v>
      </c>
      <c r="I348" s="67" t="n"/>
      <c r="J348" s="55" t="n"/>
      <c r="K348" s="68" t="n"/>
      <c r="L348" s="68" t="n"/>
      <c r="M348" s="59">
        <f>IF(OR(L348="",K348=""),"",MAX(L348-K348,0))</f>
        <v/>
      </c>
      <c r="N348" s="59">
        <f>IF(M348="","",IF(N(J348)=0,1,J348))</f>
        <v/>
      </c>
    </row>
    <row r="349">
      <c r="A349" s="53" t="n">
        <v>329</v>
      </c>
      <c r="B349" s="67" t="n"/>
      <c r="C349" s="55" t="n"/>
      <c r="D349" s="68" t="n"/>
      <c r="E349" s="68" t="n"/>
      <c r="F349" s="59">
        <f>IF(OR(E349="",D349=""),"",MAX(E349-D349,0))</f>
        <v/>
      </c>
      <c r="G349" s="59">
        <f>IF(F349="","",IF(N(C349)=0,1,C349))</f>
        <v/>
      </c>
      <c r="H349" s="53" t="n">
        <v>329</v>
      </c>
      <c r="I349" s="67" t="n"/>
      <c r="J349" s="55" t="n"/>
      <c r="K349" s="68" t="n"/>
      <c r="L349" s="68" t="n"/>
      <c r="M349" s="59">
        <f>IF(OR(L349="",K349=""),"",MAX(L349-K349,0))</f>
        <v/>
      </c>
      <c r="N349" s="59">
        <f>IF(M349="","",IF(N(J349)=0,1,J349))</f>
        <v/>
      </c>
    </row>
    <row r="350">
      <c r="A350" s="53" t="n">
        <v>330</v>
      </c>
      <c r="B350" s="67" t="n"/>
      <c r="C350" s="55" t="n"/>
      <c r="D350" s="68" t="n"/>
      <c r="E350" s="68" t="n"/>
      <c r="F350" s="59">
        <f>IF(OR(E350="",D350=""),"",MAX(E350-D350,0))</f>
        <v/>
      </c>
      <c r="G350" s="59">
        <f>IF(F350="","",IF(N(C350)=0,1,C350))</f>
        <v/>
      </c>
      <c r="H350" s="53" t="n">
        <v>330</v>
      </c>
      <c r="I350" s="67" t="n"/>
      <c r="J350" s="55" t="n"/>
      <c r="K350" s="68" t="n"/>
      <c r="L350" s="68" t="n"/>
      <c r="M350" s="59">
        <f>IF(OR(L350="",K350=""),"",MAX(L350-K350,0))</f>
        <v/>
      </c>
      <c r="N350" s="59">
        <f>IF(M350="","",IF(N(J350)=0,1,J350))</f>
        <v/>
      </c>
    </row>
    <row r="351">
      <c r="A351" s="53" t="n">
        <v>331</v>
      </c>
      <c r="B351" s="67" t="n"/>
      <c r="C351" s="55" t="n"/>
      <c r="D351" s="68" t="n"/>
      <c r="E351" s="68" t="n"/>
      <c r="F351" s="59">
        <f>IF(OR(E351="",D351=""),"",MAX(E351-D351,0))</f>
        <v/>
      </c>
      <c r="G351" s="59">
        <f>IF(F351="","",IF(N(C351)=0,1,C351))</f>
        <v/>
      </c>
      <c r="H351" s="53" t="n">
        <v>331</v>
      </c>
      <c r="I351" s="67" t="n"/>
      <c r="J351" s="55" t="n"/>
      <c r="K351" s="68" t="n"/>
      <c r="L351" s="68" t="n"/>
      <c r="M351" s="59">
        <f>IF(OR(L351="",K351=""),"",MAX(L351-K351,0))</f>
        <v/>
      </c>
      <c r="N351" s="59">
        <f>IF(M351="","",IF(N(J351)=0,1,J351))</f>
        <v/>
      </c>
    </row>
    <row r="352">
      <c r="A352" s="53" t="n">
        <v>332</v>
      </c>
      <c r="B352" s="67" t="n"/>
      <c r="C352" s="55" t="n"/>
      <c r="D352" s="68" t="n"/>
      <c r="E352" s="68" t="n"/>
      <c r="F352" s="59">
        <f>IF(OR(E352="",D352=""),"",MAX(E352-D352,0))</f>
        <v/>
      </c>
      <c r="G352" s="59">
        <f>IF(F352="","",IF(N(C352)=0,1,C352))</f>
        <v/>
      </c>
      <c r="H352" s="53" t="n">
        <v>332</v>
      </c>
      <c r="I352" s="67" t="n"/>
      <c r="J352" s="55" t="n"/>
      <c r="K352" s="68" t="n"/>
      <c r="L352" s="68" t="n"/>
      <c r="M352" s="59">
        <f>IF(OR(L352="",K352=""),"",MAX(L352-K352,0))</f>
        <v/>
      </c>
      <c r="N352" s="59">
        <f>IF(M352="","",IF(N(J352)=0,1,J352))</f>
        <v/>
      </c>
    </row>
    <row r="353">
      <c r="A353" s="53" t="n">
        <v>333</v>
      </c>
      <c r="B353" s="67" t="n"/>
      <c r="C353" s="55" t="n"/>
      <c r="D353" s="68" t="n"/>
      <c r="E353" s="68" t="n"/>
      <c r="F353" s="59">
        <f>IF(OR(E353="",D353=""),"",MAX(E353-D353,0))</f>
        <v/>
      </c>
      <c r="G353" s="59">
        <f>IF(F353="","",IF(N(C353)=0,1,C353))</f>
        <v/>
      </c>
      <c r="H353" s="53" t="n">
        <v>333</v>
      </c>
      <c r="I353" s="67" t="n"/>
      <c r="J353" s="55" t="n"/>
      <c r="K353" s="68" t="n"/>
      <c r="L353" s="68" t="n"/>
      <c r="M353" s="59">
        <f>IF(OR(L353="",K353=""),"",MAX(L353-K353,0))</f>
        <v/>
      </c>
      <c r="N353" s="59">
        <f>IF(M353="","",IF(N(J353)=0,1,J353))</f>
        <v/>
      </c>
    </row>
    <row r="354">
      <c r="A354" s="53" t="n">
        <v>334</v>
      </c>
      <c r="B354" s="67" t="n"/>
      <c r="C354" s="55" t="n"/>
      <c r="D354" s="68" t="n"/>
      <c r="E354" s="68" t="n"/>
      <c r="F354" s="59">
        <f>IF(OR(E354="",D354=""),"",MAX(E354-D354,0))</f>
        <v/>
      </c>
      <c r="G354" s="59">
        <f>IF(F354="","",IF(N(C354)=0,1,C354))</f>
        <v/>
      </c>
      <c r="H354" s="53" t="n">
        <v>334</v>
      </c>
      <c r="I354" s="67" t="n"/>
      <c r="J354" s="55" t="n"/>
      <c r="K354" s="68" t="n"/>
      <c r="L354" s="68" t="n"/>
      <c r="M354" s="59">
        <f>IF(OR(L354="",K354=""),"",MAX(L354-K354,0))</f>
        <v/>
      </c>
      <c r="N354" s="59">
        <f>IF(M354="","",IF(N(J354)=0,1,J354))</f>
        <v/>
      </c>
    </row>
    <row r="355">
      <c r="A355" s="53" t="n">
        <v>335</v>
      </c>
      <c r="B355" s="67" t="n"/>
      <c r="C355" s="55" t="n"/>
      <c r="D355" s="68" t="n"/>
      <c r="E355" s="68" t="n"/>
      <c r="F355" s="59">
        <f>IF(OR(E355="",D355=""),"",MAX(E355-D355,0))</f>
        <v/>
      </c>
      <c r="G355" s="59">
        <f>IF(F355="","",IF(N(C355)=0,1,C355))</f>
        <v/>
      </c>
      <c r="H355" s="53" t="n">
        <v>335</v>
      </c>
      <c r="I355" s="67" t="n"/>
      <c r="J355" s="55" t="n"/>
      <c r="K355" s="68" t="n"/>
      <c r="L355" s="68" t="n"/>
      <c r="M355" s="59">
        <f>IF(OR(L355="",K355=""),"",MAX(L355-K355,0))</f>
        <v/>
      </c>
      <c r="N355" s="59">
        <f>IF(M355="","",IF(N(J355)=0,1,J355))</f>
        <v/>
      </c>
    </row>
    <row r="356">
      <c r="A356" s="53" t="n">
        <v>336</v>
      </c>
      <c r="B356" s="67" t="n"/>
      <c r="C356" s="55" t="n"/>
      <c r="D356" s="68" t="n"/>
      <c r="E356" s="68" t="n"/>
      <c r="F356" s="59">
        <f>IF(OR(E356="",D356=""),"",MAX(E356-D356,0))</f>
        <v/>
      </c>
      <c r="G356" s="59">
        <f>IF(F356="","",IF(N(C356)=0,1,C356))</f>
        <v/>
      </c>
      <c r="H356" s="53" t="n">
        <v>336</v>
      </c>
      <c r="I356" s="67" t="n"/>
      <c r="J356" s="55" t="n"/>
      <c r="K356" s="68" t="n"/>
      <c r="L356" s="68" t="n"/>
      <c r="M356" s="59">
        <f>IF(OR(L356="",K356=""),"",MAX(L356-K356,0))</f>
        <v/>
      </c>
      <c r="N356" s="59">
        <f>IF(M356="","",IF(N(J356)=0,1,J356))</f>
        <v/>
      </c>
    </row>
    <row r="357">
      <c r="A357" s="53" t="n">
        <v>337</v>
      </c>
      <c r="B357" s="67" t="n"/>
      <c r="C357" s="55" t="n"/>
      <c r="D357" s="68" t="n"/>
      <c r="E357" s="68" t="n"/>
      <c r="F357" s="59">
        <f>IF(OR(E357="",D357=""),"",MAX(E357-D357,0))</f>
        <v/>
      </c>
      <c r="G357" s="59">
        <f>IF(F357="","",IF(N(C357)=0,1,C357))</f>
        <v/>
      </c>
      <c r="H357" s="53" t="n">
        <v>337</v>
      </c>
      <c r="I357" s="67" t="n"/>
      <c r="J357" s="55" t="n"/>
      <c r="K357" s="68" t="n"/>
      <c r="L357" s="68" t="n"/>
      <c r="M357" s="59">
        <f>IF(OR(L357="",K357=""),"",MAX(L357-K357,0))</f>
        <v/>
      </c>
      <c r="N357" s="59">
        <f>IF(M357="","",IF(N(J357)=0,1,J357))</f>
        <v/>
      </c>
    </row>
    <row r="358">
      <c r="A358" s="53" t="n">
        <v>338</v>
      </c>
      <c r="B358" s="67" t="n"/>
      <c r="C358" s="55" t="n"/>
      <c r="D358" s="68" t="n"/>
      <c r="E358" s="68" t="n"/>
      <c r="F358" s="59">
        <f>IF(OR(E358="",D358=""),"",MAX(E358-D358,0))</f>
        <v/>
      </c>
      <c r="G358" s="59">
        <f>IF(F358="","",IF(N(C358)=0,1,C358))</f>
        <v/>
      </c>
      <c r="H358" s="53" t="n">
        <v>338</v>
      </c>
      <c r="I358" s="67" t="n"/>
      <c r="J358" s="55" t="n"/>
      <c r="K358" s="68" t="n"/>
      <c r="L358" s="68" t="n"/>
      <c r="M358" s="59">
        <f>IF(OR(L358="",K358=""),"",MAX(L358-K358,0))</f>
        <v/>
      </c>
      <c r="N358" s="59">
        <f>IF(M358="","",IF(N(J358)=0,1,J358))</f>
        <v/>
      </c>
    </row>
    <row r="359">
      <c r="A359" s="53" t="n">
        <v>339</v>
      </c>
      <c r="B359" s="67" t="n"/>
      <c r="C359" s="55" t="n"/>
      <c r="D359" s="68" t="n"/>
      <c r="E359" s="68" t="n"/>
      <c r="F359" s="59">
        <f>IF(OR(E359="",D359=""),"",MAX(E359-D359,0))</f>
        <v/>
      </c>
      <c r="G359" s="59">
        <f>IF(F359="","",IF(N(C359)=0,1,C359))</f>
        <v/>
      </c>
      <c r="H359" s="53" t="n">
        <v>339</v>
      </c>
      <c r="I359" s="67" t="n"/>
      <c r="J359" s="55" t="n"/>
      <c r="K359" s="68" t="n"/>
      <c r="L359" s="68" t="n"/>
      <c r="M359" s="59">
        <f>IF(OR(L359="",K359=""),"",MAX(L359-K359,0))</f>
        <v/>
      </c>
      <c r="N359" s="59">
        <f>IF(M359="","",IF(N(J359)=0,1,J359))</f>
        <v/>
      </c>
    </row>
    <row r="360">
      <c r="A360" s="53" t="n">
        <v>340</v>
      </c>
      <c r="B360" s="67" t="n"/>
      <c r="C360" s="55" t="n"/>
      <c r="D360" s="68" t="n"/>
      <c r="E360" s="68" t="n"/>
      <c r="F360" s="59">
        <f>IF(OR(E360="",D360=""),"",MAX(E360-D360,0))</f>
        <v/>
      </c>
      <c r="G360" s="59">
        <f>IF(F360="","",IF(N(C360)=0,1,C360))</f>
        <v/>
      </c>
      <c r="H360" s="53" t="n">
        <v>340</v>
      </c>
      <c r="I360" s="67" t="n"/>
      <c r="J360" s="55" t="n"/>
      <c r="K360" s="68" t="n"/>
      <c r="L360" s="68" t="n"/>
      <c r="M360" s="59">
        <f>IF(OR(L360="",K360=""),"",MAX(L360-K360,0))</f>
        <v/>
      </c>
      <c r="N360" s="59">
        <f>IF(M360="","",IF(N(J360)=0,1,J360))</f>
        <v/>
      </c>
    </row>
    <row r="361">
      <c r="A361" s="53" t="n">
        <v>341</v>
      </c>
      <c r="B361" s="67" t="n"/>
      <c r="C361" s="55" t="n"/>
      <c r="D361" s="68" t="n"/>
      <c r="E361" s="68" t="n"/>
      <c r="F361" s="59">
        <f>IF(OR(E361="",D361=""),"",MAX(E361-D361,0))</f>
        <v/>
      </c>
      <c r="G361" s="59">
        <f>IF(F361="","",IF(N(C361)=0,1,C361))</f>
        <v/>
      </c>
      <c r="H361" s="53" t="n">
        <v>341</v>
      </c>
      <c r="I361" s="67" t="n"/>
      <c r="J361" s="55" t="n"/>
      <c r="K361" s="68" t="n"/>
      <c r="L361" s="68" t="n"/>
      <c r="M361" s="59">
        <f>IF(OR(L361="",K361=""),"",MAX(L361-K361,0))</f>
        <v/>
      </c>
      <c r="N361" s="59">
        <f>IF(M361="","",IF(N(J361)=0,1,J361))</f>
        <v/>
      </c>
    </row>
    <row r="362">
      <c r="A362" s="53" t="n">
        <v>342</v>
      </c>
      <c r="B362" s="67" t="n"/>
      <c r="C362" s="55" t="n"/>
      <c r="D362" s="68" t="n"/>
      <c r="E362" s="68" t="n"/>
      <c r="F362" s="59">
        <f>IF(OR(E362="",D362=""),"",MAX(E362-D362,0))</f>
        <v/>
      </c>
      <c r="G362" s="59">
        <f>IF(F362="","",IF(N(C362)=0,1,C362))</f>
        <v/>
      </c>
      <c r="H362" s="53" t="n">
        <v>342</v>
      </c>
      <c r="I362" s="67" t="n"/>
      <c r="J362" s="55" t="n"/>
      <c r="K362" s="68" t="n"/>
      <c r="L362" s="68" t="n"/>
      <c r="M362" s="59">
        <f>IF(OR(L362="",K362=""),"",MAX(L362-K362,0))</f>
        <v/>
      </c>
      <c r="N362" s="59">
        <f>IF(M362="","",IF(N(J362)=0,1,J362))</f>
        <v/>
      </c>
    </row>
    <row r="363">
      <c r="A363" s="53" t="n">
        <v>343</v>
      </c>
      <c r="B363" s="67" t="n"/>
      <c r="C363" s="55" t="n"/>
      <c r="D363" s="68" t="n"/>
      <c r="E363" s="68" t="n"/>
      <c r="F363" s="59">
        <f>IF(OR(E363="",D363=""),"",MAX(E363-D363,0))</f>
        <v/>
      </c>
      <c r="G363" s="59">
        <f>IF(F363="","",IF(N(C363)=0,1,C363))</f>
        <v/>
      </c>
      <c r="H363" s="53" t="n">
        <v>343</v>
      </c>
      <c r="I363" s="67" t="n"/>
      <c r="J363" s="55" t="n"/>
      <c r="K363" s="68" t="n"/>
      <c r="L363" s="68" t="n"/>
      <c r="M363" s="59">
        <f>IF(OR(L363="",K363=""),"",MAX(L363-K363,0))</f>
        <v/>
      </c>
      <c r="N363" s="59">
        <f>IF(M363="","",IF(N(J363)=0,1,J363))</f>
        <v/>
      </c>
    </row>
    <row r="364">
      <c r="A364" s="53" t="n">
        <v>344</v>
      </c>
      <c r="B364" s="67" t="n"/>
      <c r="C364" s="55" t="n"/>
      <c r="D364" s="68" t="n"/>
      <c r="E364" s="68" t="n"/>
      <c r="F364" s="59">
        <f>IF(OR(E364="",D364=""),"",MAX(E364-D364,0))</f>
        <v/>
      </c>
      <c r="G364" s="59">
        <f>IF(F364="","",IF(N(C364)=0,1,C364))</f>
        <v/>
      </c>
      <c r="H364" s="53" t="n">
        <v>344</v>
      </c>
      <c r="I364" s="67" t="n"/>
      <c r="J364" s="55" t="n"/>
      <c r="K364" s="68" t="n"/>
      <c r="L364" s="68" t="n"/>
      <c r="M364" s="59">
        <f>IF(OR(L364="",K364=""),"",MAX(L364-K364,0))</f>
        <v/>
      </c>
      <c r="N364" s="59">
        <f>IF(M364="","",IF(N(J364)=0,1,J364))</f>
        <v/>
      </c>
    </row>
    <row r="365">
      <c r="A365" s="53" t="n">
        <v>345</v>
      </c>
      <c r="B365" s="67" t="n"/>
      <c r="C365" s="55" t="n"/>
      <c r="D365" s="68" t="n"/>
      <c r="E365" s="68" t="n"/>
      <c r="F365" s="59">
        <f>IF(OR(E365="",D365=""),"",MAX(E365-D365,0))</f>
        <v/>
      </c>
      <c r="G365" s="59">
        <f>IF(F365="","",IF(N(C365)=0,1,C365))</f>
        <v/>
      </c>
      <c r="H365" s="53" t="n">
        <v>345</v>
      </c>
      <c r="I365" s="67" t="n"/>
      <c r="J365" s="55" t="n"/>
      <c r="K365" s="68" t="n"/>
      <c r="L365" s="68" t="n"/>
      <c r="M365" s="59">
        <f>IF(OR(L365="",K365=""),"",MAX(L365-K365,0))</f>
        <v/>
      </c>
      <c r="N365" s="59">
        <f>IF(M365="","",IF(N(J365)=0,1,J365))</f>
        <v/>
      </c>
    </row>
    <row r="366">
      <c r="A366" s="53" t="n">
        <v>346</v>
      </c>
      <c r="B366" s="67" t="n"/>
      <c r="C366" s="55" t="n"/>
      <c r="D366" s="68" t="n"/>
      <c r="E366" s="68" t="n"/>
      <c r="F366" s="59">
        <f>IF(OR(E366="",D366=""),"",MAX(E366-D366,0))</f>
        <v/>
      </c>
      <c r="G366" s="59">
        <f>IF(F366="","",IF(N(C366)=0,1,C366))</f>
        <v/>
      </c>
      <c r="H366" s="53" t="n">
        <v>346</v>
      </c>
      <c r="I366" s="67" t="n"/>
      <c r="J366" s="55" t="n"/>
      <c r="K366" s="68" t="n"/>
      <c r="L366" s="68" t="n"/>
      <c r="M366" s="59">
        <f>IF(OR(L366="",K366=""),"",MAX(L366-K366,0))</f>
        <v/>
      </c>
      <c r="N366" s="59">
        <f>IF(M366="","",IF(N(J366)=0,1,J366))</f>
        <v/>
      </c>
    </row>
    <row r="367">
      <c r="A367" s="53" t="n">
        <v>347</v>
      </c>
      <c r="B367" s="67" t="n"/>
      <c r="C367" s="55" t="n"/>
      <c r="D367" s="68" t="n"/>
      <c r="E367" s="68" t="n"/>
      <c r="F367" s="59">
        <f>IF(OR(E367="",D367=""),"",MAX(E367-D367,0))</f>
        <v/>
      </c>
      <c r="G367" s="59">
        <f>IF(F367="","",IF(N(C367)=0,1,C367))</f>
        <v/>
      </c>
      <c r="H367" s="53" t="n">
        <v>347</v>
      </c>
      <c r="I367" s="67" t="n"/>
      <c r="J367" s="55" t="n"/>
      <c r="K367" s="68" t="n"/>
      <c r="L367" s="68" t="n"/>
      <c r="M367" s="59">
        <f>IF(OR(L367="",K367=""),"",MAX(L367-K367,0))</f>
        <v/>
      </c>
      <c r="N367" s="59">
        <f>IF(M367="","",IF(N(J367)=0,1,J367))</f>
        <v/>
      </c>
    </row>
    <row r="368">
      <c r="A368" s="53" t="n">
        <v>348</v>
      </c>
      <c r="B368" s="67" t="n"/>
      <c r="C368" s="55" t="n"/>
      <c r="D368" s="68" t="n"/>
      <c r="E368" s="68" t="n"/>
      <c r="F368" s="59">
        <f>IF(OR(E368="",D368=""),"",MAX(E368-D368,0))</f>
        <v/>
      </c>
      <c r="G368" s="59">
        <f>IF(F368="","",IF(N(C368)=0,1,C368))</f>
        <v/>
      </c>
      <c r="H368" s="53" t="n">
        <v>348</v>
      </c>
      <c r="I368" s="67" t="n"/>
      <c r="J368" s="55" t="n"/>
      <c r="K368" s="68" t="n"/>
      <c r="L368" s="68" t="n"/>
      <c r="M368" s="59">
        <f>IF(OR(L368="",K368=""),"",MAX(L368-K368,0))</f>
        <v/>
      </c>
      <c r="N368" s="59">
        <f>IF(M368="","",IF(N(J368)=0,1,J368))</f>
        <v/>
      </c>
    </row>
    <row r="369">
      <c r="A369" s="53" t="n">
        <v>349</v>
      </c>
      <c r="B369" s="67" t="n"/>
      <c r="C369" s="55" t="n"/>
      <c r="D369" s="68" t="n"/>
      <c r="E369" s="68" t="n"/>
      <c r="F369" s="59">
        <f>IF(OR(E369="",D369=""),"",MAX(E369-D369,0))</f>
        <v/>
      </c>
      <c r="G369" s="59">
        <f>IF(F369="","",IF(N(C369)=0,1,C369))</f>
        <v/>
      </c>
      <c r="H369" s="53" t="n">
        <v>349</v>
      </c>
      <c r="I369" s="67" t="n"/>
      <c r="J369" s="55" t="n"/>
      <c r="K369" s="68" t="n"/>
      <c r="L369" s="68" t="n"/>
      <c r="M369" s="59">
        <f>IF(OR(L369="",K369=""),"",MAX(L369-K369,0))</f>
        <v/>
      </c>
      <c r="N369" s="59">
        <f>IF(M369="","",IF(N(J369)=0,1,J369))</f>
        <v/>
      </c>
    </row>
    <row r="370">
      <c r="A370" s="53" t="n">
        <v>350</v>
      </c>
      <c r="B370" s="67" t="n"/>
      <c r="C370" s="55" t="n"/>
      <c r="D370" s="68" t="n"/>
      <c r="E370" s="68" t="n"/>
      <c r="F370" s="59">
        <f>IF(OR(E370="",D370=""),"",MAX(E370-D370,0))</f>
        <v/>
      </c>
      <c r="G370" s="59">
        <f>IF(F370="","",IF(N(C370)=0,1,C370))</f>
        <v/>
      </c>
      <c r="H370" s="53" t="n">
        <v>350</v>
      </c>
      <c r="I370" s="67" t="n"/>
      <c r="J370" s="55" t="n"/>
      <c r="K370" s="68" t="n"/>
      <c r="L370" s="68" t="n"/>
      <c r="M370" s="59">
        <f>IF(OR(L370="",K370=""),"",MAX(L370-K370,0))</f>
        <v/>
      </c>
      <c r="N370" s="59">
        <f>IF(M370="","",IF(N(J370)=0,1,J370))</f>
        <v/>
      </c>
    </row>
    <row r="371">
      <c r="A371" s="53" t="n">
        <v>351</v>
      </c>
      <c r="B371" s="67" t="n"/>
      <c r="C371" s="55" t="n"/>
      <c r="D371" s="68" t="n"/>
      <c r="E371" s="68" t="n"/>
      <c r="F371" s="59">
        <f>IF(OR(E371="",D371=""),"",MAX(E371-D371,0))</f>
        <v/>
      </c>
      <c r="G371" s="59">
        <f>IF(F371="","",IF(N(C371)=0,1,C371))</f>
        <v/>
      </c>
      <c r="H371" s="53" t="n">
        <v>351</v>
      </c>
      <c r="I371" s="67" t="n"/>
      <c r="J371" s="55" t="n"/>
      <c r="K371" s="68" t="n"/>
      <c r="L371" s="68" t="n"/>
      <c r="M371" s="59">
        <f>IF(OR(L371="",K371=""),"",MAX(L371-K371,0))</f>
        <v/>
      </c>
      <c r="N371" s="59">
        <f>IF(M371="","",IF(N(J371)=0,1,J371))</f>
        <v/>
      </c>
    </row>
    <row r="372">
      <c r="A372" s="53" t="n">
        <v>352</v>
      </c>
      <c r="B372" s="67" t="n"/>
      <c r="C372" s="55" t="n"/>
      <c r="D372" s="68" t="n"/>
      <c r="E372" s="68" t="n"/>
      <c r="F372" s="59">
        <f>IF(OR(E372="",D372=""),"",MAX(E372-D372,0))</f>
        <v/>
      </c>
      <c r="G372" s="59">
        <f>IF(F372="","",IF(N(C372)=0,1,C372))</f>
        <v/>
      </c>
      <c r="H372" s="53" t="n">
        <v>352</v>
      </c>
      <c r="I372" s="67" t="n"/>
      <c r="J372" s="55" t="n"/>
      <c r="K372" s="68" t="n"/>
      <c r="L372" s="68" t="n"/>
      <c r="M372" s="59">
        <f>IF(OR(L372="",K372=""),"",MAX(L372-K372,0))</f>
        <v/>
      </c>
      <c r="N372" s="59">
        <f>IF(M372="","",IF(N(J372)=0,1,J372))</f>
        <v/>
      </c>
    </row>
    <row r="373">
      <c r="A373" s="53" t="n">
        <v>353</v>
      </c>
      <c r="B373" s="67" t="n"/>
      <c r="C373" s="55" t="n"/>
      <c r="D373" s="68" t="n"/>
      <c r="E373" s="68" t="n"/>
      <c r="F373" s="59">
        <f>IF(OR(E373="",D373=""),"",MAX(E373-D373,0))</f>
        <v/>
      </c>
      <c r="G373" s="59">
        <f>IF(F373="","",IF(N(C373)=0,1,C373))</f>
        <v/>
      </c>
      <c r="H373" s="53" t="n">
        <v>353</v>
      </c>
      <c r="I373" s="67" t="n"/>
      <c r="J373" s="55" t="n"/>
      <c r="K373" s="68" t="n"/>
      <c r="L373" s="68" t="n"/>
      <c r="M373" s="59">
        <f>IF(OR(L373="",K373=""),"",MAX(L373-K373,0))</f>
        <v/>
      </c>
      <c r="N373" s="59">
        <f>IF(M373="","",IF(N(J373)=0,1,J373))</f>
        <v/>
      </c>
    </row>
    <row r="374">
      <c r="A374" s="53" t="n">
        <v>354</v>
      </c>
      <c r="B374" s="67" t="n"/>
      <c r="C374" s="55" t="n"/>
      <c r="D374" s="68" t="n"/>
      <c r="E374" s="68" t="n"/>
      <c r="F374" s="59">
        <f>IF(OR(E374="",D374=""),"",MAX(E374-D374,0))</f>
        <v/>
      </c>
      <c r="G374" s="59">
        <f>IF(F374="","",IF(N(C374)=0,1,C374))</f>
        <v/>
      </c>
      <c r="H374" s="53" t="n">
        <v>354</v>
      </c>
      <c r="I374" s="67" t="n"/>
      <c r="J374" s="55" t="n"/>
      <c r="K374" s="68" t="n"/>
      <c r="L374" s="68" t="n"/>
      <c r="M374" s="59">
        <f>IF(OR(L374="",K374=""),"",MAX(L374-K374,0))</f>
        <v/>
      </c>
      <c r="N374" s="59">
        <f>IF(M374="","",IF(N(J374)=0,1,J374))</f>
        <v/>
      </c>
    </row>
    <row r="375">
      <c r="A375" s="53" t="n">
        <v>355</v>
      </c>
      <c r="B375" s="67" t="n"/>
      <c r="C375" s="55" t="n"/>
      <c r="D375" s="68" t="n"/>
      <c r="E375" s="68" t="n"/>
      <c r="F375" s="59">
        <f>IF(OR(E375="",D375=""),"",MAX(E375-D375,0))</f>
        <v/>
      </c>
      <c r="G375" s="59">
        <f>IF(F375="","",IF(N(C375)=0,1,C375))</f>
        <v/>
      </c>
      <c r="H375" s="53" t="n">
        <v>355</v>
      </c>
      <c r="I375" s="67" t="n"/>
      <c r="J375" s="55" t="n"/>
      <c r="K375" s="68" t="n"/>
      <c r="L375" s="68" t="n"/>
      <c r="M375" s="59">
        <f>IF(OR(L375="",K375=""),"",MAX(L375-K375,0))</f>
        <v/>
      </c>
      <c r="N375" s="59">
        <f>IF(M375="","",IF(N(J375)=0,1,J375))</f>
        <v/>
      </c>
    </row>
    <row r="376">
      <c r="A376" s="53" t="n">
        <v>356</v>
      </c>
      <c r="B376" s="67" t="n"/>
      <c r="C376" s="55" t="n"/>
      <c r="D376" s="68" t="n"/>
      <c r="E376" s="68" t="n"/>
      <c r="F376" s="59">
        <f>IF(OR(E376="",D376=""),"",MAX(E376-D376,0))</f>
        <v/>
      </c>
      <c r="G376" s="59">
        <f>IF(F376="","",IF(N(C376)=0,1,C376))</f>
        <v/>
      </c>
      <c r="H376" s="53" t="n">
        <v>356</v>
      </c>
      <c r="I376" s="67" t="n"/>
      <c r="J376" s="55" t="n"/>
      <c r="K376" s="68" t="n"/>
      <c r="L376" s="68" t="n"/>
      <c r="M376" s="59">
        <f>IF(OR(L376="",K376=""),"",MAX(L376-K376,0))</f>
        <v/>
      </c>
      <c r="N376" s="59">
        <f>IF(M376="","",IF(N(J376)=0,1,J376))</f>
        <v/>
      </c>
    </row>
    <row r="377">
      <c r="A377" s="53" t="n">
        <v>357</v>
      </c>
      <c r="B377" s="67" t="n"/>
      <c r="C377" s="55" t="n"/>
      <c r="D377" s="68" t="n"/>
      <c r="E377" s="68" t="n"/>
      <c r="F377" s="59">
        <f>IF(OR(E377="",D377=""),"",MAX(E377-D377,0))</f>
        <v/>
      </c>
      <c r="G377" s="59">
        <f>IF(F377="","",IF(N(C377)=0,1,C377))</f>
        <v/>
      </c>
      <c r="H377" s="53" t="n">
        <v>357</v>
      </c>
      <c r="I377" s="67" t="n"/>
      <c r="J377" s="55" t="n"/>
      <c r="K377" s="68" t="n"/>
      <c r="L377" s="68" t="n"/>
      <c r="M377" s="59">
        <f>IF(OR(L377="",K377=""),"",MAX(L377-K377,0))</f>
        <v/>
      </c>
      <c r="N377" s="59">
        <f>IF(M377="","",IF(N(J377)=0,1,J377))</f>
        <v/>
      </c>
    </row>
    <row r="378">
      <c r="A378" s="53" t="n">
        <v>358</v>
      </c>
      <c r="B378" s="67" t="n"/>
      <c r="C378" s="55" t="n"/>
      <c r="D378" s="68" t="n"/>
      <c r="E378" s="68" t="n"/>
      <c r="F378" s="59">
        <f>IF(OR(E378="",D378=""),"",MAX(E378-D378,0))</f>
        <v/>
      </c>
      <c r="G378" s="59">
        <f>IF(F378="","",IF(N(C378)=0,1,C378))</f>
        <v/>
      </c>
      <c r="H378" s="53" t="n">
        <v>358</v>
      </c>
      <c r="I378" s="67" t="n"/>
      <c r="J378" s="55" t="n"/>
      <c r="K378" s="68" t="n"/>
      <c r="L378" s="68" t="n"/>
      <c r="M378" s="59">
        <f>IF(OR(L378="",K378=""),"",MAX(L378-K378,0))</f>
        <v/>
      </c>
      <c r="N378" s="59">
        <f>IF(M378="","",IF(N(J378)=0,1,J378))</f>
        <v/>
      </c>
    </row>
    <row r="379">
      <c r="A379" s="53" t="n">
        <v>359</v>
      </c>
      <c r="B379" s="67" t="n"/>
      <c r="C379" s="55" t="n"/>
      <c r="D379" s="68" t="n"/>
      <c r="E379" s="68" t="n"/>
      <c r="F379" s="59">
        <f>IF(OR(E379="",D379=""),"",MAX(E379-D379,0))</f>
        <v/>
      </c>
      <c r="G379" s="59">
        <f>IF(F379="","",IF(N(C379)=0,1,C379))</f>
        <v/>
      </c>
      <c r="H379" s="53" t="n">
        <v>359</v>
      </c>
      <c r="I379" s="67" t="n"/>
      <c r="J379" s="55" t="n"/>
      <c r="K379" s="68" t="n"/>
      <c r="L379" s="68" t="n"/>
      <c r="M379" s="59">
        <f>IF(OR(L379="",K379=""),"",MAX(L379-K379,0))</f>
        <v/>
      </c>
      <c r="N379" s="59">
        <f>IF(M379="","",IF(N(J379)=0,1,J379))</f>
        <v/>
      </c>
    </row>
    <row r="380">
      <c r="A380" s="53" t="n">
        <v>360</v>
      </c>
      <c r="B380" s="67" t="n"/>
      <c r="C380" s="55" t="n"/>
      <c r="D380" s="68" t="n"/>
      <c r="E380" s="68" t="n"/>
      <c r="F380" s="59">
        <f>IF(OR(E380="",D380=""),"",MAX(E380-D380,0))</f>
        <v/>
      </c>
      <c r="G380" s="59">
        <f>IF(F380="","",IF(N(C380)=0,1,C380))</f>
        <v/>
      </c>
      <c r="H380" s="53" t="n">
        <v>360</v>
      </c>
      <c r="I380" s="67" t="n"/>
      <c r="J380" s="55" t="n"/>
      <c r="K380" s="68" t="n"/>
      <c r="L380" s="68" t="n"/>
      <c r="M380" s="59">
        <f>IF(OR(L380="",K380=""),"",MAX(L380-K380,0))</f>
        <v/>
      </c>
      <c r="N380" s="59">
        <f>IF(M380="","",IF(N(J380)=0,1,J380))</f>
        <v/>
      </c>
    </row>
    <row r="381">
      <c r="A381" s="60" t="n"/>
      <c r="B381" s="61" t="inlineStr">
        <is>
          <t>Total</t>
        </is>
      </c>
      <c r="C381" s="65">
        <f>SUM(C21:C380)</f>
        <v/>
      </c>
      <c r="D381" s="60" t="n"/>
      <c r="E381" s="60" t="n"/>
      <c r="F381" s="62">
        <f>IF(N(G381)=0,"",SUMPRODUCT(F21:F380,G21:G380)/G381)</f>
        <v/>
      </c>
      <c r="G381" s="65">
        <f>SUM(G21:G380)</f>
        <v/>
      </c>
      <c r="H381" s="60" t="n"/>
      <c r="I381" s="61" t="inlineStr">
        <is>
          <t>Total</t>
        </is>
      </c>
      <c r="J381" s="65">
        <f>SUM(J21:J380)</f>
        <v/>
      </c>
      <c r="K381" s="60" t="n"/>
      <c r="L381" s="60" t="n"/>
      <c r="M381" s="62">
        <f>IF(N(N381)=0,"",SUMPRODUCT(M21:M380,N21:N380)/N381)</f>
        <v/>
      </c>
      <c r="N381" s="65">
        <f>SUM(N21:N380)</f>
        <v/>
      </c>
    </row>
    <row r="382">
      <c r="B38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38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380" showDropDown="0" showInputMessage="0" showErrorMessage="1" allowBlank="1" error="No. of Posts must be a whole number &gt;= 1." type="whole" operator="greaterThanOrEqual">
      <formula1>1</formula1>
    </dataValidation>
    <dataValidation sqref="K21:L38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38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1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Quito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IF(OCT!$G$5="","",OCT!$G$5)</f>
        <v/>
      </c>
      <c r="D4" s="55" t="n"/>
      <c r="E4" s="56">
        <f>IF(OCT!$G$43="","",OCT!$G$43)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IF(OCT!$G$44="","",OCT!$G$44)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IF($C4="","",SUMPRODUCT(($E$21:$E$160&gt;=$Z$4)*($E$21:$E$160&lt;=EOMONTH($Z4,0)),$G$21:$G$160))</f>
        <v/>
      </c>
      <c r="AB4" s="56">
        <f>IF(N(AA4)=0,"",SUMPRODUCT(($E$21:$E$160&gt;=$Z$4)*($E$21:$E$160&lt;=EOMONTH($Z4,0)),$F$21:$F$160,$G$21:$G$160)/AA4)</f>
        <v/>
      </c>
      <c r="AC4" s="59">
        <f>IF($C4="","",SUMPRODUCT(($L$21:$L$160&gt;=$Z$4)*($L$21:$L$160&lt;=EOMONTH($Z4,0)),$N$21:$N$160))</f>
        <v/>
      </c>
      <c r="AD4" s="56">
        <f>IF(N(AC4)=0,"",SUMPRODUCT(($L$21:$L$160&gt;=$Z$4)*($L$21:$L$160&lt;=EOMONTH($Z4,0)),$M$21:$M$160,$N$21:$N$160)/AC4)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IF(NOV!$G$5="","",NOV!$G$5)</f>
        <v/>
      </c>
      <c r="D5" s="55" t="n"/>
      <c r="E5" s="56">
        <f>IF(NOV!$G$43="","",NOV!$G$43)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IF(NOV!$G$44="","",NOV!$G$44)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IF($C5="","",SUMPRODUCT(($E$21:$E$160&gt;=$Z$4)*($E$21:$E$160&lt;=EOMONTH($Z5,0)),$G$21:$G$160))</f>
        <v/>
      </c>
      <c r="AB5" s="56">
        <f>IF(N(AA5)=0,"",SUMPRODUCT(($E$21:$E$160&gt;=$Z$4)*($E$21:$E$160&lt;=EOMONTH($Z5,0)),$F$21:$F$160,$G$21:$G$160)/AA5)</f>
        <v/>
      </c>
      <c r="AC5" s="59">
        <f>IF($C5="","",SUMPRODUCT(($L$21:$L$160&gt;=$Z$4)*($L$21:$L$160&lt;=EOMONTH($Z5,0)),$N$21:$N$160))</f>
        <v/>
      </c>
      <c r="AD5" s="56">
        <f>IF(N(AC5)=0,"",SUMPRODUCT(($L$21:$L$160&gt;=$Z$4)*($L$21:$L$160&lt;=EOMONTH($Z5,0)),$M$21:$M$160,$N$21:$N$160)/AC5)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IF(DEC!$G$5="","",DEC!$G$5)</f>
        <v/>
      </c>
      <c r="D6" s="55" t="n"/>
      <c r="E6" s="56">
        <f>IF(DEC!$G$43="","",DEC!$G$43)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IF(DEC!$G$44="","",DEC!$G$44)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IF($C6="","",SUMPRODUCT(($E$21:$E$160&gt;=$Z$4)*($E$21:$E$160&lt;=EOMONTH($Z6,0)),$G$21:$G$160))</f>
        <v/>
      </c>
      <c r="AB6" s="56">
        <f>IF(N(AA6)=0,"",SUMPRODUCT(($E$21:$E$160&gt;=$Z$4)*($E$21:$E$160&lt;=EOMONTH($Z6,0)),$F$21:$F$160,$G$21:$G$160)/AA6)</f>
        <v/>
      </c>
      <c r="AC6" s="59">
        <f>IF($C6="","",SUMPRODUCT(($L$21:$L$160&gt;=$Z$4)*($L$21:$L$160&lt;=EOMONTH($Z6,0)),$N$21:$N$160))</f>
        <v/>
      </c>
      <c r="AD6" s="56">
        <f>IF(N(AC6)=0,"",SUMPRODUCT(($L$21:$L$160&gt;=$Z$4)*($L$21:$L$160&lt;=EOMONTH($Z6,0)),$M$21:$M$160,$N$21:$N$160)/AC6)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IF(JAN!$G$5="","",JAN!$G$5)</f>
        <v/>
      </c>
      <c r="D7" s="55" t="n"/>
      <c r="E7" s="56">
        <f>IF(JAN!$G$43="","",JAN!$G$43)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IF(JAN!$G$44="","",JAN!$G$44)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IF($C7="","",SUMPRODUCT(($E$21:$E$160&gt;=$Z$4)*($E$21:$E$160&lt;=EOMONTH($Z7,0)),$G$21:$G$160))</f>
        <v/>
      </c>
      <c r="AB7" s="56">
        <f>IF(N(AA7)=0,"",SUMPRODUCT(($E$21:$E$160&gt;=$Z$4)*($E$21:$E$160&lt;=EOMONTH($Z7,0)),$F$21:$F$160,$G$21:$G$160)/AA7)</f>
        <v/>
      </c>
      <c r="AC7" s="59">
        <f>IF($C7="","",SUMPRODUCT(($L$21:$L$160&gt;=$Z$4)*($L$21:$L$160&lt;=EOMONTH($Z7,0)),$N$21:$N$160))</f>
        <v/>
      </c>
      <c r="AD7" s="56">
        <f>IF(N(AC7)=0,"",SUMPRODUCT(($L$21:$L$160&gt;=$Z$4)*($L$21:$L$160&lt;=EOMONTH($Z7,0)),$M$21:$M$160,$N$21:$N$160)/AC7)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IF(FEB!$G$5="","",FEB!$G$5)</f>
        <v/>
      </c>
      <c r="D8" s="55" t="n"/>
      <c r="E8" s="56">
        <f>IF(FEB!$G$43="","",FEB!$G$43)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IF(FEB!$G$44="","",FEB!$G$44)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IF($C8="","",SUMPRODUCT(($E$21:$E$160&gt;=$Z$4)*($E$21:$E$160&lt;=EOMONTH($Z8,0)),$G$21:$G$160))</f>
        <v/>
      </c>
      <c r="AB8" s="56">
        <f>IF(N(AA8)=0,"",SUMPRODUCT(($E$21:$E$160&gt;=$Z$4)*($E$21:$E$160&lt;=EOMONTH($Z8,0)),$F$21:$F$160,$G$21:$G$160)/AA8)</f>
        <v/>
      </c>
      <c r="AC8" s="59">
        <f>IF($C8="","",SUMPRODUCT(($L$21:$L$160&gt;=$Z$4)*($L$21:$L$160&lt;=EOMONTH($Z8,0)),$N$21:$N$160))</f>
        <v/>
      </c>
      <c r="AD8" s="56">
        <f>IF(N(AC8)=0,"",SUMPRODUCT(($L$21:$L$160&gt;=$Z$4)*($L$21:$L$160&lt;=EOMONTH($Z8,0)),$M$21:$M$160,$N$21:$N$160)/AC8)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IF(MAR!$G$5="","",MAR!$G$5)</f>
        <v/>
      </c>
      <c r="D9" s="55" t="n"/>
      <c r="E9" s="56">
        <f>IF(MAR!$G$43="","",MAR!$G$43)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IF(MAR!$G$44="","",MAR!$G$44)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IF($C9="","",SUMPRODUCT(($E$21:$E$160&gt;=$Z$4)*($E$21:$E$160&lt;=EOMONTH($Z9,0)),$G$21:$G$160))</f>
        <v/>
      </c>
      <c r="AB9" s="56">
        <f>IF(N(AA9)=0,"",SUMPRODUCT(($E$21:$E$160&gt;=$Z$4)*($E$21:$E$160&lt;=EOMONTH($Z9,0)),$F$21:$F$160,$G$21:$G$160)/AA9)</f>
        <v/>
      </c>
      <c r="AC9" s="59">
        <f>IF($C9="","",SUMPRODUCT(($L$21:$L$160&gt;=$Z$4)*($L$21:$L$160&lt;=EOMONTH($Z9,0)),$N$21:$N$160))</f>
        <v/>
      </c>
      <c r="AD9" s="56">
        <f>IF(N(AC9)=0,"",SUMPRODUCT(($L$21:$L$160&gt;=$Z$4)*($L$21:$L$160&lt;=EOMONTH($Z9,0)),$M$21:$M$160,$N$21:$N$160)/AC9)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IF(APR!$G$5="","",APR!$G$5)</f>
        <v/>
      </c>
      <c r="D10" s="55" t="n"/>
      <c r="E10" s="56">
        <f>IF(APR!$G$43="","",APR!$G$43)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IF(APR!$G$44="","",APR!$G$44)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IF($C10="","",SUMPRODUCT(($E$21:$E$160&gt;=$Z$4)*($E$21:$E$160&lt;=EOMONTH($Z10,0)),$G$21:$G$160))</f>
        <v/>
      </c>
      <c r="AB10" s="56">
        <f>IF(N(AA10)=0,"",SUMPRODUCT(($E$21:$E$160&gt;=$Z$4)*($E$21:$E$160&lt;=EOMONTH($Z10,0)),$F$21:$F$160,$G$21:$G$160)/AA10)</f>
        <v/>
      </c>
      <c r="AC10" s="59">
        <f>IF($C10="","",SUMPRODUCT(($L$21:$L$160&gt;=$Z$4)*($L$21:$L$160&lt;=EOMONTH($Z10,0)),$N$21:$N$160))</f>
        <v/>
      </c>
      <c r="AD10" s="56">
        <f>IF(N(AC10)=0,"",SUMPRODUCT(($L$21:$L$160&gt;=$Z$4)*($L$21:$L$160&lt;=EOMONTH($Z10,0)),$M$21:$M$160,$N$21:$N$160)/AC10)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IF(MAY!$G$5="","",MAY!$G$5)</f>
        <v/>
      </c>
      <c r="D11" s="55" t="n"/>
      <c r="E11" s="56">
        <f>IF(MAY!$G$43="","",MAY!$G$43)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IF(MAY!$G$44="","",MAY!$G$44)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IF($C11="","",SUMPRODUCT(($E$21:$E$160&gt;=$Z$4)*($E$21:$E$160&lt;=EOMONTH($Z11,0)),$G$21:$G$160))</f>
        <v/>
      </c>
      <c r="AB11" s="56">
        <f>IF(N(AA11)=0,"",SUMPRODUCT(($E$21:$E$160&gt;=$Z$4)*($E$21:$E$160&lt;=EOMONTH($Z11,0)),$F$21:$F$160,$G$21:$G$160)/AA11)</f>
        <v/>
      </c>
      <c r="AC11" s="59">
        <f>IF($C11="","",SUMPRODUCT(($L$21:$L$160&gt;=$Z$4)*($L$21:$L$160&lt;=EOMONTH($Z11,0)),$N$21:$N$160))</f>
        <v/>
      </c>
      <c r="AD11" s="56">
        <f>IF(N(AC11)=0,"",SUMPRODUCT(($L$21:$L$160&gt;=$Z$4)*($L$21:$L$160&lt;=EOMONTH($Z11,0)),$M$21:$M$160,$N$21:$N$160)/AC11)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IF(JUN!$G$5="","",JUN!$G$5)</f>
        <v/>
      </c>
      <c r="D12" s="55" t="n"/>
      <c r="E12" s="56">
        <f>IF(JUN!$G$43="","",JUN!$G$43)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IF(JUN!$G$44="","",JUN!$G$44)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IF($C12="","",SUMPRODUCT(($E$21:$E$160&gt;=$Z$4)*($E$21:$E$160&lt;=EOMONTH($Z12,0)),$G$21:$G$160))</f>
        <v/>
      </c>
      <c r="AB12" s="56">
        <f>IF(N(AA12)=0,"",SUMPRODUCT(($E$21:$E$160&gt;=$Z$4)*($E$21:$E$160&lt;=EOMONTH($Z12,0)),$F$21:$F$160,$G$21:$G$160)/AA12)</f>
        <v/>
      </c>
      <c r="AC12" s="59">
        <f>IF($C12="","",SUMPRODUCT(($L$21:$L$160&gt;=$Z$4)*($L$21:$L$160&lt;=EOMONTH($Z12,0)),$N$21:$N$160))</f>
        <v/>
      </c>
      <c r="AD12" s="56">
        <f>IF(N(AC12)=0,"",SUMPRODUCT(($L$21:$L$160&gt;=$Z$4)*($L$21:$L$160&lt;=EOMONTH($Z12,0)),$M$21:$M$160,$N$21:$N$160)/AC12)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IF(JUL!$G$5="","",JUL!$G$5)</f>
        <v/>
      </c>
      <c r="D13" s="55" t="n"/>
      <c r="E13" s="56">
        <f>IF(JUL!$G$43="","",JUL!$G$43)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IF(JUL!$G$44="","",JUL!$G$44)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IF($C13="","",SUMPRODUCT(($E$21:$E$160&gt;=$Z$4)*($E$21:$E$160&lt;=EOMONTH($Z13,0)),$G$21:$G$160))</f>
        <v/>
      </c>
      <c r="AB13" s="56">
        <f>IF(N(AA13)=0,"",SUMPRODUCT(($E$21:$E$160&gt;=$Z$4)*($E$21:$E$160&lt;=EOMONTH($Z13,0)),$F$21:$F$160,$G$21:$G$160)/AA13)</f>
        <v/>
      </c>
      <c r="AC13" s="59">
        <f>IF($C13="","",SUMPRODUCT(($L$21:$L$160&gt;=$Z$4)*($L$21:$L$160&lt;=EOMONTH($Z13,0)),$N$21:$N$160))</f>
        <v/>
      </c>
      <c r="AD13" s="56">
        <f>IF(N(AC13)=0,"",SUMPRODUCT(($L$21:$L$160&gt;=$Z$4)*($L$21:$L$160&lt;=EOMONTH($Z13,0)),$M$21:$M$160,$N$21:$N$160)/AC13)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IF(AUG!$G$5="","",AUG!$G$5)</f>
        <v/>
      </c>
      <c r="D14" s="55" t="n"/>
      <c r="E14" s="56">
        <f>IF(AUG!$G$43="","",AUG!$G$43)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IF(AUG!$G$44="","",AUG!$G$44)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IF($C14="","",SUMPRODUCT(($E$21:$E$160&gt;=$Z$4)*($E$21:$E$160&lt;=EOMONTH($Z14,0)),$G$21:$G$160))</f>
        <v/>
      </c>
      <c r="AB14" s="56">
        <f>IF(N(AA14)=0,"",SUMPRODUCT(($E$21:$E$160&gt;=$Z$4)*($E$21:$E$160&lt;=EOMONTH($Z14,0)),$F$21:$F$160,$G$21:$G$160)/AA14)</f>
        <v/>
      </c>
      <c r="AC14" s="59">
        <f>IF($C14="","",SUMPRODUCT(($L$21:$L$160&gt;=$Z$4)*($L$21:$L$160&lt;=EOMONTH($Z14,0)),$N$21:$N$160))</f>
        <v/>
      </c>
      <c r="AD14" s="56">
        <f>IF(N(AC14)=0,"",SUMPRODUCT(($L$21:$L$160&gt;=$Z$4)*($L$21:$L$160&lt;=EOMONTH($Z14,0)),$M$21:$M$160,$N$21:$N$160)/AC14)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IF(SEP!$G$5="","",SEP!$G$5)</f>
        <v/>
      </c>
      <c r="D15" s="55" t="n"/>
      <c r="E15" s="56">
        <f>IF(SEP!$G$43="","",SEP!$G$43)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IF(SEP!$G$44="","",SEP!$G$44)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IF($C15="","",SUMPRODUCT(($E$21:$E$160&gt;=$Z$4)*($E$21:$E$160&lt;=EOMONTH($Z15,0)),$G$21:$G$160))</f>
        <v/>
      </c>
      <c r="AB15" s="56">
        <f>IF(N(AA15)=0,"",SUMPRODUCT(($E$21:$E$160&gt;=$Z$4)*($E$21:$E$160&lt;=EOMONTH($Z15,0)),$F$21:$F$160,$G$21:$G$160)/AA15)</f>
        <v/>
      </c>
      <c r="AC15" s="59">
        <f>IF($C15="","",SUMPRODUCT(($L$21:$L$160&gt;=$Z$4)*($L$21:$L$160&lt;=EOMONTH($Z15,0)),$N$21:$N$160))</f>
        <v/>
      </c>
      <c r="AD15" s="56">
        <f>IF(N(AC15)=0,"",SUMPRODUCT(($L$21:$L$160&gt;=$Z$4)*($L$21:$L$160&lt;=EOMONTH($Z15,0)),$M$21:$M$160,$N$21:$N$160)/AC15)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SUMPRODUCT(($E$21:$E$160&gt;=$Z$4)*($E$21:$E$160&lt;=EOMONTH($Z$15,0)),$G$21:$G$160)</f>
        <v/>
      </c>
      <c r="AB16" s="62">
        <f>IF(N(AA16)=0,"",SUMPRODUCT(($E$21:$E$160&gt;=$Z$4)*($E$21:$E$160&lt;=EOMONTH($Z$15,0)),$F$21:$F$160,$G$21:$G$160)/AA16)</f>
        <v/>
      </c>
      <c r="AC16" s="65">
        <f>SUMPRODUCT(($L$21:$L$160&gt;=$Z$4)*($L$21:$L$160&lt;=EOMONTH($Z$15,0)),$N$21:$N$160)</f>
        <v/>
      </c>
      <c r="AD16" s="62">
        <f>IF(N(AC16)=0,"",SUMPRODUCT(($L$21:$L$160&gt;=$Z$4)*($L$21:$L$160&lt;=EOMONTH($Z$15,0)),$M$21:$M$160,$N$21:$N$160)/AC16)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53" t="n">
        <v>51</v>
      </c>
      <c r="B71" s="67" t="n"/>
      <c r="C71" s="55" t="n"/>
      <c r="D71" s="68" t="n"/>
      <c r="E71" s="68" t="n"/>
      <c r="F71" s="59">
        <f>IF(OR(E71="",D71=""),"",MAX(E71-D71,0))</f>
        <v/>
      </c>
      <c r="G71" s="59">
        <f>IF(F71="","",IF(N(C71)=0,1,C71))</f>
        <v/>
      </c>
      <c r="H71" s="53" t="n">
        <v>51</v>
      </c>
      <c r="I71" s="67" t="n"/>
      <c r="J71" s="55" t="n"/>
      <c r="K71" s="68" t="n"/>
      <c r="L71" s="68" t="n"/>
      <c r="M71" s="59">
        <f>IF(OR(L71="",K71=""),"",MAX(L71-K71,0))</f>
        <v/>
      </c>
      <c r="N71" s="59">
        <f>IF(M71="","",IF(N(J71)=0,1,J71))</f>
        <v/>
      </c>
    </row>
    <row r="72">
      <c r="A72" s="53" t="n">
        <v>52</v>
      </c>
      <c r="B72" s="67" t="n"/>
      <c r="C72" s="55" t="n"/>
      <c r="D72" s="68" t="n"/>
      <c r="E72" s="68" t="n"/>
      <c r="F72" s="59">
        <f>IF(OR(E72="",D72=""),"",MAX(E72-D72,0))</f>
        <v/>
      </c>
      <c r="G72" s="59">
        <f>IF(F72="","",IF(N(C72)=0,1,C72))</f>
        <v/>
      </c>
      <c r="H72" s="53" t="n">
        <v>52</v>
      </c>
      <c r="I72" s="67" t="n"/>
      <c r="J72" s="55" t="n"/>
      <c r="K72" s="68" t="n"/>
      <c r="L72" s="68" t="n"/>
      <c r="M72" s="59">
        <f>IF(OR(L72="",K72=""),"",MAX(L72-K72,0))</f>
        <v/>
      </c>
      <c r="N72" s="59">
        <f>IF(M72="","",IF(N(J72)=0,1,J72))</f>
        <v/>
      </c>
    </row>
    <row r="73">
      <c r="A73" s="53" t="n">
        <v>53</v>
      </c>
      <c r="B73" s="67" t="n"/>
      <c r="C73" s="55" t="n"/>
      <c r="D73" s="68" t="n"/>
      <c r="E73" s="68" t="n"/>
      <c r="F73" s="59">
        <f>IF(OR(E73="",D73=""),"",MAX(E73-D73,0))</f>
        <v/>
      </c>
      <c r="G73" s="59">
        <f>IF(F73="","",IF(N(C73)=0,1,C73))</f>
        <v/>
      </c>
      <c r="H73" s="53" t="n">
        <v>53</v>
      </c>
      <c r="I73" s="67" t="n"/>
      <c r="J73" s="55" t="n"/>
      <c r="K73" s="68" t="n"/>
      <c r="L73" s="68" t="n"/>
      <c r="M73" s="59">
        <f>IF(OR(L73="",K73=""),"",MAX(L73-K73,0))</f>
        <v/>
      </c>
      <c r="N73" s="59">
        <f>IF(M73="","",IF(N(J73)=0,1,J73))</f>
        <v/>
      </c>
    </row>
    <row r="74">
      <c r="A74" s="53" t="n">
        <v>54</v>
      </c>
      <c r="B74" s="67" t="n"/>
      <c r="C74" s="55" t="n"/>
      <c r="D74" s="68" t="n"/>
      <c r="E74" s="68" t="n"/>
      <c r="F74" s="59">
        <f>IF(OR(E74="",D74=""),"",MAX(E74-D74,0))</f>
        <v/>
      </c>
      <c r="G74" s="59">
        <f>IF(F74="","",IF(N(C74)=0,1,C74))</f>
        <v/>
      </c>
      <c r="H74" s="53" t="n">
        <v>54</v>
      </c>
      <c r="I74" s="67" t="n"/>
      <c r="J74" s="55" t="n"/>
      <c r="K74" s="68" t="n"/>
      <c r="L74" s="68" t="n"/>
      <c r="M74" s="59">
        <f>IF(OR(L74="",K74=""),"",MAX(L74-K74,0))</f>
        <v/>
      </c>
      <c r="N74" s="59">
        <f>IF(M74="","",IF(N(J74)=0,1,J74))</f>
        <v/>
      </c>
    </row>
    <row r="75">
      <c r="A75" s="53" t="n">
        <v>55</v>
      </c>
      <c r="B75" s="67" t="n"/>
      <c r="C75" s="55" t="n"/>
      <c r="D75" s="68" t="n"/>
      <c r="E75" s="68" t="n"/>
      <c r="F75" s="59">
        <f>IF(OR(E75="",D75=""),"",MAX(E75-D75,0))</f>
        <v/>
      </c>
      <c r="G75" s="59">
        <f>IF(F75="","",IF(N(C75)=0,1,C75))</f>
        <v/>
      </c>
      <c r="H75" s="53" t="n">
        <v>55</v>
      </c>
      <c r="I75" s="67" t="n"/>
      <c r="J75" s="55" t="n"/>
      <c r="K75" s="68" t="n"/>
      <c r="L75" s="68" t="n"/>
      <c r="M75" s="59">
        <f>IF(OR(L75="",K75=""),"",MAX(L75-K75,0))</f>
        <v/>
      </c>
      <c r="N75" s="59">
        <f>IF(M75="","",IF(N(J75)=0,1,J75))</f>
        <v/>
      </c>
    </row>
    <row r="76">
      <c r="A76" s="53" t="n">
        <v>56</v>
      </c>
      <c r="B76" s="67" t="n"/>
      <c r="C76" s="55" t="n"/>
      <c r="D76" s="68" t="n"/>
      <c r="E76" s="68" t="n"/>
      <c r="F76" s="59">
        <f>IF(OR(E76="",D76=""),"",MAX(E76-D76,0))</f>
        <v/>
      </c>
      <c r="G76" s="59">
        <f>IF(F76="","",IF(N(C76)=0,1,C76))</f>
        <v/>
      </c>
      <c r="H76" s="53" t="n">
        <v>56</v>
      </c>
      <c r="I76" s="67" t="n"/>
      <c r="J76" s="55" t="n"/>
      <c r="K76" s="68" t="n"/>
      <c r="L76" s="68" t="n"/>
      <c r="M76" s="59">
        <f>IF(OR(L76="",K76=""),"",MAX(L76-K76,0))</f>
        <v/>
      </c>
      <c r="N76" s="59">
        <f>IF(M76="","",IF(N(J76)=0,1,J76))</f>
        <v/>
      </c>
    </row>
    <row r="77">
      <c r="A77" s="53" t="n">
        <v>57</v>
      </c>
      <c r="B77" s="67" t="n"/>
      <c r="C77" s="55" t="n"/>
      <c r="D77" s="68" t="n"/>
      <c r="E77" s="68" t="n"/>
      <c r="F77" s="59">
        <f>IF(OR(E77="",D77=""),"",MAX(E77-D77,0))</f>
        <v/>
      </c>
      <c r="G77" s="59">
        <f>IF(F77="","",IF(N(C77)=0,1,C77))</f>
        <v/>
      </c>
      <c r="H77" s="53" t="n">
        <v>57</v>
      </c>
      <c r="I77" s="67" t="n"/>
      <c r="J77" s="55" t="n"/>
      <c r="K77" s="68" t="n"/>
      <c r="L77" s="68" t="n"/>
      <c r="M77" s="59">
        <f>IF(OR(L77="",K77=""),"",MAX(L77-K77,0))</f>
        <v/>
      </c>
      <c r="N77" s="59">
        <f>IF(M77="","",IF(N(J77)=0,1,J77))</f>
        <v/>
      </c>
    </row>
    <row r="78">
      <c r="A78" s="53" t="n">
        <v>58</v>
      </c>
      <c r="B78" s="67" t="n"/>
      <c r="C78" s="55" t="n"/>
      <c r="D78" s="68" t="n"/>
      <c r="E78" s="68" t="n"/>
      <c r="F78" s="59">
        <f>IF(OR(E78="",D78=""),"",MAX(E78-D78,0))</f>
        <v/>
      </c>
      <c r="G78" s="59">
        <f>IF(F78="","",IF(N(C78)=0,1,C78))</f>
        <v/>
      </c>
      <c r="H78" s="53" t="n">
        <v>58</v>
      </c>
      <c r="I78" s="67" t="n"/>
      <c r="J78" s="55" t="n"/>
      <c r="K78" s="68" t="n"/>
      <c r="L78" s="68" t="n"/>
      <c r="M78" s="59">
        <f>IF(OR(L78="",K78=""),"",MAX(L78-K78,0))</f>
        <v/>
      </c>
      <c r="N78" s="59">
        <f>IF(M78="","",IF(N(J78)=0,1,J78))</f>
        <v/>
      </c>
    </row>
    <row r="79">
      <c r="A79" s="53" t="n">
        <v>59</v>
      </c>
      <c r="B79" s="67" t="n"/>
      <c r="C79" s="55" t="n"/>
      <c r="D79" s="68" t="n"/>
      <c r="E79" s="68" t="n"/>
      <c r="F79" s="59">
        <f>IF(OR(E79="",D79=""),"",MAX(E79-D79,0))</f>
        <v/>
      </c>
      <c r="G79" s="59">
        <f>IF(F79="","",IF(N(C79)=0,1,C79))</f>
        <v/>
      </c>
      <c r="H79" s="53" t="n">
        <v>59</v>
      </c>
      <c r="I79" s="67" t="n"/>
      <c r="J79" s="55" t="n"/>
      <c r="K79" s="68" t="n"/>
      <c r="L79" s="68" t="n"/>
      <c r="M79" s="59">
        <f>IF(OR(L79="",K79=""),"",MAX(L79-K79,0))</f>
        <v/>
      </c>
      <c r="N79" s="59">
        <f>IF(M79="","",IF(N(J79)=0,1,J79))</f>
        <v/>
      </c>
    </row>
    <row r="80">
      <c r="A80" s="53" t="n">
        <v>60</v>
      </c>
      <c r="B80" s="67" t="n"/>
      <c r="C80" s="55" t="n"/>
      <c r="D80" s="68" t="n"/>
      <c r="E80" s="68" t="n"/>
      <c r="F80" s="59">
        <f>IF(OR(E80="",D80=""),"",MAX(E80-D80,0))</f>
        <v/>
      </c>
      <c r="G80" s="59">
        <f>IF(F80="","",IF(N(C80)=0,1,C80))</f>
        <v/>
      </c>
      <c r="H80" s="53" t="n">
        <v>60</v>
      </c>
      <c r="I80" s="67" t="n"/>
      <c r="J80" s="55" t="n"/>
      <c r="K80" s="68" t="n"/>
      <c r="L80" s="68" t="n"/>
      <c r="M80" s="59">
        <f>IF(OR(L80="",K80=""),"",MAX(L80-K80,0))</f>
        <v/>
      </c>
      <c r="N80" s="59">
        <f>IF(M80="","",IF(N(J80)=0,1,J80))</f>
        <v/>
      </c>
    </row>
    <row r="81">
      <c r="A81" s="53" t="n">
        <v>61</v>
      </c>
      <c r="B81" s="67" t="n"/>
      <c r="C81" s="55" t="n"/>
      <c r="D81" s="68" t="n"/>
      <c r="E81" s="68" t="n"/>
      <c r="F81" s="59">
        <f>IF(OR(E81="",D81=""),"",MAX(E81-D81,0))</f>
        <v/>
      </c>
      <c r="G81" s="59">
        <f>IF(F81="","",IF(N(C81)=0,1,C81))</f>
        <v/>
      </c>
      <c r="H81" s="53" t="n">
        <v>61</v>
      </c>
      <c r="I81" s="67" t="n"/>
      <c r="J81" s="55" t="n"/>
      <c r="K81" s="68" t="n"/>
      <c r="L81" s="68" t="n"/>
      <c r="M81" s="59">
        <f>IF(OR(L81="",K81=""),"",MAX(L81-K81,0))</f>
        <v/>
      </c>
      <c r="N81" s="59">
        <f>IF(M81="","",IF(N(J81)=0,1,J81))</f>
        <v/>
      </c>
    </row>
    <row r="82">
      <c r="A82" s="53" t="n">
        <v>62</v>
      </c>
      <c r="B82" s="67" t="n"/>
      <c r="C82" s="55" t="n"/>
      <c r="D82" s="68" t="n"/>
      <c r="E82" s="68" t="n"/>
      <c r="F82" s="59">
        <f>IF(OR(E82="",D82=""),"",MAX(E82-D82,0))</f>
        <v/>
      </c>
      <c r="G82" s="59">
        <f>IF(F82="","",IF(N(C82)=0,1,C82))</f>
        <v/>
      </c>
      <c r="H82" s="53" t="n">
        <v>62</v>
      </c>
      <c r="I82" s="67" t="n"/>
      <c r="J82" s="55" t="n"/>
      <c r="K82" s="68" t="n"/>
      <c r="L82" s="68" t="n"/>
      <c r="M82" s="59">
        <f>IF(OR(L82="",K82=""),"",MAX(L82-K82,0))</f>
        <v/>
      </c>
      <c r="N82" s="59">
        <f>IF(M82="","",IF(N(J82)=0,1,J82))</f>
        <v/>
      </c>
    </row>
    <row r="83">
      <c r="A83" s="53" t="n">
        <v>63</v>
      </c>
      <c r="B83" s="67" t="n"/>
      <c r="C83" s="55" t="n"/>
      <c r="D83" s="68" t="n"/>
      <c r="E83" s="68" t="n"/>
      <c r="F83" s="59">
        <f>IF(OR(E83="",D83=""),"",MAX(E83-D83,0))</f>
        <v/>
      </c>
      <c r="G83" s="59">
        <f>IF(F83="","",IF(N(C83)=0,1,C83))</f>
        <v/>
      </c>
      <c r="H83" s="53" t="n">
        <v>63</v>
      </c>
      <c r="I83" s="67" t="n"/>
      <c r="J83" s="55" t="n"/>
      <c r="K83" s="68" t="n"/>
      <c r="L83" s="68" t="n"/>
      <c r="M83" s="59">
        <f>IF(OR(L83="",K83=""),"",MAX(L83-K83,0))</f>
        <v/>
      </c>
      <c r="N83" s="59">
        <f>IF(M83="","",IF(N(J83)=0,1,J83))</f>
        <v/>
      </c>
    </row>
    <row r="84">
      <c r="A84" s="53" t="n">
        <v>64</v>
      </c>
      <c r="B84" s="67" t="n"/>
      <c r="C84" s="55" t="n"/>
      <c r="D84" s="68" t="n"/>
      <c r="E84" s="68" t="n"/>
      <c r="F84" s="59">
        <f>IF(OR(E84="",D84=""),"",MAX(E84-D84,0))</f>
        <v/>
      </c>
      <c r="G84" s="59">
        <f>IF(F84="","",IF(N(C84)=0,1,C84))</f>
        <v/>
      </c>
      <c r="H84" s="53" t="n">
        <v>64</v>
      </c>
      <c r="I84" s="67" t="n"/>
      <c r="J84" s="55" t="n"/>
      <c r="K84" s="68" t="n"/>
      <c r="L84" s="68" t="n"/>
      <c r="M84" s="59">
        <f>IF(OR(L84="",K84=""),"",MAX(L84-K84,0))</f>
        <v/>
      </c>
      <c r="N84" s="59">
        <f>IF(M84="","",IF(N(J84)=0,1,J84))</f>
        <v/>
      </c>
    </row>
    <row r="85">
      <c r="A85" s="53" t="n">
        <v>65</v>
      </c>
      <c r="B85" s="67" t="n"/>
      <c r="C85" s="55" t="n"/>
      <c r="D85" s="68" t="n"/>
      <c r="E85" s="68" t="n"/>
      <c r="F85" s="59">
        <f>IF(OR(E85="",D85=""),"",MAX(E85-D85,0))</f>
        <v/>
      </c>
      <c r="G85" s="59">
        <f>IF(F85="","",IF(N(C85)=0,1,C85))</f>
        <v/>
      </c>
      <c r="H85" s="53" t="n">
        <v>65</v>
      </c>
      <c r="I85" s="67" t="n"/>
      <c r="J85" s="55" t="n"/>
      <c r="K85" s="68" t="n"/>
      <c r="L85" s="68" t="n"/>
      <c r="M85" s="59">
        <f>IF(OR(L85="",K85=""),"",MAX(L85-K85,0))</f>
        <v/>
      </c>
      <c r="N85" s="59">
        <f>IF(M85="","",IF(N(J85)=0,1,J85))</f>
        <v/>
      </c>
    </row>
    <row r="86">
      <c r="A86" s="53" t="n">
        <v>66</v>
      </c>
      <c r="B86" s="67" t="n"/>
      <c r="C86" s="55" t="n"/>
      <c r="D86" s="68" t="n"/>
      <c r="E86" s="68" t="n"/>
      <c r="F86" s="59">
        <f>IF(OR(E86="",D86=""),"",MAX(E86-D86,0))</f>
        <v/>
      </c>
      <c r="G86" s="59">
        <f>IF(F86="","",IF(N(C86)=0,1,C86))</f>
        <v/>
      </c>
      <c r="H86" s="53" t="n">
        <v>66</v>
      </c>
      <c r="I86" s="67" t="n"/>
      <c r="J86" s="55" t="n"/>
      <c r="K86" s="68" t="n"/>
      <c r="L86" s="68" t="n"/>
      <c r="M86" s="59">
        <f>IF(OR(L86="",K86=""),"",MAX(L86-K86,0))</f>
        <v/>
      </c>
      <c r="N86" s="59">
        <f>IF(M86="","",IF(N(J86)=0,1,J86))</f>
        <v/>
      </c>
    </row>
    <row r="87">
      <c r="A87" s="53" t="n">
        <v>67</v>
      </c>
      <c r="B87" s="67" t="n"/>
      <c r="C87" s="55" t="n"/>
      <c r="D87" s="68" t="n"/>
      <c r="E87" s="68" t="n"/>
      <c r="F87" s="59">
        <f>IF(OR(E87="",D87=""),"",MAX(E87-D87,0))</f>
        <v/>
      </c>
      <c r="G87" s="59">
        <f>IF(F87="","",IF(N(C87)=0,1,C87))</f>
        <v/>
      </c>
      <c r="H87" s="53" t="n">
        <v>67</v>
      </c>
      <c r="I87" s="67" t="n"/>
      <c r="J87" s="55" t="n"/>
      <c r="K87" s="68" t="n"/>
      <c r="L87" s="68" t="n"/>
      <c r="M87" s="59">
        <f>IF(OR(L87="",K87=""),"",MAX(L87-K87,0))</f>
        <v/>
      </c>
      <c r="N87" s="59">
        <f>IF(M87="","",IF(N(J87)=0,1,J87))</f>
        <v/>
      </c>
    </row>
    <row r="88">
      <c r="A88" s="53" t="n">
        <v>68</v>
      </c>
      <c r="B88" s="67" t="n"/>
      <c r="C88" s="55" t="n"/>
      <c r="D88" s="68" t="n"/>
      <c r="E88" s="68" t="n"/>
      <c r="F88" s="59">
        <f>IF(OR(E88="",D88=""),"",MAX(E88-D88,0))</f>
        <v/>
      </c>
      <c r="G88" s="59">
        <f>IF(F88="","",IF(N(C88)=0,1,C88))</f>
        <v/>
      </c>
      <c r="H88" s="53" t="n">
        <v>68</v>
      </c>
      <c r="I88" s="67" t="n"/>
      <c r="J88" s="55" t="n"/>
      <c r="K88" s="68" t="n"/>
      <c r="L88" s="68" t="n"/>
      <c r="M88" s="59">
        <f>IF(OR(L88="",K88=""),"",MAX(L88-K88,0))</f>
        <v/>
      </c>
      <c r="N88" s="59">
        <f>IF(M88="","",IF(N(J88)=0,1,J88))</f>
        <v/>
      </c>
    </row>
    <row r="89">
      <c r="A89" s="53" t="n">
        <v>69</v>
      </c>
      <c r="B89" s="67" t="n"/>
      <c r="C89" s="55" t="n"/>
      <c r="D89" s="68" t="n"/>
      <c r="E89" s="68" t="n"/>
      <c r="F89" s="59">
        <f>IF(OR(E89="",D89=""),"",MAX(E89-D89,0))</f>
        <v/>
      </c>
      <c r="G89" s="59">
        <f>IF(F89="","",IF(N(C89)=0,1,C89))</f>
        <v/>
      </c>
      <c r="H89" s="53" t="n">
        <v>69</v>
      </c>
      <c r="I89" s="67" t="n"/>
      <c r="J89" s="55" t="n"/>
      <c r="K89" s="68" t="n"/>
      <c r="L89" s="68" t="n"/>
      <c r="M89" s="59">
        <f>IF(OR(L89="",K89=""),"",MAX(L89-K89,0))</f>
        <v/>
      </c>
      <c r="N89" s="59">
        <f>IF(M89="","",IF(N(J89)=0,1,J89))</f>
        <v/>
      </c>
    </row>
    <row r="90">
      <c r="A90" s="53" t="n">
        <v>70</v>
      </c>
      <c r="B90" s="67" t="n"/>
      <c r="C90" s="55" t="n"/>
      <c r="D90" s="68" t="n"/>
      <c r="E90" s="68" t="n"/>
      <c r="F90" s="59">
        <f>IF(OR(E90="",D90=""),"",MAX(E90-D90,0))</f>
        <v/>
      </c>
      <c r="G90" s="59">
        <f>IF(F90="","",IF(N(C90)=0,1,C90))</f>
        <v/>
      </c>
      <c r="H90" s="53" t="n">
        <v>70</v>
      </c>
      <c r="I90" s="67" t="n"/>
      <c r="J90" s="55" t="n"/>
      <c r="K90" s="68" t="n"/>
      <c r="L90" s="68" t="n"/>
      <c r="M90" s="59">
        <f>IF(OR(L90="",K90=""),"",MAX(L90-K90,0))</f>
        <v/>
      </c>
      <c r="N90" s="59">
        <f>IF(M90="","",IF(N(J90)=0,1,J90))</f>
        <v/>
      </c>
    </row>
    <row r="91">
      <c r="A91" s="53" t="n">
        <v>71</v>
      </c>
      <c r="B91" s="67" t="n"/>
      <c r="C91" s="55" t="n"/>
      <c r="D91" s="68" t="n"/>
      <c r="E91" s="68" t="n"/>
      <c r="F91" s="59">
        <f>IF(OR(E91="",D91=""),"",MAX(E91-D91,0))</f>
        <v/>
      </c>
      <c r="G91" s="59">
        <f>IF(F91="","",IF(N(C91)=0,1,C91))</f>
        <v/>
      </c>
      <c r="H91" s="53" t="n">
        <v>71</v>
      </c>
      <c r="I91" s="67" t="n"/>
      <c r="J91" s="55" t="n"/>
      <c r="K91" s="68" t="n"/>
      <c r="L91" s="68" t="n"/>
      <c r="M91" s="59">
        <f>IF(OR(L91="",K91=""),"",MAX(L91-K91,0))</f>
        <v/>
      </c>
      <c r="N91" s="59">
        <f>IF(M91="","",IF(N(J91)=0,1,J91))</f>
        <v/>
      </c>
    </row>
    <row r="92">
      <c r="A92" s="53" t="n">
        <v>72</v>
      </c>
      <c r="B92" s="67" t="n"/>
      <c r="C92" s="55" t="n"/>
      <c r="D92" s="68" t="n"/>
      <c r="E92" s="68" t="n"/>
      <c r="F92" s="59">
        <f>IF(OR(E92="",D92=""),"",MAX(E92-D92,0))</f>
        <v/>
      </c>
      <c r="G92" s="59">
        <f>IF(F92="","",IF(N(C92)=0,1,C92))</f>
        <v/>
      </c>
      <c r="H92" s="53" t="n">
        <v>72</v>
      </c>
      <c r="I92" s="67" t="n"/>
      <c r="J92" s="55" t="n"/>
      <c r="K92" s="68" t="n"/>
      <c r="L92" s="68" t="n"/>
      <c r="M92" s="59">
        <f>IF(OR(L92="",K92=""),"",MAX(L92-K92,0))</f>
        <v/>
      </c>
      <c r="N92" s="59">
        <f>IF(M92="","",IF(N(J92)=0,1,J92))</f>
        <v/>
      </c>
    </row>
    <row r="93">
      <c r="A93" s="53" t="n">
        <v>73</v>
      </c>
      <c r="B93" s="67" t="n"/>
      <c r="C93" s="55" t="n"/>
      <c r="D93" s="68" t="n"/>
      <c r="E93" s="68" t="n"/>
      <c r="F93" s="59">
        <f>IF(OR(E93="",D93=""),"",MAX(E93-D93,0))</f>
        <v/>
      </c>
      <c r="G93" s="59">
        <f>IF(F93="","",IF(N(C93)=0,1,C93))</f>
        <v/>
      </c>
      <c r="H93" s="53" t="n">
        <v>73</v>
      </c>
      <c r="I93" s="67" t="n"/>
      <c r="J93" s="55" t="n"/>
      <c r="K93" s="68" t="n"/>
      <c r="L93" s="68" t="n"/>
      <c r="M93" s="59">
        <f>IF(OR(L93="",K93=""),"",MAX(L93-K93,0))</f>
        <v/>
      </c>
      <c r="N93" s="59">
        <f>IF(M93="","",IF(N(J93)=0,1,J93))</f>
        <v/>
      </c>
    </row>
    <row r="94">
      <c r="A94" s="53" t="n">
        <v>74</v>
      </c>
      <c r="B94" s="67" t="n"/>
      <c r="C94" s="55" t="n"/>
      <c r="D94" s="68" t="n"/>
      <c r="E94" s="68" t="n"/>
      <c r="F94" s="59">
        <f>IF(OR(E94="",D94=""),"",MAX(E94-D94,0))</f>
        <v/>
      </c>
      <c r="G94" s="59">
        <f>IF(F94="","",IF(N(C94)=0,1,C94))</f>
        <v/>
      </c>
      <c r="H94" s="53" t="n">
        <v>74</v>
      </c>
      <c r="I94" s="67" t="n"/>
      <c r="J94" s="55" t="n"/>
      <c r="K94" s="68" t="n"/>
      <c r="L94" s="68" t="n"/>
      <c r="M94" s="59">
        <f>IF(OR(L94="",K94=""),"",MAX(L94-K94,0))</f>
        <v/>
      </c>
      <c r="N94" s="59">
        <f>IF(M94="","",IF(N(J94)=0,1,J94))</f>
        <v/>
      </c>
    </row>
    <row r="95">
      <c r="A95" s="53" t="n">
        <v>75</v>
      </c>
      <c r="B95" s="67" t="n"/>
      <c r="C95" s="55" t="n"/>
      <c r="D95" s="68" t="n"/>
      <c r="E95" s="68" t="n"/>
      <c r="F95" s="59">
        <f>IF(OR(E95="",D95=""),"",MAX(E95-D95,0))</f>
        <v/>
      </c>
      <c r="G95" s="59">
        <f>IF(F95="","",IF(N(C95)=0,1,C95))</f>
        <v/>
      </c>
      <c r="H95" s="53" t="n">
        <v>75</v>
      </c>
      <c r="I95" s="67" t="n"/>
      <c r="J95" s="55" t="n"/>
      <c r="K95" s="68" t="n"/>
      <c r="L95" s="68" t="n"/>
      <c r="M95" s="59">
        <f>IF(OR(L95="",K95=""),"",MAX(L95-K95,0))</f>
        <v/>
      </c>
      <c r="N95" s="59">
        <f>IF(M95="","",IF(N(J95)=0,1,J95))</f>
        <v/>
      </c>
    </row>
    <row r="96">
      <c r="A96" s="53" t="n">
        <v>76</v>
      </c>
      <c r="B96" s="67" t="n"/>
      <c r="C96" s="55" t="n"/>
      <c r="D96" s="68" t="n"/>
      <c r="E96" s="68" t="n"/>
      <c r="F96" s="59">
        <f>IF(OR(E96="",D96=""),"",MAX(E96-D96,0))</f>
        <v/>
      </c>
      <c r="G96" s="59">
        <f>IF(F96="","",IF(N(C96)=0,1,C96))</f>
        <v/>
      </c>
      <c r="H96" s="53" t="n">
        <v>76</v>
      </c>
      <c r="I96" s="67" t="n"/>
      <c r="J96" s="55" t="n"/>
      <c r="K96" s="68" t="n"/>
      <c r="L96" s="68" t="n"/>
      <c r="M96" s="59">
        <f>IF(OR(L96="",K96=""),"",MAX(L96-K96,0))</f>
        <v/>
      </c>
      <c r="N96" s="59">
        <f>IF(M96="","",IF(N(J96)=0,1,J96))</f>
        <v/>
      </c>
    </row>
    <row r="97">
      <c r="A97" s="53" t="n">
        <v>77</v>
      </c>
      <c r="B97" s="67" t="n"/>
      <c r="C97" s="55" t="n"/>
      <c r="D97" s="68" t="n"/>
      <c r="E97" s="68" t="n"/>
      <c r="F97" s="59">
        <f>IF(OR(E97="",D97=""),"",MAX(E97-D97,0))</f>
        <v/>
      </c>
      <c r="G97" s="59">
        <f>IF(F97="","",IF(N(C97)=0,1,C97))</f>
        <v/>
      </c>
      <c r="H97" s="53" t="n">
        <v>77</v>
      </c>
      <c r="I97" s="67" t="n"/>
      <c r="J97" s="55" t="n"/>
      <c r="K97" s="68" t="n"/>
      <c r="L97" s="68" t="n"/>
      <c r="M97" s="59">
        <f>IF(OR(L97="",K97=""),"",MAX(L97-K97,0))</f>
        <v/>
      </c>
      <c r="N97" s="59">
        <f>IF(M97="","",IF(N(J97)=0,1,J97))</f>
        <v/>
      </c>
    </row>
    <row r="98">
      <c r="A98" s="53" t="n">
        <v>78</v>
      </c>
      <c r="B98" s="67" t="n"/>
      <c r="C98" s="55" t="n"/>
      <c r="D98" s="68" t="n"/>
      <c r="E98" s="68" t="n"/>
      <c r="F98" s="59">
        <f>IF(OR(E98="",D98=""),"",MAX(E98-D98,0))</f>
        <v/>
      </c>
      <c r="G98" s="59">
        <f>IF(F98="","",IF(N(C98)=0,1,C98))</f>
        <v/>
      </c>
      <c r="H98" s="53" t="n">
        <v>78</v>
      </c>
      <c r="I98" s="67" t="n"/>
      <c r="J98" s="55" t="n"/>
      <c r="K98" s="68" t="n"/>
      <c r="L98" s="68" t="n"/>
      <c r="M98" s="59">
        <f>IF(OR(L98="",K98=""),"",MAX(L98-K98,0))</f>
        <v/>
      </c>
      <c r="N98" s="59">
        <f>IF(M98="","",IF(N(J98)=0,1,J98))</f>
        <v/>
      </c>
    </row>
    <row r="99">
      <c r="A99" s="53" t="n">
        <v>79</v>
      </c>
      <c r="B99" s="67" t="n"/>
      <c r="C99" s="55" t="n"/>
      <c r="D99" s="68" t="n"/>
      <c r="E99" s="68" t="n"/>
      <c r="F99" s="59">
        <f>IF(OR(E99="",D99=""),"",MAX(E99-D99,0))</f>
        <v/>
      </c>
      <c r="G99" s="59">
        <f>IF(F99="","",IF(N(C99)=0,1,C99))</f>
        <v/>
      </c>
      <c r="H99" s="53" t="n">
        <v>79</v>
      </c>
      <c r="I99" s="67" t="n"/>
      <c r="J99" s="55" t="n"/>
      <c r="K99" s="68" t="n"/>
      <c r="L99" s="68" t="n"/>
      <c r="M99" s="59">
        <f>IF(OR(L99="",K99=""),"",MAX(L99-K99,0))</f>
        <v/>
      </c>
      <c r="N99" s="59">
        <f>IF(M99="","",IF(N(J99)=0,1,J99))</f>
        <v/>
      </c>
    </row>
    <row r="100">
      <c r="A100" s="53" t="n">
        <v>80</v>
      </c>
      <c r="B100" s="67" t="n"/>
      <c r="C100" s="55" t="n"/>
      <c r="D100" s="68" t="n"/>
      <c r="E100" s="68" t="n"/>
      <c r="F100" s="59">
        <f>IF(OR(E100="",D100=""),"",MAX(E100-D100,0))</f>
        <v/>
      </c>
      <c r="G100" s="59">
        <f>IF(F100="","",IF(N(C100)=0,1,C100))</f>
        <v/>
      </c>
      <c r="H100" s="53" t="n">
        <v>80</v>
      </c>
      <c r="I100" s="67" t="n"/>
      <c r="J100" s="55" t="n"/>
      <c r="K100" s="68" t="n"/>
      <c r="L100" s="68" t="n"/>
      <c r="M100" s="59">
        <f>IF(OR(L100="",K100=""),"",MAX(L100-K100,0))</f>
        <v/>
      </c>
      <c r="N100" s="59">
        <f>IF(M100="","",IF(N(J100)=0,1,J100))</f>
        <v/>
      </c>
    </row>
    <row r="101">
      <c r="A101" s="53" t="n">
        <v>81</v>
      </c>
      <c r="B101" s="67" t="n"/>
      <c r="C101" s="55" t="n"/>
      <c r="D101" s="68" t="n"/>
      <c r="E101" s="68" t="n"/>
      <c r="F101" s="59">
        <f>IF(OR(E101="",D101=""),"",MAX(E101-D101,0))</f>
        <v/>
      </c>
      <c r="G101" s="59">
        <f>IF(F101="","",IF(N(C101)=0,1,C101))</f>
        <v/>
      </c>
      <c r="H101" s="53" t="n">
        <v>81</v>
      </c>
      <c r="I101" s="67" t="n"/>
      <c r="J101" s="55" t="n"/>
      <c r="K101" s="68" t="n"/>
      <c r="L101" s="68" t="n"/>
      <c r="M101" s="59">
        <f>IF(OR(L101="",K101=""),"",MAX(L101-K101,0))</f>
        <v/>
      </c>
      <c r="N101" s="59">
        <f>IF(M101="","",IF(N(J101)=0,1,J101))</f>
        <v/>
      </c>
    </row>
    <row r="102">
      <c r="A102" s="53" t="n">
        <v>82</v>
      </c>
      <c r="B102" s="67" t="n"/>
      <c r="C102" s="55" t="n"/>
      <c r="D102" s="68" t="n"/>
      <c r="E102" s="68" t="n"/>
      <c r="F102" s="59">
        <f>IF(OR(E102="",D102=""),"",MAX(E102-D102,0))</f>
        <v/>
      </c>
      <c r="G102" s="59">
        <f>IF(F102="","",IF(N(C102)=0,1,C102))</f>
        <v/>
      </c>
      <c r="H102" s="53" t="n">
        <v>82</v>
      </c>
      <c r="I102" s="67" t="n"/>
      <c r="J102" s="55" t="n"/>
      <c r="K102" s="68" t="n"/>
      <c r="L102" s="68" t="n"/>
      <c r="M102" s="59">
        <f>IF(OR(L102="",K102=""),"",MAX(L102-K102,0))</f>
        <v/>
      </c>
      <c r="N102" s="59">
        <f>IF(M102="","",IF(N(J102)=0,1,J102))</f>
        <v/>
      </c>
    </row>
    <row r="103">
      <c r="A103" s="53" t="n">
        <v>83</v>
      </c>
      <c r="B103" s="67" t="n"/>
      <c r="C103" s="55" t="n"/>
      <c r="D103" s="68" t="n"/>
      <c r="E103" s="68" t="n"/>
      <c r="F103" s="59">
        <f>IF(OR(E103="",D103=""),"",MAX(E103-D103,0))</f>
        <v/>
      </c>
      <c r="G103" s="59">
        <f>IF(F103="","",IF(N(C103)=0,1,C103))</f>
        <v/>
      </c>
      <c r="H103" s="53" t="n">
        <v>83</v>
      </c>
      <c r="I103" s="67" t="n"/>
      <c r="J103" s="55" t="n"/>
      <c r="K103" s="68" t="n"/>
      <c r="L103" s="68" t="n"/>
      <c r="M103" s="59">
        <f>IF(OR(L103="",K103=""),"",MAX(L103-K103,0))</f>
        <v/>
      </c>
      <c r="N103" s="59">
        <f>IF(M103="","",IF(N(J103)=0,1,J103))</f>
        <v/>
      </c>
    </row>
    <row r="104">
      <c r="A104" s="53" t="n">
        <v>84</v>
      </c>
      <c r="B104" s="67" t="n"/>
      <c r="C104" s="55" t="n"/>
      <c r="D104" s="68" t="n"/>
      <c r="E104" s="68" t="n"/>
      <c r="F104" s="59">
        <f>IF(OR(E104="",D104=""),"",MAX(E104-D104,0))</f>
        <v/>
      </c>
      <c r="G104" s="59">
        <f>IF(F104="","",IF(N(C104)=0,1,C104))</f>
        <v/>
      </c>
      <c r="H104" s="53" t="n">
        <v>84</v>
      </c>
      <c r="I104" s="67" t="n"/>
      <c r="J104" s="55" t="n"/>
      <c r="K104" s="68" t="n"/>
      <c r="L104" s="68" t="n"/>
      <c r="M104" s="59">
        <f>IF(OR(L104="",K104=""),"",MAX(L104-K104,0))</f>
        <v/>
      </c>
      <c r="N104" s="59">
        <f>IF(M104="","",IF(N(J104)=0,1,J104))</f>
        <v/>
      </c>
    </row>
    <row r="105">
      <c r="A105" s="53" t="n">
        <v>85</v>
      </c>
      <c r="B105" s="67" t="n"/>
      <c r="C105" s="55" t="n"/>
      <c r="D105" s="68" t="n"/>
      <c r="E105" s="68" t="n"/>
      <c r="F105" s="59">
        <f>IF(OR(E105="",D105=""),"",MAX(E105-D105,0))</f>
        <v/>
      </c>
      <c r="G105" s="59">
        <f>IF(F105="","",IF(N(C105)=0,1,C105))</f>
        <v/>
      </c>
      <c r="H105" s="53" t="n">
        <v>85</v>
      </c>
      <c r="I105" s="67" t="n"/>
      <c r="J105" s="55" t="n"/>
      <c r="K105" s="68" t="n"/>
      <c r="L105" s="68" t="n"/>
      <c r="M105" s="59">
        <f>IF(OR(L105="",K105=""),"",MAX(L105-K105,0))</f>
        <v/>
      </c>
      <c r="N105" s="59">
        <f>IF(M105="","",IF(N(J105)=0,1,J105))</f>
        <v/>
      </c>
    </row>
    <row r="106">
      <c r="A106" s="53" t="n">
        <v>86</v>
      </c>
      <c r="B106" s="67" t="n"/>
      <c r="C106" s="55" t="n"/>
      <c r="D106" s="68" t="n"/>
      <c r="E106" s="68" t="n"/>
      <c r="F106" s="59">
        <f>IF(OR(E106="",D106=""),"",MAX(E106-D106,0))</f>
        <v/>
      </c>
      <c r="G106" s="59">
        <f>IF(F106="","",IF(N(C106)=0,1,C106))</f>
        <v/>
      </c>
      <c r="H106" s="53" t="n">
        <v>86</v>
      </c>
      <c r="I106" s="67" t="n"/>
      <c r="J106" s="55" t="n"/>
      <c r="K106" s="68" t="n"/>
      <c r="L106" s="68" t="n"/>
      <c r="M106" s="59">
        <f>IF(OR(L106="",K106=""),"",MAX(L106-K106,0))</f>
        <v/>
      </c>
      <c r="N106" s="59">
        <f>IF(M106="","",IF(N(J106)=0,1,J106))</f>
        <v/>
      </c>
    </row>
    <row r="107">
      <c r="A107" s="53" t="n">
        <v>87</v>
      </c>
      <c r="B107" s="67" t="n"/>
      <c r="C107" s="55" t="n"/>
      <c r="D107" s="68" t="n"/>
      <c r="E107" s="68" t="n"/>
      <c r="F107" s="59">
        <f>IF(OR(E107="",D107=""),"",MAX(E107-D107,0))</f>
        <v/>
      </c>
      <c r="G107" s="59">
        <f>IF(F107="","",IF(N(C107)=0,1,C107))</f>
        <v/>
      </c>
      <c r="H107" s="53" t="n">
        <v>87</v>
      </c>
      <c r="I107" s="67" t="n"/>
      <c r="J107" s="55" t="n"/>
      <c r="K107" s="68" t="n"/>
      <c r="L107" s="68" t="n"/>
      <c r="M107" s="59">
        <f>IF(OR(L107="",K107=""),"",MAX(L107-K107,0))</f>
        <v/>
      </c>
      <c r="N107" s="59">
        <f>IF(M107="","",IF(N(J107)=0,1,J107))</f>
        <v/>
      </c>
    </row>
    <row r="108">
      <c r="A108" s="53" t="n">
        <v>88</v>
      </c>
      <c r="B108" s="67" t="n"/>
      <c r="C108" s="55" t="n"/>
      <c r="D108" s="68" t="n"/>
      <c r="E108" s="68" t="n"/>
      <c r="F108" s="59">
        <f>IF(OR(E108="",D108=""),"",MAX(E108-D108,0))</f>
        <v/>
      </c>
      <c r="G108" s="59">
        <f>IF(F108="","",IF(N(C108)=0,1,C108))</f>
        <v/>
      </c>
      <c r="H108" s="53" t="n">
        <v>88</v>
      </c>
      <c r="I108" s="67" t="n"/>
      <c r="J108" s="55" t="n"/>
      <c r="K108" s="68" t="n"/>
      <c r="L108" s="68" t="n"/>
      <c r="M108" s="59">
        <f>IF(OR(L108="",K108=""),"",MAX(L108-K108,0))</f>
        <v/>
      </c>
      <c r="N108" s="59">
        <f>IF(M108="","",IF(N(J108)=0,1,J108))</f>
        <v/>
      </c>
    </row>
    <row r="109">
      <c r="A109" s="53" t="n">
        <v>89</v>
      </c>
      <c r="B109" s="67" t="n"/>
      <c r="C109" s="55" t="n"/>
      <c r="D109" s="68" t="n"/>
      <c r="E109" s="68" t="n"/>
      <c r="F109" s="59">
        <f>IF(OR(E109="",D109=""),"",MAX(E109-D109,0))</f>
        <v/>
      </c>
      <c r="G109" s="59">
        <f>IF(F109="","",IF(N(C109)=0,1,C109))</f>
        <v/>
      </c>
      <c r="H109" s="53" t="n">
        <v>89</v>
      </c>
      <c r="I109" s="67" t="n"/>
      <c r="J109" s="55" t="n"/>
      <c r="K109" s="68" t="n"/>
      <c r="L109" s="68" t="n"/>
      <c r="M109" s="59">
        <f>IF(OR(L109="",K109=""),"",MAX(L109-K109,0))</f>
        <v/>
      </c>
      <c r="N109" s="59">
        <f>IF(M109="","",IF(N(J109)=0,1,J109))</f>
        <v/>
      </c>
    </row>
    <row r="110">
      <c r="A110" s="53" t="n">
        <v>90</v>
      </c>
      <c r="B110" s="67" t="n"/>
      <c r="C110" s="55" t="n"/>
      <c r="D110" s="68" t="n"/>
      <c r="E110" s="68" t="n"/>
      <c r="F110" s="59">
        <f>IF(OR(E110="",D110=""),"",MAX(E110-D110,0))</f>
        <v/>
      </c>
      <c r="G110" s="59">
        <f>IF(F110="","",IF(N(C110)=0,1,C110))</f>
        <v/>
      </c>
      <c r="H110" s="53" t="n">
        <v>90</v>
      </c>
      <c r="I110" s="67" t="n"/>
      <c r="J110" s="55" t="n"/>
      <c r="K110" s="68" t="n"/>
      <c r="L110" s="68" t="n"/>
      <c r="M110" s="59">
        <f>IF(OR(L110="",K110=""),"",MAX(L110-K110,0))</f>
        <v/>
      </c>
      <c r="N110" s="59">
        <f>IF(M110="","",IF(N(J110)=0,1,J110))</f>
        <v/>
      </c>
    </row>
    <row r="111">
      <c r="A111" s="53" t="n">
        <v>91</v>
      </c>
      <c r="B111" s="67" t="n"/>
      <c r="C111" s="55" t="n"/>
      <c r="D111" s="68" t="n"/>
      <c r="E111" s="68" t="n"/>
      <c r="F111" s="59">
        <f>IF(OR(E111="",D111=""),"",MAX(E111-D111,0))</f>
        <v/>
      </c>
      <c r="G111" s="59">
        <f>IF(F111="","",IF(N(C111)=0,1,C111))</f>
        <v/>
      </c>
      <c r="H111" s="53" t="n">
        <v>91</v>
      </c>
      <c r="I111" s="67" t="n"/>
      <c r="J111" s="55" t="n"/>
      <c r="K111" s="68" t="n"/>
      <c r="L111" s="68" t="n"/>
      <c r="M111" s="59">
        <f>IF(OR(L111="",K111=""),"",MAX(L111-K111,0))</f>
        <v/>
      </c>
      <c r="N111" s="59">
        <f>IF(M111="","",IF(N(J111)=0,1,J111))</f>
        <v/>
      </c>
    </row>
    <row r="112">
      <c r="A112" s="53" t="n">
        <v>92</v>
      </c>
      <c r="B112" s="67" t="n"/>
      <c r="C112" s="55" t="n"/>
      <c r="D112" s="68" t="n"/>
      <c r="E112" s="68" t="n"/>
      <c r="F112" s="59">
        <f>IF(OR(E112="",D112=""),"",MAX(E112-D112,0))</f>
        <v/>
      </c>
      <c r="G112" s="59">
        <f>IF(F112="","",IF(N(C112)=0,1,C112))</f>
        <v/>
      </c>
      <c r="H112" s="53" t="n">
        <v>92</v>
      </c>
      <c r="I112" s="67" t="n"/>
      <c r="J112" s="55" t="n"/>
      <c r="K112" s="68" t="n"/>
      <c r="L112" s="68" t="n"/>
      <c r="M112" s="59">
        <f>IF(OR(L112="",K112=""),"",MAX(L112-K112,0))</f>
        <v/>
      </c>
      <c r="N112" s="59">
        <f>IF(M112="","",IF(N(J112)=0,1,J112))</f>
        <v/>
      </c>
    </row>
    <row r="113">
      <c r="A113" s="53" t="n">
        <v>93</v>
      </c>
      <c r="B113" s="67" t="n"/>
      <c r="C113" s="55" t="n"/>
      <c r="D113" s="68" t="n"/>
      <c r="E113" s="68" t="n"/>
      <c r="F113" s="59">
        <f>IF(OR(E113="",D113=""),"",MAX(E113-D113,0))</f>
        <v/>
      </c>
      <c r="G113" s="59">
        <f>IF(F113="","",IF(N(C113)=0,1,C113))</f>
        <v/>
      </c>
      <c r="H113" s="53" t="n">
        <v>93</v>
      </c>
      <c r="I113" s="67" t="n"/>
      <c r="J113" s="55" t="n"/>
      <c r="K113" s="68" t="n"/>
      <c r="L113" s="68" t="n"/>
      <c r="M113" s="59">
        <f>IF(OR(L113="",K113=""),"",MAX(L113-K113,0))</f>
        <v/>
      </c>
      <c r="N113" s="59">
        <f>IF(M113="","",IF(N(J113)=0,1,J113))</f>
        <v/>
      </c>
    </row>
    <row r="114">
      <c r="A114" s="53" t="n">
        <v>94</v>
      </c>
      <c r="B114" s="67" t="n"/>
      <c r="C114" s="55" t="n"/>
      <c r="D114" s="68" t="n"/>
      <c r="E114" s="68" t="n"/>
      <c r="F114" s="59">
        <f>IF(OR(E114="",D114=""),"",MAX(E114-D114,0))</f>
        <v/>
      </c>
      <c r="G114" s="59">
        <f>IF(F114="","",IF(N(C114)=0,1,C114))</f>
        <v/>
      </c>
      <c r="H114" s="53" t="n">
        <v>94</v>
      </c>
      <c r="I114" s="67" t="n"/>
      <c r="J114" s="55" t="n"/>
      <c r="K114" s="68" t="n"/>
      <c r="L114" s="68" t="n"/>
      <c r="M114" s="59">
        <f>IF(OR(L114="",K114=""),"",MAX(L114-K114,0))</f>
        <v/>
      </c>
      <c r="N114" s="59">
        <f>IF(M114="","",IF(N(J114)=0,1,J114))</f>
        <v/>
      </c>
    </row>
    <row r="115">
      <c r="A115" s="53" t="n">
        <v>95</v>
      </c>
      <c r="B115" s="67" t="n"/>
      <c r="C115" s="55" t="n"/>
      <c r="D115" s="68" t="n"/>
      <c r="E115" s="68" t="n"/>
      <c r="F115" s="59">
        <f>IF(OR(E115="",D115=""),"",MAX(E115-D115,0))</f>
        <v/>
      </c>
      <c r="G115" s="59">
        <f>IF(F115="","",IF(N(C115)=0,1,C115))</f>
        <v/>
      </c>
      <c r="H115" s="53" t="n">
        <v>95</v>
      </c>
      <c r="I115" s="67" t="n"/>
      <c r="J115" s="55" t="n"/>
      <c r="K115" s="68" t="n"/>
      <c r="L115" s="68" t="n"/>
      <c r="M115" s="59">
        <f>IF(OR(L115="",K115=""),"",MAX(L115-K115,0))</f>
        <v/>
      </c>
      <c r="N115" s="59">
        <f>IF(M115="","",IF(N(J115)=0,1,J115))</f>
        <v/>
      </c>
    </row>
    <row r="116">
      <c r="A116" s="53" t="n">
        <v>96</v>
      </c>
      <c r="B116" s="67" t="n"/>
      <c r="C116" s="55" t="n"/>
      <c r="D116" s="68" t="n"/>
      <c r="E116" s="68" t="n"/>
      <c r="F116" s="59">
        <f>IF(OR(E116="",D116=""),"",MAX(E116-D116,0))</f>
        <v/>
      </c>
      <c r="G116" s="59">
        <f>IF(F116="","",IF(N(C116)=0,1,C116))</f>
        <v/>
      </c>
      <c r="H116" s="53" t="n">
        <v>96</v>
      </c>
      <c r="I116" s="67" t="n"/>
      <c r="J116" s="55" t="n"/>
      <c r="K116" s="68" t="n"/>
      <c r="L116" s="68" t="n"/>
      <c r="M116" s="59">
        <f>IF(OR(L116="",K116=""),"",MAX(L116-K116,0))</f>
        <v/>
      </c>
      <c r="N116" s="59">
        <f>IF(M116="","",IF(N(J116)=0,1,J116))</f>
        <v/>
      </c>
    </row>
    <row r="117">
      <c r="A117" s="53" t="n">
        <v>97</v>
      </c>
      <c r="B117" s="67" t="n"/>
      <c r="C117" s="55" t="n"/>
      <c r="D117" s="68" t="n"/>
      <c r="E117" s="68" t="n"/>
      <c r="F117" s="59">
        <f>IF(OR(E117="",D117=""),"",MAX(E117-D117,0))</f>
        <v/>
      </c>
      <c r="G117" s="59">
        <f>IF(F117="","",IF(N(C117)=0,1,C117))</f>
        <v/>
      </c>
      <c r="H117" s="53" t="n">
        <v>97</v>
      </c>
      <c r="I117" s="67" t="n"/>
      <c r="J117" s="55" t="n"/>
      <c r="K117" s="68" t="n"/>
      <c r="L117" s="68" t="n"/>
      <c r="M117" s="59">
        <f>IF(OR(L117="",K117=""),"",MAX(L117-K117,0))</f>
        <v/>
      </c>
      <c r="N117" s="59">
        <f>IF(M117="","",IF(N(J117)=0,1,J117))</f>
        <v/>
      </c>
    </row>
    <row r="118">
      <c r="A118" s="53" t="n">
        <v>98</v>
      </c>
      <c r="B118" s="67" t="n"/>
      <c r="C118" s="55" t="n"/>
      <c r="D118" s="68" t="n"/>
      <c r="E118" s="68" t="n"/>
      <c r="F118" s="59">
        <f>IF(OR(E118="",D118=""),"",MAX(E118-D118,0))</f>
        <v/>
      </c>
      <c r="G118" s="59">
        <f>IF(F118="","",IF(N(C118)=0,1,C118))</f>
        <v/>
      </c>
      <c r="H118" s="53" t="n">
        <v>98</v>
      </c>
      <c r="I118" s="67" t="n"/>
      <c r="J118" s="55" t="n"/>
      <c r="K118" s="68" t="n"/>
      <c r="L118" s="68" t="n"/>
      <c r="M118" s="59">
        <f>IF(OR(L118="",K118=""),"",MAX(L118-K118,0))</f>
        <v/>
      </c>
      <c r="N118" s="59">
        <f>IF(M118="","",IF(N(J118)=0,1,J118))</f>
        <v/>
      </c>
    </row>
    <row r="119">
      <c r="A119" s="53" t="n">
        <v>99</v>
      </c>
      <c r="B119" s="67" t="n"/>
      <c r="C119" s="55" t="n"/>
      <c r="D119" s="68" t="n"/>
      <c r="E119" s="68" t="n"/>
      <c r="F119" s="59">
        <f>IF(OR(E119="",D119=""),"",MAX(E119-D119,0))</f>
        <v/>
      </c>
      <c r="G119" s="59">
        <f>IF(F119="","",IF(N(C119)=0,1,C119))</f>
        <v/>
      </c>
      <c r="H119" s="53" t="n">
        <v>99</v>
      </c>
      <c r="I119" s="67" t="n"/>
      <c r="J119" s="55" t="n"/>
      <c r="K119" s="68" t="n"/>
      <c r="L119" s="68" t="n"/>
      <c r="M119" s="59">
        <f>IF(OR(L119="",K119=""),"",MAX(L119-K119,0))</f>
        <v/>
      </c>
      <c r="N119" s="59">
        <f>IF(M119="","",IF(N(J119)=0,1,J119))</f>
        <v/>
      </c>
    </row>
    <row r="120">
      <c r="A120" s="53" t="n">
        <v>100</v>
      </c>
      <c r="B120" s="67" t="n"/>
      <c r="C120" s="55" t="n"/>
      <c r="D120" s="68" t="n"/>
      <c r="E120" s="68" t="n"/>
      <c r="F120" s="59">
        <f>IF(OR(E120="",D120=""),"",MAX(E120-D120,0))</f>
        <v/>
      </c>
      <c r="G120" s="59">
        <f>IF(F120="","",IF(N(C120)=0,1,C120))</f>
        <v/>
      </c>
      <c r="H120" s="53" t="n">
        <v>100</v>
      </c>
      <c r="I120" s="67" t="n"/>
      <c r="J120" s="55" t="n"/>
      <c r="K120" s="68" t="n"/>
      <c r="L120" s="68" t="n"/>
      <c r="M120" s="59">
        <f>IF(OR(L120="",K120=""),"",MAX(L120-K120,0))</f>
        <v/>
      </c>
      <c r="N120" s="59">
        <f>IF(M120="","",IF(N(J120)=0,1,J120))</f>
        <v/>
      </c>
    </row>
    <row r="121">
      <c r="A121" s="53" t="n">
        <v>101</v>
      </c>
      <c r="B121" s="67" t="n"/>
      <c r="C121" s="55" t="n"/>
      <c r="D121" s="68" t="n"/>
      <c r="E121" s="68" t="n"/>
      <c r="F121" s="59">
        <f>IF(OR(E121="",D121=""),"",MAX(E121-D121,0))</f>
        <v/>
      </c>
      <c r="G121" s="59">
        <f>IF(F121="","",IF(N(C121)=0,1,C121))</f>
        <v/>
      </c>
      <c r="H121" s="53" t="n">
        <v>101</v>
      </c>
      <c r="I121" s="67" t="n"/>
      <c r="J121" s="55" t="n"/>
      <c r="K121" s="68" t="n"/>
      <c r="L121" s="68" t="n"/>
      <c r="M121" s="59">
        <f>IF(OR(L121="",K121=""),"",MAX(L121-K121,0))</f>
        <v/>
      </c>
      <c r="N121" s="59">
        <f>IF(M121="","",IF(N(J121)=0,1,J121))</f>
        <v/>
      </c>
    </row>
    <row r="122">
      <c r="A122" s="53" t="n">
        <v>102</v>
      </c>
      <c r="B122" s="67" t="n"/>
      <c r="C122" s="55" t="n"/>
      <c r="D122" s="68" t="n"/>
      <c r="E122" s="68" t="n"/>
      <c r="F122" s="59">
        <f>IF(OR(E122="",D122=""),"",MAX(E122-D122,0))</f>
        <v/>
      </c>
      <c r="G122" s="59">
        <f>IF(F122="","",IF(N(C122)=0,1,C122))</f>
        <v/>
      </c>
      <c r="H122" s="53" t="n">
        <v>102</v>
      </c>
      <c r="I122" s="67" t="n"/>
      <c r="J122" s="55" t="n"/>
      <c r="K122" s="68" t="n"/>
      <c r="L122" s="68" t="n"/>
      <c r="M122" s="59">
        <f>IF(OR(L122="",K122=""),"",MAX(L122-K122,0))</f>
        <v/>
      </c>
      <c r="N122" s="59">
        <f>IF(M122="","",IF(N(J122)=0,1,J122))</f>
        <v/>
      </c>
    </row>
    <row r="123">
      <c r="A123" s="53" t="n">
        <v>103</v>
      </c>
      <c r="B123" s="67" t="n"/>
      <c r="C123" s="55" t="n"/>
      <c r="D123" s="68" t="n"/>
      <c r="E123" s="68" t="n"/>
      <c r="F123" s="59">
        <f>IF(OR(E123="",D123=""),"",MAX(E123-D123,0))</f>
        <v/>
      </c>
      <c r="G123" s="59">
        <f>IF(F123="","",IF(N(C123)=0,1,C123))</f>
        <v/>
      </c>
      <c r="H123" s="53" t="n">
        <v>103</v>
      </c>
      <c r="I123" s="67" t="n"/>
      <c r="J123" s="55" t="n"/>
      <c r="K123" s="68" t="n"/>
      <c r="L123" s="68" t="n"/>
      <c r="M123" s="59">
        <f>IF(OR(L123="",K123=""),"",MAX(L123-K123,0))</f>
        <v/>
      </c>
      <c r="N123" s="59">
        <f>IF(M123="","",IF(N(J123)=0,1,J123))</f>
        <v/>
      </c>
    </row>
    <row r="124">
      <c r="A124" s="53" t="n">
        <v>104</v>
      </c>
      <c r="B124" s="67" t="n"/>
      <c r="C124" s="55" t="n"/>
      <c r="D124" s="68" t="n"/>
      <c r="E124" s="68" t="n"/>
      <c r="F124" s="59">
        <f>IF(OR(E124="",D124=""),"",MAX(E124-D124,0))</f>
        <v/>
      </c>
      <c r="G124" s="59">
        <f>IF(F124="","",IF(N(C124)=0,1,C124))</f>
        <v/>
      </c>
      <c r="H124" s="53" t="n">
        <v>104</v>
      </c>
      <c r="I124" s="67" t="n"/>
      <c r="J124" s="55" t="n"/>
      <c r="K124" s="68" t="n"/>
      <c r="L124" s="68" t="n"/>
      <c r="M124" s="59">
        <f>IF(OR(L124="",K124=""),"",MAX(L124-K124,0))</f>
        <v/>
      </c>
      <c r="N124" s="59">
        <f>IF(M124="","",IF(N(J124)=0,1,J124))</f>
        <v/>
      </c>
    </row>
    <row r="125">
      <c r="A125" s="53" t="n">
        <v>105</v>
      </c>
      <c r="B125" s="67" t="n"/>
      <c r="C125" s="55" t="n"/>
      <c r="D125" s="68" t="n"/>
      <c r="E125" s="68" t="n"/>
      <c r="F125" s="59">
        <f>IF(OR(E125="",D125=""),"",MAX(E125-D125,0))</f>
        <v/>
      </c>
      <c r="G125" s="59">
        <f>IF(F125="","",IF(N(C125)=0,1,C125))</f>
        <v/>
      </c>
      <c r="H125" s="53" t="n">
        <v>105</v>
      </c>
      <c r="I125" s="67" t="n"/>
      <c r="J125" s="55" t="n"/>
      <c r="K125" s="68" t="n"/>
      <c r="L125" s="68" t="n"/>
      <c r="M125" s="59">
        <f>IF(OR(L125="",K125=""),"",MAX(L125-K125,0))</f>
        <v/>
      </c>
      <c r="N125" s="59">
        <f>IF(M125="","",IF(N(J125)=0,1,J125))</f>
        <v/>
      </c>
    </row>
    <row r="126">
      <c r="A126" s="53" t="n">
        <v>106</v>
      </c>
      <c r="B126" s="67" t="n"/>
      <c r="C126" s="55" t="n"/>
      <c r="D126" s="68" t="n"/>
      <c r="E126" s="68" t="n"/>
      <c r="F126" s="59">
        <f>IF(OR(E126="",D126=""),"",MAX(E126-D126,0))</f>
        <v/>
      </c>
      <c r="G126" s="59">
        <f>IF(F126="","",IF(N(C126)=0,1,C126))</f>
        <v/>
      </c>
      <c r="H126" s="53" t="n">
        <v>106</v>
      </c>
      <c r="I126" s="67" t="n"/>
      <c r="J126" s="55" t="n"/>
      <c r="K126" s="68" t="n"/>
      <c r="L126" s="68" t="n"/>
      <c r="M126" s="59">
        <f>IF(OR(L126="",K126=""),"",MAX(L126-K126,0))</f>
        <v/>
      </c>
      <c r="N126" s="59">
        <f>IF(M126="","",IF(N(J126)=0,1,J126))</f>
        <v/>
      </c>
    </row>
    <row r="127">
      <c r="A127" s="53" t="n">
        <v>107</v>
      </c>
      <c r="B127" s="67" t="n"/>
      <c r="C127" s="55" t="n"/>
      <c r="D127" s="68" t="n"/>
      <c r="E127" s="68" t="n"/>
      <c r="F127" s="59">
        <f>IF(OR(E127="",D127=""),"",MAX(E127-D127,0))</f>
        <v/>
      </c>
      <c r="G127" s="59">
        <f>IF(F127="","",IF(N(C127)=0,1,C127))</f>
        <v/>
      </c>
      <c r="H127" s="53" t="n">
        <v>107</v>
      </c>
      <c r="I127" s="67" t="n"/>
      <c r="J127" s="55" t="n"/>
      <c r="K127" s="68" t="n"/>
      <c r="L127" s="68" t="n"/>
      <c r="M127" s="59">
        <f>IF(OR(L127="",K127=""),"",MAX(L127-K127,0))</f>
        <v/>
      </c>
      <c r="N127" s="59">
        <f>IF(M127="","",IF(N(J127)=0,1,J127))</f>
        <v/>
      </c>
    </row>
    <row r="128">
      <c r="A128" s="53" t="n">
        <v>108</v>
      </c>
      <c r="B128" s="67" t="n"/>
      <c r="C128" s="55" t="n"/>
      <c r="D128" s="68" t="n"/>
      <c r="E128" s="68" t="n"/>
      <c r="F128" s="59">
        <f>IF(OR(E128="",D128=""),"",MAX(E128-D128,0))</f>
        <v/>
      </c>
      <c r="G128" s="59">
        <f>IF(F128="","",IF(N(C128)=0,1,C128))</f>
        <v/>
      </c>
      <c r="H128" s="53" t="n">
        <v>108</v>
      </c>
      <c r="I128" s="67" t="n"/>
      <c r="J128" s="55" t="n"/>
      <c r="K128" s="68" t="n"/>
      <c r="L128" s="68" t="n"/>
      <c r="M128" s="59">
        <f>IF(OR(L128="",K128=""),"",MAX(L128-K128,0))</f>
        <v/>
      </c>
      <c r="N128" s="59">
        <f>IF(M128="","",IF(N(J128)=0,1,J128))</f>
        <v/>
      </c>
    </row>
    <row r="129">
      <c r="A129" s="53" t="n">
        <v>109</v>
      </c>
      <c r="B129" s="67" t="n"/>
      <c r="C129" s="55" t="n"/>
      <c r="D129" s="68" t="n"/>
      <c r="E129" s="68" t="n"/>
      <c r="F129" s="59">
        <f>IF(OR(E129="",D129=""),"",MAX(E129-D129,0))</f>
        <v/>
      </c>
      <c r="G129" s="59">
        <f>IF(F129="","",IF(N(C129)=0,1,C129))</f>
        <v/>
      </c>
      <c r="H129" s="53" t="n">
        <v>109</v>
      </c>
      <c r="I129" s="67" t="n"/>
      <c r="J129" s="55" t="n"/>
      <c r="K129" s="68" t="n"/>
      <c r="L129" s="68" t="n"/>
      <c r="M129" s="59">
        <f>IF(OR(L129="",K129=""),"",MAX(L129-K129,0))</f>
        <v/>
      </c>
      <c r="N129" s="59">
        <f>IF(M129="","",IF(N(J129)=0,1,J129))</f>
        <v/>
      </c>
    </row>
    <row r="130">
      <c r="A130" s="53" t="n">
        <v>110</v>
      </c>
      <c r="B130" s="67" t="n"/>
      <c r="C130" s="55" t="n"/>
      <c r="D130" s="68" t="n"/>
      <c r="E130" s="68" t="n"/>
      <c r="F130" s="59">
        <f>IF(OR(E130="",D130=""),"",MAX(E130-D130,0))</f>
        <v/>
      </c>
      <c r="G130" s="59">
        <f>IF(F130="","",IF(N(C130)=0,1,C130))</f>
        <v/>
      </c>
      <c r="H130" s="53" t="n">
        <v>110</v>
      </c>
      <c r="I130" s="67" t="n"/>
      <c r="J130" s="55" t="n"/>
      <c r="K130" s="68" t="n"/>
      <c r="L130" s="68" t="n"/>
      <c r="M130" s="59">
        <f>IF(OR(L130="",K130=""),"",MAX(L130-K130,0))</f>
        <v/>
      </c>
      <c r="N130" s="59">
        <f>IF(M130="","",IF(N(J130)=0,1,J130))</f>
        <v/>
      </c>
    </row>
    <row r="131">
      <c r="A131" s="53" t="n">
        <v>111</v>
      </c>
      <c r="B131" s="67" t="n"/>
      <c r="C131" s="55" t="n"/>
      <c r="D131" s="68" t="n"/>
      <c r="E131" s="68" t="n"/>
      <c r="F131" s="59">
        <f>IF(OR(E131="",D131=""),"",MAX(E131-D131,0))</f>
        <v/>
      </c>
      <c r="G131" s="59">
        <f>IF(F131="","",IF(N(C131)=0,1,C131))</f>
        <v/>
      </c>
      <c r="H131" s="53" t="n">
        <v>111</v>
      </c>
      <c r="I131" s="67" t="n"/>
      <c r="J131" s="55" t="n"/>
      <c r="K131" s="68" t="n"/>
      <c r="L131" s="68" t="n"/>
      <c r="M131" s="59">
        <f>IF(OR(L131="",K131=""),"",MAX(L131-K131,0))</f>
        <v/>
      </c>
      <c r="N131" s="59">
        <f>IF(M131="","",IF(N(J131)=0,1,J131))</f>
        <v/>
      </c>
    </row>
    <row r="132">
      <c r="A132" s="53" t="n">
        <v>112</v>
      </c>
      <c r="B132" s="67" t="n"/>
      <c r="C132" s="55" t="n"/>
      <c r="D132" s="68" t="n"/>
      <c r="E132" s="68" t="n"/>
      <c r="F132" s="59">
        <f>IF(OR(E132="",D132=""),"",MAX(E132-D132,0))</f>
        <v/>
      </c>
      <c r="G132" s="59">
        <f>IF(F132="","",IF(N(C132)=0,1,C132))</f>
        <v/>
      </c>
      <c r="H132" s="53" t="n">
        <v>112</v>
      </c>
      <c r="I132" s="67" t="n"/>
      <c r="J132" s="55" t="n"/>
      <c r="K132" s="68" t="n"/>
      <c r="L132" s="68" t="n"/>
      <c r="M132" s="59">
        <f>IF(OR(L132="",K132=""),"",MAX(L132-K132,0))</f>
        <v/>
      </c>
      <c r="N132" s="59">
        <f>IF(M132="","",IF(N(J132)=0,1,J132))</f>
        <v/>
      </c>
    </row>
    <row r="133">
      <c r="A133" s="53" t="n">
        <v>113</v>
      </c>
      <c r="B133" s="67" t="n"/>
      <c r="C133" s="55" t="n"/>
      <c r="D133" s="68" t="n"/>
      <c r="E133" s="68" t="n"/>
      <c r="F133" s="59">
        <f>IF(OR(E133="",D133=""),"",MAX(E133-D133,0))</f>
        <v/>
      </c>
      <c r="G133" s="59">
        <f>IF(F133="","",IF(N(C133)=0,1,C133))</f>
        <v/>
      </c>
      <c r="H133" s="53" t="n">
        <v>113</v>
      </c>
      <c r="I133" s="67" t="n"/>
      <c r="J133" s="55" t="n"/>
      <c r="K133" s="68" t="n"/>
      <c r="L133" s="68" t="n"/>
      <c r="M133" s="59">
        <f>IF(OR(L133="",K133=""),"",MAX(L133-K133,0))</f>
        <v/>
      </c>
      <c r="N133" s="59">
        <f>IF(M133="","",IF(N(J133)=0,1,J133))</f>
        <v/>
      </c>
    </row>
    <row r="134">
      <c r="A134" s="53" t="n">
        <v>114</v>
      </c>
      <c r="B134" s="67" t="n"/>
      <c r="C134" s="55" t="n"/>
      <c r="D134" s="68" t="n"/>
      <c r="E134" s="68" t="n"/>
      <c r="F134" s="59">
        <f>IF(OR(E134="",D134=""),"",MAX(E134-D134,0))</f>
        <v/>
      </c>
      <c r="G134" s="59">
        <f>IF(F134="","",IF(N(C134)=0,1,C134))</f>
        <v/>
      </c>
      <c r="H134" s="53" t="n">
        <v>114</v>
      </c>
      <c r="I134" s="67" t="n"/>
      <c r="J134" s="55" t="n"/>
      <c r="K134" s="68" t="n"/>
      <c r="L134" s="68" t="n"/>
      <c r="M134" s="59">
        <f>IF(OR(L134="",K134=""),"",MAX(L134-K134,0))</f>
        <v/>
      </c>
      <c r="N134" s="59">
        <f>IF(M134="","",IF(N(J134)=0,1,J134))</f>
        <v/>
      </c>
    </row>
    <row r="135">
      <c r="A135" s="53" t="n">
        <v>115</v>
      </c>
      <c r="B135" s="67" t="n"/>
      <c r="C135" s="55" t="n"/>
      <c r="D135" s="68" t="n"/>
      <c r="E135" s="68" t="n"/>
      <c r="F135" s="59">
        <f>IF(OR(E135="",D135=""),"",MAX(E135-D135,0))</f>
        <v/>
      </c>
      <c r="G135" s="59">
        <f>IF(F135="","",IF(N(C135)=0,1,C135))</f>
        <v/>
      </c>
      <c r="H135" s="53" t="n">
        <v>115</v>
      </c>
      <c r="I135" s="67" t="n"/>
      <c r="J135" s="55" t="n"/>
      <c r="K135" s="68" t="n"/>
      <c r="L135" s="68" t="n"/>
      <c r="M135" s="59">
        <f>IF(OR(L135="",K135=""),"",MAX(L135-K135,0))</f>
        <v/>
      </c>
      <c r="N135" s="59">
        <f>IF(M135="","",IF(N(J135)=0,1,J135))</f>
        <v/>
      </c>
    </row>
    <row r="136">
      <c r="A136" s="53" t="n">
        <v>116</v>
      </c>
      <c r="B136" s="67" t="n"/>
      <c r="C136" s="55" t="n"/>
      <c r="D136" s="68" t="n"/>
      <c r="E136" s="68" t="n"/>
      <c r="F136" s="59">
        <f>IF(OR(E136="",D136=""),"",MAX(E136-D136,0))</f>
        <v/>
      </c>
      <c r="G136" s="59">
        <f>IF(F136="","",IF(N(C136)=0,1,C136))</f>
        <v/>
      </c>
      <c r="H136" s="53" t="n">
        <v>116</v>
      </c>
      <c r="I136" s="67" t="n"/>
      <c r="J136" s="55" t="n"/>
      <c r="K136" s="68" t="n"/>
      <c r="L136" s="68" t="n"/>
      <c r="M136" s="59">
        <f>IF(OR(L136="",K136=""),"",MAX(L136-K136,0))</f>
        <v/>
      </c>
      <c r="N136" s="59">
        <f>IF(M136="","",IF(N(J136)=0,1,J136))</f>
        <v/>
      </c>
    </row>
    <row r="137">
      <c r="A137" s="53" t="n">
        <v>117</v>
      </c>
      <c r="B137" s="67" t="n"/>
      <c r="C137" s="55" t="n"/>
      <c r="D137" s="68" t="n"/>
      <c r="E137" s="68" t="n"/>
      <c r="F137" s="59">
        <f>IF(OR(E137="",D137=""),"",MAX(E137-D137,0))</f>
        <v/>
      </c>
      <c r="G137" s="59">
        <f>IF(F137="","",IF(N(C137)=0,1,C137))</f>
        <v/>
      </c>
      <c r="H137" s="53" t="n">
        <v>117</v>
      </c>
      <c r="I137" s="67" t="n"/>
      <c r="J137" s="55" t="n"/>
      <c r="K137" s="68" t="n"/>
      <c r="L137" s="68" t="n"/>
      <c r="M137" s="59">
        <f>IF(OR(L137="",K137=""),"",MAX(L137-K137,0))</f>
        <v/>
      </c>
      <c r="N137" s="59">
        <f>IF(M137="","",IF(N(J137)=0,1,J137))</f>
        <v/>
      </c>
    </row>
    <row r="138">
      <c r="A138" s="53" t="n">
        <v>118</v>
      </c>
      <c r="B138" s="67" t="n"/>
      <c r="C138" s="55" t="n"/>
      <c r="D138" s="68" t="n"/>
      <c r="E138" s="68" t="n"/>
      <c r="F138" s="59">
        <f>IF(OR(E138="",D138=""),"",MAX(E138-D138,0))</f>
        <v/>
      </c>
      <c r="G138" s="59">
        <f>IF(F138="","",IF(N(C138)=0,1,C138))</f>
        <v/>
      </c>
      <c r="H138" s="53" t="n">
        <v>118</v>
      </c>
      <c r="I138" s="67" t="n"/>
      <c r="J138" s="55" t="n"/>
      <c r="K138" s="68" t="n"/>
      <c r="L138" s="68" t="n"/>
      <c r="M138" s="59">
        <f>IF(OR(L138="",K138=""),"",MAX(L138-K138,0))</f>
        <v/>
      </c>
      <c r="N138" s="59">
        <f>IF(M138="","",IF(N(J138)=0,1,J138))</f>
        <v/>
      </c>
    </row>
    <row r="139">
      <c r="A139" s="53" t="n">
        <v>119</v>
      </c>
      <c r="B139" s="67" t="n"/>
      <c r="C139" s="55" t="n"/>
      <c r="D139" s="68" t="n"/>
      <c r="E139" s="68" t="n"/>
      <c r="F139" s="59">
        <f>IF(OR(E139="",D139=""),"",MAX(E139-D139,0))</f>
        <v/>
      </c>
      <c r="G139" s="59">
        <f>IF(F139="","",IF(N(C139)=0,1,C139))</f>
        <v/>
      </c>
      <c r="H139" s="53" t="n">
        <v>119</v>
      </c>
      <c r="I139" s="67" t="n"/>
      <c r="J139" s="55" t="n"/>
      <c r="K139" s="68" t="n"/>
      <c r="L139" s="68" t="n"/>
      <c r="M139" s="59">
        <f>IF(OR(L139="",K139=""),"",MAX(L139-K139,0))</f>
        <v/>
      </c>
      <c r="N139" s="59">
        <f>IF(M139="","",IF(N(J139)=0,1,J139))</f>
        <v/>
      </c>
    </row>
    <row r="140">
      <c r="A140" s="53" t="n">
        <v>120</v>
      </c>
      <c r="B140" s="67" t="n"/>
      <c r="C140" s="55" t="n"/>
      <c r="D140" s="68" t="n"/>
      <c r="E140" s="68" t="n"/>
      <c r="F140" s="59">
        <f>IF(OR(E140="",D140=""),"",MAX(E140-D140,0))</f>
        <v/>
      </c>
      <c r="G140" s="59">
        <f>IF(F140="","",IF(N(C140)=0,1,C140))</f>
        <v/>
      </c>
      <c r="H140" s="53" t="n">
        <v>120</v>
      </c>
      <c r="I140" s="67" t="n"/>
      <c r="J140" s="55" t="n"/>
      <c r="K140" s="68" t="n"/>
      <c r="L140" s="68" t="n"/>
      <c r="M140" s="59">
        <f>IF(OR(L140="",K140=""),"",MAX(L140-K140,0))</f>
        <v/>
      </c>
      <c r="N140" s="59">
        <f>IF(M140="","",IF(N(J140)=0,1,J140))</f>
        <v/>
      </c>
    </row>
    <row r="141">
      <c r="A141" s="53" t="n">
        <v>121</v>
      </c>
      <c r="B141" s="67" t="n"/>
      <c r="C141" s="55" t="n"/>
      <c r="D141" s="68" t="n"/>
      <c r="E141" s="68" t="n"/>
      <c r="F141" s="59">
        <f>IF(OR(E141="",D141=""),"",MAX(E141-D141,0))</f>
        <v/>
      </c>
      <c r="G141" s="59">
        <f>IF(F141="","",IF(N(C141)=0,1,C141))</f>
        <v/>
      </c>
      <c r="H141" s="53" t="n">
        <v>121</v>
      </c>
      <c r="I141" s="67" t="n"/>
      <c r="J141" s="55" t="n"/>
      <c r="K141" s="68" t="n"/>
      <c r="L141" s="68" t="n"/>
      <c r="M141" s="59">
        <f>IF(OR(L141="",K141=""),"",MAX(L141-K141,0))</f>
        <v/>
      </c>
      <c r="N141" s="59">
        <f>IF(M141="","",IF(N(J141)=0,1,J141))</f>
        <v/>
      </c>
    </row>
    <row r="142">
      <c r="A142" s="53" t="n">
        <v>122</v>
      </c>
      <c r="B142" s="67" t="n"/>
      <c r="C142" s="55" t="n"/>
      <c r="D142" s="68" t="n"/>
      <c r="E142" s="68" t="n"/>
      <c r="F142" s="59">
        <f>IF(OR(E142="",D142=""),"",MAX(E142-D142,0))</f>
        <v/>
      </c>
      <c r="G142" s="59">
        <f>IF(F142="","",IF(N(C142)=0,1,C142))</f>
        <v/>
      </c>
      <c r="H142" s="53" t="n">
        <v>122</v>
      </c>
      <c r="I142" s="67" t="n"/>
      <c r="J142" s="55" t="n"/>
      <c r="K142" s="68" t="n"/>
      <c r="L142" s="68" t="n"/>
      <c r="M142" s="59">
        <f>IF(OR(L142="",K142=""),"",MAX(L142-K142,0))</f>
        <v/>
      </c>
      <c r="N142" s="59">
        <f>IF(M142="","",IF(N(J142)=0,1,J142))</f>
        <v/>
      </c>
    </row>
    <row r="143">
      <c r="A143" s="53" t="n">
        <v>123</v>
      </c>
      <c r="B143" s="67" t="n"/>
      <c r="C143" s="55" t="n"/>
      <c r="D143" s="68" t="n"/>
      <c r="E143" s="68" t="n"/>
      <c r="F143" s="59">
        <f>IF(OR(E143="",D143=""),"",MAX(E143-D143,0))</f>
        <v/>
      </c>
      <c r="G143" s="59">
        <f>IF(F143="","",IF(N(C143)=0,1,C143))</f>
        <v/>
      </c>
      <c r="H143" s="53" t="n">
        <v>123</v>
      </c>
      <c r="I143" s="67" t="n"/>
      <c r="J143" s="55" t="n"/>
      <c r="K143" s="68" t="n"/>
      <c r="L143" s="68" t="n"/>
      <c r="M143" s="59">
        <f>IF(OR(L143="",K143=""),"",MAX(L143-K143,0))</f>
        <v/>
      </c>
      <c r="N143" s="59">
        <f>IF(M143="","",IF(N(J143)=0,1,J143))</f>
        <v/>
      </c>
    </row>
    <row r="144">
      <c r="A144" s="53" t="n">
        <v>124</v>
      </c>
      <c r="B144" s="67" t="n"/>
      <c r="C144" s="55" t="n"/>
      <c r="D144" s="68" t="n"/>
      <c r="E144" s="68" t="n"/>
      <c r="F144" s="59">
        <f>IF(OR(E144="",D144=""),"",MAX(E144-D144,0))</f>
        <v/>
      </c>
      <c r="G144" s="59">
        <f>IF(F144="","",IF(N(C144)=0,1,C144))</f>
        <v/>
      </c>
      <c r="H144" s="53" t="n">
        <v>124</v>
      </c>
      <c r="I144" s="67" t="n"/>
      <c r="J144" s="55" t="n"/>
      <c r="K144" s="68" t="n"/>
      <c r="L144" s="68" t="n"/>
      <c r="M144" s="59">
        <f>IF(OR(L144="",K144=""),"",MAX(L144-K144,0))</f>
        <v/>
      </c>
      <c r="N144" s="59">
        <f>IF(M144="","",IF(N(J144)=0,1,J144))</f>
        <v/>
      </c>
    </row>
    <row r="145">
      <c r="A145" s="53" t="n">
        <v>125</v>
      </c>
      <c r="B145" s="67" t="n"/>
      <c r="C145" s="55" t="n"/>
      <c r="D145" s="68" t="n"/>
      <c r="E145" s="68" t="n"/>
      <c r="F145" s="59">
        <f>IF(OR(E145="",D145=""),"",MAX(E145-D145,0))</f>
        <v/>
      </c>
      <c r="G145" s="59">
        <f>IF(F145="","",IF(N(C145)=0,1,C145))</f>
        <v/>
      </c>
      <c r="H145" s="53" t="n">
        <v>125</v>
      </c>
      <c r="I145" s="67" t="n"/>
      <c r="J145" s="55" t="n"/>
      <c r="K145" s="68" t="n"/>
      <c r="L145" s="68" t="n"/>
      <c r="M145" s="59">
        <f>IF(OR(L145="",K145=""),"",MAX(L145-K145,0))</f>
        <v/>
      </c>
      <c r="N145" s="59">
        <f>IF(M145="","",IF(N(J145)=0,1,J145))</f>
        <v/>
      </c>
    </row>
    <row r="146">
      <c r="A146" s="53" t="n">
        <v>126</v>
      </c>
      <c r="B146" s="67" t="n"/>
      <c r="C146" s="55" t="n"/>
      <c r="D146" s="68" t="n"/>
      <c r="E146" s="68" t="n"/>
      <c r="F146" s="59">
        <f>IF(OR(E146="",D146=""),"",MAX(E146-D146,0))</f>
        <v/>
      </c>
      <c r="G146" s="59">
        <f>IF(F146="","",IF(N(C146)=0,1,C146))</f>
        <v/>
      </c>
      <c r="H146" s="53" t="n">
        <v>126</v>
      </c>
      <c r="I146" s="67" t="n"/>
      <c r="J146" s="55" t="n"/>
      <c r="K146" s="68" t="n"/>
      <c r="L146" s="68" t="n"/>
      <c r="M146" s="59">
        <f>IF(OR(L146="",K146=""),"",MAX(L146-K146,0))</f>
        <v/>
      </c>
      <c r="N146" s="59">
        <f>IF(M146="","",IF(N(J146)=0,1,J146))</f>
        <v/>
      </c>
    </row>
    <row r="147">
      <c r="A147" s="53" t="n">
        <v>127</v>
      </c>
      <c r="B147" s="67" t="n"/>
      <c r="C147" s="55" t="n"/>
      <c r="D147" s="68" t="n"/>
      <c r="E147" s="68" t="n"/>
      <c r="F147" s="59">
        <f>IF(OR(E147="",D147=""),"",MAX(E147-D147,0))</f>
        <v/>
      </c>
      <c r="G147" s="59">
        <f>IF(F147="","",IF(N(C147)=0,1,C147))</f>
        <v/>
      </c>
      <c r="H147" s="53" t="n">
        <v>127</v>
      </c>
      <c r="I147" s="67" t="n"/>
      <c r="J147" s="55" t="n"/>
      <c r="K147" s="68" t="n"/>
      <c r="L147" s="68" t="n"/>
      <c r="M147" s="59">
        <f>IF(OR(L147="",K147=""),"",MAX(L147-K147,0))</f>
        <v/>
      </c>
      <c r="N147" s="59">
        <f>IF(M147="","",IF(N(J147)=0,1,J147))</f>
        <v/>
      </c>
    </row>
    <row r="148">
      <c r="A148" s="53" t="n">
        <v>128</v>
      </c>
      <c r="B148" s="67" t="n"/>
      <c r="C148" s="55" t="n"/>
      <c r="D148" s="68" t="n"/>
      <c r="E148" s="68" t="n"/>
      <c r="F148" s="59">
        <f>IF(OR(E148="",D148=""),"",MAX(E148-D148,0))</f>
        <v/>
      </c>
      <c r="G148" s="59">
        <f>IF(F148="","",IF(N(C148)=0,1,C148))</f>
        <v/>
      </c>
      <c r="H148" s="53" t="n">
        <v>128</v>
      </c>
      <c r="I148" s="67" t="n"/>
      <c r="J148" s="55" t="n"/>
      <c r="K148" s="68" t="n"/>
      <c r="L148" s="68" t="n"/>
      <c r="M148" s="59">
        <f>IF(OR(L148="",K148=""),"",MAX(L148-K148,0))</f>
        <v/>
      </c>
      <c r="N148" s="59">
        <f>IF(M148="","",IF(N(J148)=0,1,J148))</f>
        <v/>
      </c>
    </row>
    <row r="149">
      <c r="A149" s="53" t="n">
        <v>129</v>
      </c>
      <c r="B149" s="67" t="n"/>
      <c r="C149" s="55" t="n"/>
      <c r="D149" s="68" t="n"/>
      <c r="E149" s="68" t="n"/>
      <c r="F149" s="59">
        <f>IF(OR(E149="",D149=""),"",MAX(E149-D149,0))</f>
        <v/>
      </c>
      <c r="G149" s="59">
        <f>IF(F149="","",IF(N(C149)=0,1,C149))</f>
        <v/>
      </c>
      <c r="H149" s="53" t="n">
        <v>129</v>
      </c>
      <c r="I149" s="67" t="n"/>
      <c r="J149" s="55" t="n"/>
      <c r="K149" s="68" t="n"/>
      <c r="L149" s="68" t="n"/>
      <c r="M149" s="59">
        <f>IF(OR(L149="",K149=""),"",MAX(L149-K149,0))</f>
        <v/>
      </c>
      <c r="N149" s="59">
        <f>IF(M149="","",IF(N(J149)=0,1,J149))</f>
        <v/>
      </c>
    </row>
    <row r="150">
      <c r="A150" s="53" t="n">
        <v>130</v>
      </c>
      <c r="B150" s="67" t="n"/>
      <c r="C150" s="55" t="n"/>
      <c r="D150" s="68" t="n"/>
      <c r="E150" s="68" t="n"/>
      <c r="F150" s="59">
        <f>IF(OR(E150="",D150=""),"",MAX(E150-D150,0))</f>
        <v/>
      </c>
      <c r="G150" s="59">
        <f>IF(F150="","",IF(N(C150)=0,1,C150))</f>
        <v/>
      </c>
      <c r="H150" s="53" t="n">
        <v>130</v>
      </c>
      <c r="I150" s="67" t="n"/>
      <c r="J150" s="55" t="n"/>
      <c r="K150" s="68" t="n"/>
      <c r="L150" s="68" t="n"/>
      <c r="M150" s="59">
        <f>IF(OR(L150="",K150=""),"",MAX(L150-K150,0))</f>
        <v/>
      </c>
      <c r="N150" s="59">
        <f>IF(M150="","",IF(N(J150)=0,1,J150))</f>
        <v/>
      </c>
    </row>
    <row r="151">
      <c r="A151" s="53" t="n">
        <v>131</v>
      </c>
      <c r="B151" s="67" t="n"/>
      <c r="C151" s="55" t="n"/>
      <c r="D151" s="68" t="n"/>
      <c r="E151" s="68" t="n"/>
      <c r="F151" s="59">
        <f>IF(OR(E151="",D151=""),"",MAX(E151-D151,0))</f>
        <v/>
      </c>
      <c r="G151" s="59">
        <f>IF(F151="","",IF(N(C151)=0,1,C151))</f>
        <v/>
      </c>
      <c r="H151" s="53" t="n">
        <v>131</v>
      </c>
      <c r="I151" s="67" t="n"/>
      <c r="J151" s="55" t="n"/>
      <c r="K151" s="68" t="n"/>
      <c r="L151" s="68" t="n"/>
      <c r="M151" s="59">
        <f>IF(OR(L151="",K151=""),"",MAX(L151-K151,0))</f>
        <v/>
      </c>
      <c r="N151" s="59">
        <f>IF(M151="","",IF(N(J151)=0,1,J151))</f>
        <v/>
      </c>
    </row>
    <row r="152">
      <c r="A152" s="53" t="n">
        <v>132</v>
      </c>
      <c r="B152" s="67" t="n"/>
      <c r="C152" s="55" t="n"/>
      <c r="D152" s="68" t="n"/>
      <c r="E152" s="68" t="n"/>
      <c r="F152" s="59">
        <f>IF(OR(E152="",D152=""),"",MAX(E152-D152,0))</f>
        <v/>
      </c>
      <c r="G152" s="59">
        <f>IF(F152="","",IF(N(C152)=0,1,C152))</f>
        <v/>
      </c>
      <c r="H152" s="53" t="n">
        <v>132</v>
      </c>
      <c r="I152" s="67" t="n"/>
      <c r="J152" s="55" t="n"/>
      <c r="K152" s="68" t="n"/>
      <c r="L152" s="68" t="n"/>
      <c r="M152" s="59">
        <f>IF(OR(L152="",K152=""),"",MAX(L152-K152,0))</f>
        <v/>
      </c>
      <c r="N152" s="59">
        <f>IF(M152="","",IF(N(J152)=0,1,J152))</f>
        <v/>
      </c>
    </row>
    <row r="153">
      <c r="A153" s="53" t="n">
        <v>133</v>
      </c>
      <c r="B153" s="67" t="n"/>
      <c r="C153" s="55" t="n"/>
      <c r="D153" s="68" t="n"/>
      <c r="E153" s="68" t="n"/>
      <c r="F153" s="59">
        <f>IF(OR(E153="",D153=""),"",MAX(E153-D153,0))</f>
        <v/>
      </c>
      <c r="G153" s="59">
        <f>IF(F153="","",IF(N(C153)=0,1,C153))</f>
        <v/>
      </c>
      <c r="H153" s="53" t="n">
        <v>133</v>
      </c>
      <c r="I153" s="67" t="n"/>
      <c r="J153" s="55" t="n"/>
      <c r="K153" s="68" t="n"/>
      <c r="L153" s="68" t="n"/>
      <c r="M153" s="59">
        <f>IF(OR(L153="",K153=""),"",MAX(L153-K153,0))</f>
        <v/>
      </c>
      <c r="N153" s="59">
        <f>IF(M153="","",IF(N(J153)=0,1,J153))</f>
        <v/>
      </c>
    </row>
    <row r="154">
      <c r="A154" s="53" t="n">
        <v>134</v>
      </c>
      <c r="B154" s="67" t="n"/>
      <c r="C154" s="55" t="n"/>
      <c r="D154" s="68" t="n"/>
      <c r="E154" s="68" t="n"/>
      <c r="F154" s="59">
        <f>IF(OR(E154="",D154=""),"",MAX(E154-D154,0))</f>
        <v/>
      </c>
      <c r="G154" s="59">
        <f>IF(F154="","",IF(N(C154)=0,1,C154))</f>
        <v/>
      </c>
      <c r="H154" s="53" t="n">
        <v>134</v>
      </c>
      <c r="I154" s="67" t="n"/>
      <c r="J154" s="55" t="n"/>
      <c r="K154" s="68" t="n"/>
      <c r="L154" s="68" t="n"/>
      <c r="M154" s="59">
        <f>IF(OR(L154="",K154=""),"",MAX(L154-K154,0))</f>
        <v/>
      </c>
      <c r="N154" s="59">
        <f>IF(M154="","",IF(N(J154)=0,1,J154))</f>
        <v/>
      </c>
    </row>
    <row r="155">
      <c r="A155" s="53" t="n">
        <v>135</v>
      </c>
      <c r="B155" s="67" t="n"/>
      <c r="C155" s="55" t="n"/>
      <c r="D155" s="68" t="n"/>
      <c r="E155" s="68" t="n"/>
      <c r="F155" s="59">
        <f>IF(OR(E155="",D155=""),"",MAX(E155-D155,0))</f>
        <v/>
      </c>
      <c r="G155" s="59">
        <f>IF(F155="","",IF(N(C155)=0,1,C155))</f>
        <v/>
      </c>
      <c r="H155" s="53" t="n">
        <v>135</v>
      </c>
      <c r="I155" s="67" t="n"/>
      <c r="J155" s="55" t="n"/>
      <c r="K155" s="68" t="n"/>
      <c r="L155" s="68" t="n"/>
      <c r="M155" s="59">
        <f>IF(OR(L155="",K155=""),"",MAX(L155-K155,0))</f>
        <v/>
      </c>
      <c r="N155" s="59">
        <f>IF(M155="","",IF(N(J155)=0,1,J155))</f>
        <v/>
      </c>
    </row>
    <row r="156">
      <c r="A156" s="53" t="n">
        <v>136</v>
      </c>
      <c r="B156" s="67" t="n"/>
      <c r="C156" s="55" t="n"/>
      <c r="D156" s="68" t="n"/>
      <c r="E156" s="68" t="n"/>
      <c r="F156" s="59">
        <f>IF(OR(E156="",D156=""),"",MAX(E156-D156,0))</f>
        <v/>
      </c>
      <c r="G156" s="59">
        <f>IF(F156="","",IF(N(C156)=0,1,C156))</f>
        <v/>
      </c>
      <c r="H156" s="53" t="n">
        <v>136</v>
      </c>
      <c r="I156" s="67" t="n"/>
      <c r="J156" s="55" t="n"/>
      <c r="K156" s="68" t="n"/>
      <c r="L156" s="68" t="n"/>
      <c r="M156" s="59">
        <f>IF(OR(L156="",K156=""),"",MAX(L156-K156,0))</f>
        <v/>
      </c>
      <c r="N156" s="59">
        <f>IF(M156="","",IF(N(J156)=0,1,J156))</f>
        <v/>
      </c>
    </row>
    <row r="157">
      <c r="A157" s="53" t="n">
        <v>137</v>
      </c>
      <c r="B157" s="67" t="n"/>
      <c r="C157" s="55" t="n"/>
      <c r="D157" s="68" t="n"/>
      <c r="E157" s="68" t="n"/>
      <c r="F157" s="59">
        <f>IF(OR(E157="",D157=""),"",MAX(E157-D157,0))</f>
        <v/>
      </c>
      <c r="G157" s="59">
        <f>IF(F157="","",IF(N(C157)=0,1,C157))</f>
        <v/>
      </c>
      <c r="H157" s="53" t="n">
        <v>137</v>
      </c>
      <c r="I157" s="67" t="n"/>
      <c r="J157" s="55" t="n"/>
      <c r="K157" s="68" t="n"/>
      <c r="L157" s="68" t="n"/>
      <c r="M157" s="59">
        <f>IF(OR(L157="",K157=""),"",MAX(L157-K157,0))</f>
        <v/>
      </c>
      <c r="N157" s="59">
        <f>IF(M157="","",IF(N(J157)=0,1,J157))</f>
        <v/>
      </c>
    </row>
    <row r="158">
      <c r="A158" s="53" t="n">
        <v>138</v>
      </c>
      <c r="B158" s="67" t="n"/>
      <c r="C158" s="55" t="n"/>
      <c r="D158" s="68" t="n"/>
      <c r="E158" s="68" t="n"/>
      <c r="F158" s="59">
        <f>IF(OR(E158="",D158=""),"",MAX(E158-D158,0))</f>
        <v/>
      </c>
      <c r="G158" s="59">
        <f>IF(F158="","",IF(N(C158)=0,1,C158))</f>
        <v/>
      </c>
      <c r="H158" s="53" t="n">
        <v>138</v>
      </c>
      <c r="I158" s="67" t="n"/>
      <c r="J158" s="55" t="n"/>
      <c r="K158" s="68" t="n"/>
      <c r="L158" s="68" t="n"/>
      <c r="M158" s="59">
        <f>IF(OR(L158="",K158=""),"",MAX(L158-K158,0))</f>
        <v/>
      </c>
      <c r="N158" s="59">
        <f>IF(M158="","",IF(N(J158)=0,1,J158))</f>
        <v/>
      </c>
    </row>
    <row r="159">
      <c r="A159" s="53" t="n">
        <v>139</v>
      </c>
      <c r="B159" s="67" t="n"/>
      <c r="C159" s="55" t="n"/>
      <c r="D159" s="68" t="n"/>
      <c r="E159" s="68" t="n"/>
      <c r="F159" s="59">
        <f>IF(OR(E159="",D159=""),"",MAX(E159-D159,0))</f>
        <v/>
      </c>
      <c r="G159" s="59">
        <f>IF(F159="","",IF(N(C159)=0,1,C159))</f>
        <v/>
      </c>
      <c r="H159" s="53" t="n">
        <v>139</v>
      </c>
      <c r="I159" s="67" t="n"/>
      <c r="J159" s="55" t="n"/>
      <c r="K159" s="68" t="n"/>
      <c r="L159" s="68" t="n"/>
      <c r="M159" s="59">
        <f>IF(OR(L159="",K159=""),"",MAX(L159-K159,0))</f>
        <v/>
      </c>
      <c r="N159" s="59">
        <f>IF(M159="","",IF(N(J159)=0,1,J159))</f>
        <v/>
      </c>
    </row>
    <row r="160">
      <c r="A160" s="53" t="n">
        <v>140</v>
      </c>
      <c r="B160" s="67" t="n"/>
      <c r="C160" s="55" t="n"/>
      <c r="D160" s="68" t="n"/>
      <c r="E160" s="68" t="n"/>
      <c r="F160" s="59">
        <f>IF(OR(E160="",D160=""),"",MAX(E160-D160,0))</f>
        <v/>
      </c>
      <c r="G160" s="59">
        <f>IF(F160="","",IF(N(C160)=0,1,C160))</f>
        <v/>
      </c>
      <c r="H160" s="53" t="n">
        <v>140</v>
      </c>
      <c r="I160" s="67" t="n"/>
      <c r="J160" s="55" t="n"/>
      <c r="K160" s="68" t="n"/>
      <c r="L160" s="68" t="n"/>
      <c r="M160" s="59">
        <f>IF(OR(L160="",K160=""),"",MAX(L160-K160,0))</f>
        <v/>
      </c>
      <c r="N160" s="59">
        <f>IF(M160="","",IF(N(J160)=0,1,J160))</f>
        <v/>
      </c>
    </row>
    <row r="161">
      <c r="A161" s="60" t="n"/>
      <c r="B161" s="61" t="inlineStr">
        <is>
          <t>Total</t>
        </is>
      </c>
      <c r="C161" s="65">
        <f>SUM(C21:C160)</f>
        <v/>
      </c>
      <c r="D161" s="60" t="n"/>
      <c r="E161" s="60" t="n"/>
      <c r="F161" s="62">
        <f>IF(N(G161)=0,"",SUMPRODUCT(F21:F160,G21:G160)/G161)</f>
        <v/>
      </c>
      <c r="G161" s="65">
        <f>SUM(G21:G160)</f>
        <v/>
      </c>
      <c r="H161" s="60" t="n"/>
      <c r="I161" s="61" t="inlineStr">
        <is>
          <t>Total</t>
        </is>
      </c>
      <c r="J161" s="65">
        <f>SUM(J21:J160)</f>
        <v/>
      </c>
      <c r="K161" s="60" t="n"/>
      <c r="L161" s="60" t="n"/>
      <c r="M161" s="62">
        <f>IF(N(N161)=0,"",SUMPRODUCT(M21:M160,N21:N160)/N161)</f>
        <v/>
      </c>
      <c r="N161" s="65">
        <f>SUM(N21:N160)</f>
        <v/>
      </c>
    </row>
    <row r="162">
      <c r="B1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1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160" showDropDown="0" showInputMessage="0" showErrorMessage="1" allowBlank="1" error="No. of Posts must be a whole number &gt;= 1." type="whole" operator="greaterThanOrEqual">
      <formula1>1</formula1>
    </dataValidation>
    <dataValidation sqref="K21:L1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1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41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Uruguay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IF(OCT!$H$5="","",OCT!$H$5)</f>
        <v/>
      </c>
      <c r="D4" s="55" t="n"/>
      <c r="E4" s="56">
        <f>IF(OCT!$H$43="","",OCT!$H$43)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IF(OCT!$H$44="","",OCT!$H$44)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IF($C4="","",SUMPRODUCT(($E$21:$E$410&gt;=$Z$4)*($E$21:$E$410&lt;=EOMONTH($Z4,0)),$G$21:$G$410))</f>
        <v/>
      </c>
      <c r="AB4" s="56">
        <f>IF(N(AA4)=0,"",SUMPRODUCT(($E$21:$E$410&gt;=$Z$4)*($E$21:$E$410&lt;=EOMONTH($Z4,0)),$F$21:$F$410,$G$21:$G$410)/AA4)</f>
        <v/>
      </c>
      <c r="AC4" s="59">
        <f>IF($C4="","",SUMPRODUCT(($L$21:$L$410&gt;=$Z$4)*($L$21:$L$410&lt;=EOMONTH($Z4,0)),$N$21:$N$410))</f>
        <v/>
      </c>
      <c r="AD4" s="56">
        <f>IF(N(AC4)=0,"",SUMPRODUCT(($L$21:$L$410&gt;=$Z$4)*($L$21:$L$410&lt;=EOMONTH($Z4,0)),$M$21:$M$410,$N$21:$N$410)/AC4)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IF(NOV!$H$5="","",NOV!$H$5)</f>
        <v/>
      </c>
      <c r="D5" s="55" t="n"/>
      <c r="E5" s="56">
        <f>IF(NOV!$H$43="","",NOV!$H$43)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IF(NOV!$H$44="","",NOV!$H$44)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IF($C5="","",SUMPRODUCT(($E$21:$E$410&gt;=$Z$4)*($E$21:$E$410&lt;=EOMONTH($Z5,0)),$G$21:$G$410))</f>
        <v/>
      </c>
      <c r="AB5" s="56">
        <f>IF(N(AA5)=0,"",SUMPRODUCT(($E$21:$E$410&gt;=$Z$4)*($E$21:$E$410&lt;=EOMONTH($Z5,0)),$F$21:$F$410,$G$21:$G$410)/AA5)</f>
        <v/>
      </c>
      <c r="AC5" s="59">
        <f>IF($C5="","",SUMPRODUCT(($L$21:$L$410&gt;=$Z$4)*($L$21:$L$410&lt;=EOMONTH($Z5,0)),$N$21:$N$410))</f>
        <v/>
      </c>
      <c r="AD5" s="56">
        <f>IF(N(AC5)=0,"",SUMPRODUCT(($L$21:$L$410&gt;=$Z$4)*($L$21:$L$410&lt;=EOMONTH($Z5,0)),$M$21:$M$410,$N$21:$N$410)/AC5)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IF(DEC!$H$5="","",DEC!$H$5)</f>
        <v/>
      </c>
      <c r="D6" s="55" t="n"/>
      <c r="E6" s="56">
        <f>IF(DEC!$H$43="","",DEC!$H$43)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IF(DEC!$H$44="","",DEC!$H$44)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IF($C6="","",SUMPRODUCT(($E$21:$E$410&gt;=$Z$4)*($E$21:$E$410&lt;=EOMONTH($Z6,0)),$G$21:$G$410))</f>
        <v/>
      </c>
      <c r="AB6" s="56">
        <f>IF(N(AA6)=0,"",SUMPRODUCT(($E$21:$E$410&gt;=$Z$4)*($E$21:$E$410&lt;=EOMONTH($Z6,0)),$F$21:$F$410,$G$21:$G$410)/AA6)</f>
        <v/>
      </c>
      <c r="AC6" s="59">
        <f>IF($C6="","",SUMPRODUCT(($L$21:$L$410&gt;=$Z$4)*($L$21:$L$410&lt;=EOMONTH($Z6,0)),$N$21:$N$410))</f>
        <v/>
      </c>
      <c r="AD6" s="56">
        <f>IF(N(AC6)=0,"",SUMPRODUCT(($L$21:$L$410&gt;=$Z$4)*($L$21:$L$410&lt;=EOMONTH($Z6,0)),$M$21:$M$410,$N$21:$N$410)/AC6)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IF(JAN!$H$5="","",JAN!$H$5)</f>
        <v/>
      </c>
      <c r="D7" s="55" t="n"/>
      <c r="E7" s="56">
        <f>IF(JAN!$H$43="","",JAN!$H$43)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IF(JAN!$H$44="","",JAN!$H$44)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IF($C7="","",SUMPRODUCT(($E$21:$E$410&gt;=$Z$4)*($E$21:$E$410&lt;=EOMONTH($Z7,0)),$G$21:$G$410))</f>
        <v/>
      </c>
      <c r="AB7" s="56">
        <f>IF(N(AA7)=0,"",SUMPRODUCT(($E$21:$E$410&gt;=$Z$4)*($E$21:$E$410&lt;=EOMONTH($Z7,0)),$F$21:$F$410,$G$21:$G$410)/AA7)</f>
        <v/>
      </c>
      <c r="AC7" s="59">
        <f>IF($C7="","",SUMPRODUCT(($L$21:$L$410&gt;=$Z$4)*($L$21:$L$410&lt;=EOMONTH($Z7,0)),$N$21:$N$410))</f>
        <v/>
      </c>
      <c r="AD7" s="56">
        <f>IF(N(AC7)=0,"",SUMPRODUCT(($L$21:$L$410&gt;=$Z$4)*($L$21:$L$410&lt;=EOMONTH($Z7,0)),$M$21:$M$410,$N$21:$N$410)/AC7)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IF(FEB!$H$5="","",FEB!$H$5)</f>
        <v/>
      </c>
      <c r="D8" s="55" t="n"/>
      <c r="E8" s="56">
        <f>IF(FEB!$H$43="","",FEB!$H$43)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IF(FEB!$H$44="","",FEB!$H$44)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IF($C8="","",SUMPRODUCT(($E$21:$E$410&gt;=$Z$4)*($E$21:$E$410&lt;=EOMONTH($Z8,0)),$G$21:$G$410))</f>
        <v/>
      </c>
      <c r="AB8" s="56">
        <f>IF(N(AA8)=0,"",SUMPRODUCT(($E$21:$E$410&gt;=$Z$4)*($E$21:$E$410&lt;=EOMONTH($Z8,0)),$F$21:$F$410,$G$21:$G$410)/AA8)</f>
        <v/>
      </c>
      <c r="AC8" s="59">
        <f>IF($C8="","",SUMPRODUCT(($L$21:$L$410&gt;=$Z$4)*($L$21:$L$410&lt;=EOMONTH($Z8,0)),$N$21:$N$410))</f>
        <v/>
      </c>
      <c r="AD8" s="56">
        <f>IF(N(AC8)=0,"",SUMPRODUCT(($L$21:$L$410&gt;=$Z$4)*($L$21:$L$410&lt;=EOMONTH($Z8,0)),$M$21:$M$410,$N$21:$N$410)/AC8)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IF(MAR!$H$5="","",MAR!$H$5)</f>
        <v/>
      </c>
      <c r="D9" s="55" t="n"/>
      <c r="E9" s="56">
        <f>IF(MAR!$H$43="","",MAR!$H$43)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IF(MAR!$H$44="","",MAR!$H$44)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IF($C9="","",SUMPRODUCT(($E$21:$E$410&gt;=$Z$4)*($E$21:$E$410&lt;=EOMONTH($Z9,0)),$G$21:$G$410))</f>
        <v/>
      </c>
      <c r="AB9" s="56">
        <f>IF(N(AA9)=0,"",SUMPRODUCT(($E$21:$E$410&gt;=$Z$4)*($E$21:$E$410&lt;=EOMONTH($Z9,0)),$F$21:$F$410,$G$21:$G$410)/AA9)</f>
        <v/>
      </c>
      <c r="AC9" s="59">
        <f>IF($C9="","",SUMPRODUCT(($L$21:$L$410&gt;=$Z$4)*($L$21:$L$410&lt;=EOMONTH($Z9,0)),$N$21:$N$410))</f>
        <v/>
      </c>
      <c r="AD9" s="56">
        <f>IF(N(AC9)=0,"",SUMPRODUCT(($L$21:$L$410&gt;=$Z$4)*($L$21:$L$410&lt;=EOMONTH($Z9,0)),$M$21:$M$410,$N$21:$N$410)/AC9)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IF(APR!$H$5="","",APR!$H$5)</f>
        <v/>
      </c>
      <c r="D10" s="55" t="n"/>
      <c r="E10" s="56">
        <f>IF(APR!$H$43="","",APR!$H$43)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IF(APR!$H$44="","",APR!$H$44)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IF($C10="","",SUMPRODUCT(($E$21:$E$410&gt;=$Z$4)*($E$21:$E$410&lt;=EOMONTH($Z10,0)),$G$21:$G$410))</f>
        <v/>
      </c>
      <c r="AB10" s="56">
        <f>IF(N(AA10)=0,"",SUMPRODUCT(($E$21:$E$410&gt;=$Z$4)*($E$21:$E$410&lt;=EOMONTH($Z10,0)),$F$21:$F$410,$G$21:$G$410)/AA10)</f>
        <v/>
      </c>
      <c r="AC10" s="59">
        <f>IF($C10="","",SUMPRODUCT(($L$21:$L$410&gt;=$Z$4)*($L$21:$L$410&lt;=EOMONTH($Z10,0)),$N$21:$N$410))</f>
        <v/>
      </c>
      <c r="AD10" s="56">
        <f>IF(N(AC10)=0,"",SUMPRODUCT(($L$21:$L$410&gt;=$Z$4)*($L$21:$L$410&lt;=EOMONTH($Z10,0)),$M$21:$M$410,$N$21:$N$410)/AC10)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IF(MAY!$H$5="","",MAY!$H$5)</f>
        <v/>
      </c>
      <c r="D11" s="55" t="n"/>
      <c r="E11" s="56">
        <f>IF(MAY!$H$43="","",MAY!$H$43)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IF(MAY!$H$44="","",MAY!$H$44)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IF($C11="","",SUMPRODUCT(($E$21:$E$410&gt;=$Z$4)*($E$21:$E$410&lt;=EOMONTH($Z11,0)),$G$21:$G$410))</f>
        <v/>
      </c>
      <c r="AB11" s="56">
        <f>IF(N(AA11)=0,"",SUMPRODUCT(($E$21:$E$410&gt;=$Z$4)*($E$21:$E$410&lt;=EOMONTH($Z11,0)),$F$21:$F$410,$G$21:$G$410)/AA11)</f>
        <v/>
      </c>
      <c r="AC11" s="59">
        <f>IF($C11="","",SUMPRODUCT(($L$21:$L$410&gt;=$Z$4)*($L$21:$L$410&lt;=EOMONTH($Z11,0)),$N$21:$N$410))</f>
        <v/>
      </c>
      <c r="AD11" s="56">
        <f>IF(N(AC11)=0,"",SUMPRODUCT(($L$21:$L$410&gt;=$Z$4)*($L$21:$L$410&lt;=EOMONTH($Z11,0)),$M$21:$M$410,$N$21:$N$410)/AC11)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IF(JUN!$H$5="","",JUN!$H$5)</f>
        <v/>
      </c>
      <c r="D12" s="55" t="n"/>
      <c r="E12" s="56">
        <f>IF(JUN!$H$43="","",JUN!$H$43)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IF(JUN!$H$44="","",JUN!$H$44)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IF($C12="","",SUMPRODUCT(($E$21:$E$410&gt;=$Z$4)*($E$21:$E$410&lt;=EOMONTH($Z12,0)),$G$21:$G$410))</f>
        <v/>
      </c>
      <c r="AB12" s="56">
        <f>IF(N(AA12)=0,"",SUMPRODUCT(($E$21:$E$410&gt;=$Z$4)*($E$21:$E$410&lt;=EOMONTH($Z12,0)),$F$21:$F$410,$G$21:$G$410)/AA12)</f>
        <v/>
      </c>
      <c r="AC12" s="59">
        <f>IF($C12="","",SUMPRODUCT(($L$21:$L$410&gt;=$Z$4)*($L$21:$L$410&lt;=EOMONTH($Z12,0)),$N$21:$N$410))</f>
        <v/>
      </c>
      <c r="AD12" s="56">
        <f>IF(N(AC12)=0,"",SUMPRODUCT(($L$21:$L$410&gt;=$Z$4)*($L$21:$L$410&lt;=EOMONTH($Z12,0)),$M$21:$M$410,$N$21:$N$410)/AC12)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IF(JUL!$H$5="","",JUL!$H$5)</f>
        <v/>
      </c>
      <c r="D13" s="55" t="n"/>
      <c r="E13" s="56">
        <f>IF(JUL!$H$43="","",JUL!$H$43)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IF(JUL!$H$44="","",JUL!$H$44)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IF($C13="","",SUMPRODUCT(($E$21:$E$410&gt;=$Z$4)*($E$21:$E$410&lt;=EOMONTH($Z13,0)),$G$21:$G$410))</f>
        <v/>
      </c>
      <c r="AB13" s="56">
        <f>IF(N(AA13)=0,"",SUMPRODUCT(($E$21:$E$410&gt;=$Z$4)*($E$21:$E$410&lt;=EOMONTH($Z13,0)),$F$21:$F$410,$G$21:$G$410)/AA13)</f>
        <v/>
      </c>
      <c r="AC13" s="59">
        <f>IF($C13="","",SUMPRODUCT(($L$21:$L$410&gt;=$Z$4)*($L$21:$L$410&lt;=EOMONTH($Z13,0)),$N$21:$N$410))</f>
        <v/>
      </c>
      <c r="AD13" s="56">
        <f>IF(N(AC13)=0,"",SUMPRODUCT(($L$21:$L$410&gt;=$Z$4)*($L$21:$L$410&lt;=EOMONTH($Z13,0)),$M$21:$M$410,$N$21:$N$410)/AC13)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IF(AUG!$H$5="","",AUG!$H$5)</f>
        <v/>
      </c>
      <c r="D14" s="55" t="n"/>
      <c r="E14" s="56">
        <f>IF(AUG!$H$43="","",AUG!$H$43)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IF(AUG!$H$44="","",AUG!$H$44)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IF($C14="","",SUMPRODUCT(($E$21:$E$410&gt;=$Z$4)*($E$21:$E$410&lt;=EOMONTH($Z14,0)),$G$21:$G$410))</f>
        <v/>
      </c>
      <c r="AB14" s="56">
        <f>IF(N(AA14)=0,"",SUMPRODUCT(($E$21:$E$410&gt;=$Z$4)*($E$21:$E$410&lt;=EOMONTH($Z14,0)),$F$21:$F$410,$G$21:$G$410)/AA14)</f>
        <v/>
      </c>
      <c r="AC14" s="59">
        <f>IF($C14="","",SUMPRODUCT(($L$21:$L$410&gt;=$Z$4)*($L$21:$L$410&lt;=EOMONTH($Z14,0)),$N$21:$N$410))</f>
        <v/>
      </c>
      <c r="AD14" s="56">
        <f>IF(N(AC14)=0,"",SUMPRODUCT(($L$21:$L$410&gt;=$Z$4)*($L$21:$L$410&lt;=EOMONTH($Z14,0)),$M$21:$M$410,$N$21:$N$410)/AC14)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IF(SEP!$H$5="","",SEP!$H$5)</f>
        <v/>
      </c>
      <c r="D15" s="55" t="n"/>
      <c r="E15" s="56">
        <f>IF(SEP!$H$43="","",SEP!$H$43)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IF(SEP!$H$44="","",SEP!$H$44)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IF($C15="","",SUMPRODUCT(($E$21:$E$410&gt;=$Z$4)*($E$21:$E$410&lt;=EOMONTH($Z15,0)),$G$21:$G$410))</f>
        <v/>
      </c>
      <c r="AB15" s="56">
        <f>IF(N(AA15)=0,"",SUMPRODUCT(($E$21:$E$410&gt;=$Z$4)*($E$21:$E$410&lt;=EOMONTH($Z15,0)),$F$21:$F$410,$G$21:$G$410)/AA15)</f>
        <v/>
      </c>
      <c r="AC15" s="59">
        <f>IF($C15="","",SUMPRODUCT(($L$21:$L$410&gt;=$Z$4)*($L$21:$L$410&lt;=EOMONTH($Z15,0)),$N$21:$N$410))</f>
        <v/>
      </c>
      <c r="AD15" s="56">
        <f>IF(N(AC15)=0,"",SUMPRODUCT(($L$21:$L$410&gt;=$Z$4)*($L$21:$L$410&lt;=EOMONTH($Z15,0)),$M$21:$M$410,$N$21:$N$410)/AC15)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SUMPRODUCT(($E$21:$E$410&gt;=$Z$4)*($E$21:$E$410&lt;=EOMONTH($Z$15,0)),$G$21:$G$410)</f>
        <v/>
      </c>
      <c r="AB16" s="62">
        <f>IF(N(AA16)=0,"",SUMPRODUCT(($E$21:$E$410&gt;=$Z$4)*($E$21:$E$410&lt;=EOMONTH($Z$15,0)),$F$21:$F$410,$G$21:$G$410)/AA16)</f>
        <v/>
      </c>
      <c r="AC16" s="65">
        <f>SUMPRODUCT(($L$21:$L$410&gt;=$Z$4)*($L$21:$L$410&lt;=EOMONTH($Z$15,0)),$N$21:$N$410)</f>
        <v/>
      </c>
      <c r="AD16" s="62">
        <f>IF(N(AC16)=0,"",SUMPRODUCT(($L$21:$L$410&gt;=$Z$4)*($L$21:$L$410&lt;=EOMONTH($Z$15,0)),$M$21:$M$410,$N$21:$N$410)/AC16)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53" t="n">
        <v>51</v>
      </c>
      <c r="B71" s="67" t="n"/>
      <c r="C71" s="55" t="n"/>
      <c r="D71" s="68" t="n"/>
      <c r="E71" s="68" t="n"/>
      <c r="F71" s="59">
        <f>IF(OR(E71="",D71=""),"",MAX(E71-D71,0))</f>
        <v/>
      </c>
      <c r="G71" s="59">
        <f>IF(F71="","",IF(N(C71)=0,1,C71))</f>
        <v/>
      </c>
      <c r="H71" s="53" t="n">
        <v>51</v>
      </c>
      <c r="I71" s="67" t="n"/>
      <c r="J71" s="55" t="n"/>
      <c r="K71" s="68" t="n"/>
      <c r="L71" s="68" t="n"/>
      <c r="M71" s="59">
        <f>IF(OR(L71="",K71=""),"",MAX(L71-K71,0))</f>
        <v/>
      </c>
      <c r="N71" s="59">
        <f>IF(M71="","",IF(N(J71)=0,1,J71))</f>
        <v/>
      </c>
    </row>
    <row r="72">
      <c r="A72" s="53" t="n">
        <v>52</v>
      </c>
      <c r="B72" s="67" t="n"/>
      <c r="C72" s="55" t="n"/>
      <c r="D72" s="68" t="n"/>
      <c r="E72" s="68" t="n"/>
      <c r="F72" s="59">
        <f>IF(OR(E72="",D72=""),"",MAX(E72-D72,0))</f>
        <v/>
      </c>
      <c r="G72" s="59">
        <f>IF(F72="","",IF(N(C72)=0,1,C72))</f>
        <v/>
      </c>
      <c r="H72" s="53" t="n">
        <v>52</v>
      </c>
      <c r="I72" s="67" t="n"/>
      <c r="J72" s="55" t="n"/>
      <c r="K72" s="68" t="n"/>
      <c r="L72" s="68" t="n"/>
      <c r="M72" s="59">
        <f>IF(OR(L72="",K72=""),"",MAX(L72-K72,0))</f>
        <v/>
      </c>
      <c r="N72" s="59">
        <f>IF(M72="","",IF(N(J72)=0,1,J72))</f>
        <v/>
      </c>
    </row>
    <row r="73">
      <c r="A73" s="53" t="n">
        <v>53</v>
      </c>
      <c r="B73" s="67" t="n"/>
      <c r="C73" s="55" t="n"/>
      <c r="D73" s="68" t="n"/>
      <c r="E73" s="68" t="n"/>
      <c r="F73" s="59">
        <f>IF(OR(E73="",D73=""),"",MAX(E73-D73,0))</f>
        <v/>
      </c>
      <c r="G73" s="59">
        <f>IF(F73="","",IF(N(C73)=0,1,C73))</f>
        <v/>
      </c>
      <c r="H73" s="53" t="n">
        <v>53</v>
      </c>
      <c r="I73" s="67" t="n"/>
      <c r="J73" s="55" t="n"/>
      <c r="K73" s="68" t="n"/>
      <c r="L73" s="68" t="n"/>
      <c r="M73" s="59">
        <f>IF(OR(L73="",K73=""),"",MAX(L73-K73,0))</f>
        <v/>
      </c>
      <c r="N73" s="59">
        <f>IF(M73="","",IF(N(J73)=0,1,J73))</f>
        <v/>
      </c>
    </row>
    <row r="74">
      <c r="A74" s="53" t="n">
        <v>54</v>
      </c>
      <c r="B74" s="67" t="n"/>
      <c r="C74" s="55" t="n"/>
      <c r="D74" s="68" t="n"/>
      <c r="E74" s="68" t="n"/>
      <c r="F74" s="59">
        <f>IF(OR(E74="",D74=""),"",MAX(E74-D74,0))</f>
        <v/>
      </c>
      <c r="G74" s="59">
        <f>IF(F74="","",IF(N(C74)=0,1,C74))</f>
        <v/>
      </c>
      <c r="H74" s="53" t="n">
        <v>54</v>
      </c>
      <c r="I74" s="67" t="n"/>
      <c r="J74" s="55" t="n"/>
      <c r="K74" s="68" t="n"/>
      <c r="L74" s="68" t="n"/>
      <c r="M74" s="59">
        <f>IF(OR(L74="",K74=""),"",MAX(L74-K74,0))</f>
        <v/>
      </c>
      <c r="N74" s="59">
        <f>IF(M74="","",IF(N(J74)=0,1,J74))</f>
        <v/>
      </c>
    </row>
    <row r="75">
      <c r="A75" s="53" t="n">
        <v>55</v>
      </c>
      <c r="B75" s="67" t="n"/>
      <c r="C75" s="55" t="n"/>
      <c r="D75" s="68" t="n"/>
      <c r="E75" s="68" t="n"/>
      <c r="F75" s="59">
        <f>IF(OR(E75="",D75=""),"",MAX(E75-D75,0))</f>
        <v/>
      </c>
      <c r="G75" s="59">
        <f>IF(F75="","",IF(N(C75)=0,1,C75))</f>
        <v/>
      </c>
      <c r="H75" s="53" t="n">
        <v>55</v>
      </c>
      <c r="I75" s="67" t="n"/>
      <c r="J75" s="55" t="n"/>
      <c r="K75" s="68" t="n"/>
      <c r="L75" s="68" t="n"/>
      <c r="M75" s="59">
        <f>IF(OR(L75="",K75=""),"",MAX(L75-K75,0))</f>
        <v/>
      </c>
      <c r="N75" s="59">
        <f>IF(M75="","",IF(N(J75)=0,1,J75))</f>
        <v/>
      </c>
    </row>
    <row r="76">
      <c r="A76" s="53" t="n">
        <v>56</v>
      </c>
      <c r="B76" s="67" t="n"/>
      <c r="C76" s="55" t="n"/>
      <c r="D76" s="68" t="n"/>
      <c r="E76" s="68" t="n"/>
      <c r="F76" s="59">
        <f>IF(OR(E76="",D76=""),"",MAX(E76-D76,0))</f>
        <v/>
      </c>
      <c r="G76" s="59">
        <f>IF(F76="","",IF(N(C76)=0,1,C76))</f>
        <v/>
      </c>
      <c r="H76" s="53" t="n">
        <v>56</v>
      </c>
      <c r="I76" s="67" t="n"/>
      <c r="J76" s="55" t="n"/>
      <c r="K76" s="68" t="n"/>
      <c r="L76" s="68" t="n"/>
      <c r="M76" s="59">
        <f>IF(OR(L76="",K76=""),"",MAX(L76-K76,0))</f>
        <v/>
      </c>
      <c r="N76" s="59">
        <f>IF(M76="","",IF(N(J76)=0,1,J76))</f>
        <v/>
      </c>
    </row>
    <row r="77">
      <c r="A77" s="53" t="n">
        <v>57</v>
      </c>
      <c r="B77" s="67" t="n"/>
      <c r="C77" s="55" t="n"/>
      <c r="D77" s="68" t="n"/>
      <c r="E77" s="68" t="n"/>
      <c r="F77" s="59">
        <f>IF(OR(E77="",D77=""),"",MAX(E77-D77,0))</f>
        <v/>
      </c>
      <c r="G77" s="59">
        <f>IF(F77="","",IF(N(C77)=0,1,C77))</f>
        <v/>
      </c>
      <c r="H77" s="53" t="n">
        <v>57</v>
      </c>
      <c r="I77" s="67" t="n"/>
      <c r="J77" s="55" t="n"/>
      <c r="K77" s="68" t="n"/>
      <c r="L77" s="68" t="n"/>
      <c r="M77" s="59">
        <f>IF(OR(L77="",K77=""),"",MAX(L77-K77,0))</f>
        <v/>
      </c>
      <c r="N77" s="59">
        <f>IF(M77="","",IF(N(J77)=0,1,J77))</f>
        <v/>
      </c>
    </row>
    <row r="78">
      <c r="A78" s="53" t="n">
        <v>58</v>
      </c>
      <c r="B78" s="67" t="n"/>
      <c r="C78" s="55" t="n"/>
      <c r="D78" s="68" t="n"/>
      <c r="E78" s="68" t="n"/>
      <c r="F78" s="59">
        <f>IF(OR(E78="",D78=""),"",MAX(E78-D78,0))</f>
        <v/>
      </c>
      <c r="G78" s="59">
        <f>IF(F78="","",IF(N(C78)=0,1,C78))</f>
        <v/>
      </c>
      <c r="H78" s="53" t="n">
        <v>58</v>
      </c>
      <c r="I78" s="67" t="n"/>
      <c r="J78" s="55" t="n"/>
      <c r="K78" s="68" t="n"/>
      <c r="L78" s="68" t="n"/>
      <c r="M78" s="59">
        <f>IF(OR(L78="",K78=""),"",MAX(L78-K78,0))</f>
        <v/>
      </c>
      <c r="N78" s="59">
        <f>IF(M78="","",IF(N(J78)=0,1,J78))</f>
        <v/>
      </c>
    </row>
    <row r="79">
      <c r="A79" s="53" t="n">
        <v>59</v>
      </c>
      <c r="B79" s="67" t="n"/>
      <c r="C79" s="55" t="n"/>
      <c r="D79" s="68" t="n"/>
      <c r="E79" s="68" t="n"/>
      <c r="F79" s="59">
        <f>IF(OR(E79="",D79=""),"",MAX(E79-D79,0))</f>
        <v/>
      </c>
      <c r="G79" s="59">
        <f>IF(F79="","",IF(N(C79)=0,1,C79))</f>
        <v/>
      </c>
      <c r="H79" s="53" t="n">
        <v>59</v>
      </c>
      <c r="I79" s="67" t="n"/>
      <c r="J79" s="55" t="n"/>
      <c r="K79" s="68" t="n"/>
      <c r="L79" s="68" t="n"/>
      <c r="M79" s="59">
        <f>IF(OR(L79="",K79=""),"",MAX(L79-K79,0))</f>
        <v/>
      </c>
      <c r="N79" s="59">
        <f>IF(M79="","",IF(N(J79)=0,1,J79))</f>
        <v/>
      </c>
    </row>
    <row r="80">
      <c r="A80" s="53" t="n">
        <v>60</v>
      </c>
      <c r="B80" s="67" t="n"/>
      <c r="C80" s="55" t="n"/>
      <c r="D80" s="68" t="n"/>
      <c r="E80" s="68" t="n"/>
      <c r="F80" s="59">
        <f>IF(OR(E80="",D80=""),"",MAX(E80-D80,0))</f>
        <v/>
      </c>
      <c r="G80" s="59">
        <f>IF(F80="","",IF(N(C80)=0,1,C80))</f>
        <v/>
      </c>
      <c r="H80" s="53" t="n">
        <v>60</v>
      </c>
      <c r="I80" s="67" t="n"/>
      <c r="J80" s="55" t="n"/>
      <c r="K80" s="68" t="n"/>
      <c r="L80" s="68" t="n"/>
      <c r="M80" s="59">
        <f>IF(OR(L80="",K80=""),"",MAX(L80-K80,0))</f>
        <v/>
      </c>
      <c r="N80" s="59">
        <f>IF(M80="","",IF(N(J80)=0,1,J80))</f>
        <v/>
      </c>
    </row>
    <row r="81">
      <c r="A81" s="53" t="n">
        <v>61</v>
      </c>
      <c r="B81" s="67" t="n"/>
      <c r="C81" s="55" t="n"/>
      <c r="D81" s="68" t="n"/>
      <c r="E81" s="68" t="n"/>
      <c r="F81" s="59">
        <f>IF(OR(E81="",D81=""),"",MAX(E81-D81,0))</f>
        <v/>
      </c>
      <c r="G81" s="59">
        <f>IF(F81="","",IF(N(C81)=0,1,C81))</f>
        <v/>
      </c>
      <c r="H81" s="53" t="n">
        <v>61</v>
      </c>
      <c r="I81" s="67" t="n"/>
      <c r="J81" s="55" t="n"/>
      <c r="K81" s="68" t="n"/>
      <c r="L81" s="68" t="n"/>
      <c r="M81" s="59">
        <f>IF(OR(L81="",K81=""),"",MAX(L81-K81,0))</f>
        <v/>
      </c>
      <c r="N81" s="59">
        <f>IF(M81="","",IF(N(J81)=0,1,J81))</f>
        <v/>
      </c>
    </row>
    <row r="82">
      <c r="A82" s="53" t="n">
        <v>62</v>
      </c>
      <c r="B82" s="67" t="n"/>
      <c r="C82" s="55" t="n"/>
      <c r="D82" s="68" t="n"/>
      <c r="E82" s="68" t="n"/>
      <c r="F82" s="59">
        <f>IF(OR(E82="",D82=""),"",MAX(E82-D82,0))</f>
        <v/>
      </c>
      <c r="G82" s="59">
        <f>IF(F82="","",IF(N(C82)=0,1,C82))</f>
        <v/>
      </c>
      <c r="H82" s="53" t="n">
        <v>62</v>
      </c>
      <c r="I82" s="67" t="n"/>
      <c r="J82" s="55" t="n"/>
      <c r="K82" s="68" t="n"/>
      <c r="L82" s="68" t="n"/>
      <c r="M82" s="59">
        <f>IF(OR(L82="",K82=""),"",MAX(L82-K82,0))</f>
        <v/>
      </c>
      <c r="N82" s="59">
        <f>IF(M82="","",IF(N(J82)=0,1,J82))</f>
        <v/>
      </c>
    </row>
    <row r="83">
      <c r="A83" s="53" t="n">
        <v>63</v>
      </c>
      <c r="B83" s="67" t="n"/>
      <c r="C83" s="55" t="n"/>
      <c r="D83" s="68" t="n"/>
      <c r="E83" s="68" t="n"/>
      <c r="F83" s="59">
        <f>IF(OR(E83="",D83=""),"",MAX(E83-D83,0))</f>
        <v/>
      </c>
      <c r="G83" s="59">
        <f>IF(F83="","",IF(N(C83)=0,1,C83))</f>
        <v/>
      </c>
      <c r="H83" s="53" t="n">
        <v>63</v>
      </c>
      <c r="I83" s="67" t="n"/>
      <c r="J83" s="55" t="n"/>
      <c r="K83" s="68" t="n"/>
      <c r="L83" s="68" t="n"/>
      <c r="M83" s="59">
        <f>IF(OR(L83="",K83=""),"",MAX(L83-K83,0))</f>
        <v/>
      </c>
      <c r="N83" s="59">
        <f>IF(M83="","",IF(N(J83)=0,1,J83))</f>
        <v/>
      </c>
    </row>
    <row r="84">
      <c r="A84" s="53" t="n">
        <v>64</v>
      </c>
      <c r="B84" s="67" t="n"/>
      <c r="C84" s="55" t="n"/>
      <c r="D84" s="68" t="n"/>
      <c r="E84" s="68" t="n"/>
      <c r="F84" s="59">
        <f>IF(OR(E84="",D84=""),"",MAX(E84-D84,0))</f>
        <v/>
      </c>
      <c r="G84" s="59">
        <f>IF(F84="","",IF(N(C84)=0,1,C84))</f>
        <v/>
      </c>
      <c r="H84" s="53" t="n">
        <v>64</v>
      </c>
      <c r="I84" s="67" t="n"/>
      <c r="J84" s="55" t="n"/>
      <c r="K84" s="68" t="n"/>
      <c r="L84" s="68" t="n"/>
      <c r="M84" s="59">
        <f>IF(OR(L84="",K84=""),"",MAX(L84-K84,0))</f>
        <v/>
      </c>
      <c r="N84" s="59">
        <f>IF(M84="","",IF(N(J84)=0,1,J84))</f>
        <v/>
      </c>
    </row>
    <row r="85">
      <c r="A85" s="53" t="n">
        <v>65</v>
      </c>
      <c r="B85" s="67" t="n"/>
      <c r="C85" s="55" t="n"/>
      <c r="D85" s="68" t="n"/>
      <c r="E85" s="68" t="n"/>
      <c r="F85" s="59">
        <f>IF(OR(E85="",D85=""),"",MAX(E85-D85,0))</f>
        <v/>
      </c>
      <c r="G85" s="59">
        <f>IF(F85="","",IF(N(C85)=0,1,C85))</f>
        <v/>
      </c>
      <c r="H85" s="53" t="n">
        <v>65</v>
      </c>
      <c r="I85" s="67" t="n"/>
      <c r="J85" s="55" t="n"/>
      <c r="K85" s="68" t="n"/>
      <c r="L85" s="68" t="n"/>
      <c r="M85" s="59">
        <f>IF(OR(L85="",K85=""),"",MAX(L85-K85,0))</f>
        <v/>
      </c>
      <c r="N85" s="59">
        <f>IF(M85="","",IF(N(J85)=0,1,J85))</f>
        <v/>
      </c>
    </row>
    <row r="86">
      <c r="A86" s="53" t="n">
        <v>66</v>
      </c>
      <c r="B86" s="67" t="n"/>
      <c r="C86" s="55" t="n"/>
      <c r="D86" s="68" t="n"/>
      <c r="E86" s="68" t="n"/>
      <c r="F86" s="59">
        <f>IF(OR(E86="",D86=""),"",MAX(E86-D86,0))</f>
        <v/>
      </c>
      <c r="G86" s="59">
        <f>IF(F86="","",IF(N(C86)=0,1,C86))</f>
        <v/>
      </c>
      <c r="H86" s="53" t="n">
        <v>66</v>
      </c>
      <c r="I86" s="67" t="n"/>
      <c r="J86" s="55" t="n"/>
      <c r="K86" s="68" t="n"/>
      <c r="L86" s="68" t="n"/>
      <c r="M86" s="59">
        <f>IF(OR(L86="",K86=""),"",MAX(L86-K86,0))</f>
        <v/>
      </c>
      <c r="N86" s="59">
        <f>IF(M86="","",IF(N(J86)=0,1,J86))</f>
        <v/>
      </c>
    </row>
    <row r="87">
      <c r="A87" s="53" t="n">
        <v>67</v>
      </c>
      <c r="B87" s="67" t="n"/>
      <c r="C87" s="55" t="n"/>
      <c r="D87" s="68" t="n"/>
      <c r="E87" s="68" t="n"/>
      <c r="F87" s="59">
        <f>IF(OR(E87="",D87=""),"",MAX(E87-D87,0))</f>
        <v/>
      </c>
      <c r="G87" s="59">
        <f>IF(F87="","",IF(N(C87)=0,1,C87))</f>
        <v/>
      </c>
      <c r="H87" s="53" t="n">
        <v>67</v>
      </c>
      <c r="I87" s="67" t="n"/>
      <c r="J87" s="55" t="n"/>
      <c r="K87" s="68" t="n"/>
      <c r="L87" s="68" t="n"/>
      <c r="M87" s="59">
        <f>IF(OR(L87="",K87=""),"",MAX(L87-K87,0))</f>
        <v/>
      </c>
      <c r="N87" s="59">
        <f>IF(M87="","",IF(N(J87)=0,1,J87))</f>
        <v/>
      </c>
    </row>
    <row r="88">
      <c r="A88" s="53" t="n">
        <v>68</v>
      </c>
      <c r="B88" s="67" t="n"/>
      <c r="C88" s="55" t="n"/>
      <c r="D88" s="68" t="n"/>
      <c r="E88" s="68" t="n"/>
      <c r="F88" s="59">
        <f>IF(OR(E88="",D88=""),"",MAX(E88-D88,0))</f>
        <v/>
      </c>
      <c r="G88" s="59">
        <f>IF(F88="","",IF(N(C88)=0,1,C88))</f>
        <v/>
      </c>
      <c r="H88" s="53" t="n">
        <v>68</v>
      </c>
      <c r="I88" s="67" t="n"/>
      <c r="J88" s="55" t="n"/>
      <c r="K88" s="68" t="n"/>
      <c r="L88" s="68" t="n"/>
      <c r="M88" s="59">
        <f>IF(OR(L88="",K88=""),"",MAX(L88-K88,0))</f>
        <v/>
      </c>
      <c r="N88" s="59">
        <f>IF(M88="","",IF(N(J88)=0,1,J88))</f>
        <v/>
      </c>
    </row>
    <row r="89">
      <c r="A89" s="53" t="n">
        <v>69</v>
      </c>
      <c r="B89" s="67" t="n"/>
      <c r="C89" s="55" t="n"/>
      <c r="D89" s="68" t="n"/>
      <c r="E89" s="68" t="n"/>
      <c r="F89" s="59">
        <f>IF(OR(E89="",D89=""),"",MAX(E89-D89,0))</f>
        <v/>
      </c>
      <c r="G89" s="59">
        <f>IF(F89="","",IF(N(C89)=0,1,C89))</f>
        <v/>
      </c>
      <c r="H89" s="53" t="n">
        <v>69</v>
      </c>
      <c r="I89" s="67" t="n"/>
      <c r="J89" s="55" t="n"/>
      <c r="K89" s="68" t="n"/>
      <c r="L89" s="68" t="n"/>
      <c r="M89" s="59">
        <f>IF(OR(L89="",K89=""),"",MAX(L89-K89,0))</f>
        <v/>
      </c>
      <c r="N89" s="59">
        <f>IF(M89="","",IF(N(J89)=0,1,J89))</f>
        <v/>
      </c>
    </row>
    <row r="90">
      <c r="A90" s="53" t="n">
        <v>70</v>
      </c>
      <c r="B90" s="67" t="n"/>
      <c r="C90" s="55" t="n"/>
      <c r="D90" s="68" t="n"/>
      <c r="E90" s="68" t="n"/>
      <c r="F90" s="59">
        <f>IF(OR(E90="",D90=""),"",MAX(E90-D90,0))</f>
        <v/>
      </c>
      <c r="G90" s="59">
        <f>IF(F90="","",IF(N(C90)=0,1,C90))</f>
        <v/>
      </c>
      <c r="H90" s="53" t="n">
        <v>70</v>
      </c>
      <c r="I90" s="67" t="n"/>
      <c r="J90" s="55" t="n"/>
      <c r="K90" s="68" t="n"/>
      <c r="L90" s="68" t="n"/>
      <c r="M90" s="59">
        <f>IF(OR(L90="",K90=""),"",MAX(L90-K90,0))</f>
        <v/>
      </c>
      <c r="N90" s="59">
        <f>IF(M90="","",IF(N(J90)=0,1,J90))</f>
        <v/>
      </c>
    </row>
    <row r="91">
      <c r="A91" s="53" t="n">
        <v>71</v>
      </c>
      <c r="B91" s="67" t="n"/>
      <c r="C91" s="55" t="n"/>
      <c r="D91" s="68" t="n"/>
      <c r="E91" s="68" t="n"/>
      <c r="F91" s="59">
        <f>IF(OR(E91="",D91=""),"",MAX(E91-D91,0))</f>
        <v/>
      </c>
      <c r="G91" s="59">
        <f>IF(F91="","",IF(N(C91)=0,1,C91))</f>
        <v/>
      </c>
      <c r="H91" s="53" t="n">
        <v>71</v>
      </c>
      <c r="I91" s="67" t="n"/>
      <c r="J91" s="55" t="n"/>
      <c r="K91" s="68" t="n"/>
      <c r="L91" s="68" t="n"/>
      <c r="M91" s="59">
        <f>IF(OR(L91="",K91=""),"",MAX(L91-K91,0))</f>
        <v/>
      </c>
      <c r="N91" s="59">
        <f>IF(M91="","",IF(N(J91)=0,1,J91))</f>
        <v/>
      </c>
    </row>
    <row r="92">
      <c r="A92" s="53" t="n">
        <v>72</v>
      </c>
      <c r="B92" s="67" t="n"/>
      <c r="C92" s="55" t="n"/>
      <c r="D92" s="68" t="n"/>
      <c r="E92" s="68" t="n"/>
      <c r="F92" s="59">
        <f>IF(OR(E92="",D92=""),"",MAX(E92-D92,0))</f>
        <v/>
      </c>
      <c r="G92" s="59">
        <f>IF(F92="","",IF(N(C92)=0,1,C92))</f>
        <v/>
      </c>
      <c r="H92" s="53" t="n">
        <v>72</v>
      </c>
      <c r="I92" s="67" t="n"/>
      <c r="J92" s="55" t="n"/>
      <c r="K92" s="68" t="n"/>
      <c r="L92" s="68" t="n"/>
      <c r="M92" s="59">
        <f>IF(OR(L92="",K92=""),"",MAX(L92-K92,0))</f>
        <v/>
      </c>
      <c r="N92" s="59">
        <f>IF(M92="","",IF(N(J92)=0,1,J92))</f>
        <v/>
      </c>
    </row>
    <row r="93">
      <c r="A93" s="53" t="n">
        <v>73</v>
      </c>
      <c r="B93" s="67" t="n"/>
      <c r="C93" s="55" t="n"/>
      <c r="D93" s="68" t="n"/>
      <c r="E93" s="68" t="n"/>
      <c r="F93" s="59">
        <f>IF(OR(E93="",D93=""),"",MAX(E93-D93,0))</f>
        <v/>
      </c>
      <c r="G93" s="59">
        <f>IF(F93="","",IF(N(C93)=0,1,C93))</f>
        <v/>
      </c>
      <c r="H93" s="53" t="n">
        <v>73</v>
      </c>
      <c r="I93" s="67" t="n"/>
      <c r="J93" s="55" t="n"/>
      <c r="K93" s="68" t="n"/>
      <c r="L93" s="68" t="n"/>
      <c r="M93" s="59">
        <f>IF(OR(L93="",K93=""),"",MAX(L93-K93,0))</f>
        <v/>
      </c>
      <c r="N93" s="59">
        <f>IF(M93="","",IF(N(J93)=0,1,J93))</f>
        <v/>
      </c>
    </row>
    <row r="94">
      <c r="A94" s="53" t="n">
        <v>74</v>
      </c>
      <c r="B94" s="67" t="n"/>
      <c r="C94" s="55" t="n"/>
      <c r="D94" s="68" t="n"/>
      <c r="E94" s="68" t="n"/>
      <c r="F94" s="59">
        <f>IF(OR(E94="",D94=""),"",MAX(E94-D94,0))</f>
        <v/>
      </c>
      <c r="G94" s="59">
        <f>IF(F94="","",IF(N(C94)=0,1,C94))</f>
        <v/>
      </c>
      <c r="H94" s="53" t="n">
        <v>74</v>
      </c>
      <c r="I94" s="67" t="n"/>
      <c r="J94" s="55" t="n"/>
      <c r="K94" s="68" t="n"/>
      <c r="L94" s="68" t="n"/>
      <c r="M94" s="59">
        <f>IF(OR(L94="",K94=""),"",MAX(L94-K94,0))</f>
        <v/>
      </c>
      <c r="N94" s="59">
        <f>IF(M94="","",IF(N(J94)=0,1,J94))</f>
        <v/>
      </c>
    </row>
    <row r="95">
      <c r="A95" s="53" t="n">
        <v>75</v>
      </c>
      <c r="B95" s="67" t="n"/>
      <c r="C95" s="55" t="n"/>
      <c r="D95" s="68" t="n"/>
      <c r="E95" s="68" t="n"/>
      <c r="F95" s="59">
        <f>IF(OR(E95="",D95=""),"",MAX(E95-D95,0))</f>
        <v/>
      </c>
      <c r="G95" s="59">
        <f>IF(F95="","",IF(N(C95)=0,1,C95))</f>
        <v/>
      </c>
      <c r="H95" s="53" t="n">
        <v>75</v>
      </c>
      <c r="I95" s="67" t="n"/>
      <c r="J95" s="55" t="n"/>
      <c r="K95" s="68" t="n"/>
      <c r="L95" s="68" t="n"/>
      <c r="M95" s="59">
        <f>IF(OR(L95="",K95=""),"",MAX(L95-K95,0))</f>
        <v/>
      </c>
      <c r="N95" s="59">
        <f>IF(M95="","",IF(N(J95)=0,1,J95))</f>
        <v/>
      </c>
    </row>
    <row r="96">
      <c r="A96" s="53" t="n">
        <v>76</v>
      </c>
      <c r="B96" s="67" t="n"/>
      <c r="C96" s="55" t="n"/>
      <c r="D96" s="68" t="n"/>
      <c r="E96" s="68" t="n"/>
      <c r="F96" s="59">
        <f>IF(OR(E96="",D96=""),"",MAX(E96-D96,0))</f>
        <v/>
      </c>
      <c r="G96" s="59">
        <f>IF(F96="","",IF(N(C96)=0,1,C96))</f>
        <v/>
      </c>
      <c r="H96" s="53" t="n">
        <v>76</v>
      </c>
      <c r="I96" s="67" t="n"/>
      <c r="J96" s="55" t="n"/>
      <c r="K96" s="68" t="n"/>
      <c r="L96" s="68" t="n"/>
      <c r="M96" s="59">
        <f>IF(OR(L96="",K96=""),"",MAX(L96-K96,0))</f>
        <v/>
      </c>
      <c r="N96" s="59">
        <f>IF(M96="","",IF(N(J96)=0,1,J96))</f>
        <v/>
      </c>
    </row>
    <row r="97">
      <c r="A97" s="53" t="n">
        <v>77</v>
      </c>
      <c r="B97" s="67" t="n"/>
      <c r="C97" s="55" t="n"/>
      <c r="D97" s="68" t="n"/>
      <c r="E97" s="68" t="n"/>
      <c r="F97" s="59">
        <f>IF(OR(E97="",D97=""),"",MAX(E97-D97,0))</f>
        <v/>
      </c>
      <c r="G97" s="59">
        <f>IF(F97="","",IF(N(C97)=0,1,C97))</f>
        <v/>
      </c>
      <c r="H97" s="53" t="n">
        <v>77</v>
      </c>
      <c r="I97" s="67" t="n"/>
      <c r="J97" s="55" t="n"/>
      <c r="K97" s="68" t="n"/>
      <c r="L97" s="68" t="n"/>
      <c r="M97" s="59">
        <f>IF(OR(L97="",K97=""),"",MAX(L97-K97,0))</f>
        <v/>
      </c>
      <c r="N97" s="59">
        <f>IF(M97="","",IF(N(J97)=0,1,J97))</f>
        <v/>
      </c>
    </row>
    <row r="98">
      <c r="A98" s="53" t="n">
        <v>78</v>
      </c>
      <c r="B98" s="67" t="n"/>
      <c r="C98" s="55" t="n"/>
      <c r="D98" s="68" t="n"/>
      <c r="E98" s="68" t="n"/>
      <c r="F98" s="59">
        <f>IF(OR(E98="",D98=""),"",MAX(E98-D98,0))</f>
        <v/>
      </c>
      <c r="G98" s="59">
        <f>IF(F98="","",IF(N(C98)=0,1,C98))</f>
        <v/>
      </c>
      <c r="H98" s="53" t="n">
        <v>78</v>
      </c>
      <c r="I98" s="67" t="n"/>
      <c r="J98" s="55" t="n"/>
      <c r="K98" s="68" t="n"/>
      <c r="L98" s="68" t="n"/>
      <c r="M98" s="59">
        <f>IF(OR(L98="",K98=""),"",MAX(L98-K98,0))</f>
        <v/>
      </c>
      <c r="N98" s="59">
        <f>IF(M98="","",IF(N(J98)=0,1,J98))</f>
        <v/>
      </c>
    </row>
    <row r="99">
      <c r="A99" s="53" t="n">
        <v>79</v>
      </c>
      <c r="B99" s="67" t="n"/>
      <c r="C99" s="55" t="n"/>
      <c r="D99" s="68" t="n"/>
      <c r="E99" s="68" t="n"/>
      <c r="F99" s="59">
        <f>IF(OR(E99="",D99=""),"",MAX(E99-D99,0))</f>
        <v/>
      </c>
      <c r="G99" s="59">
        <f>IF(F99="","",IF(N(C99)=0,1,C99))</f>
        <v/>
      </c>
      <c r="H99" s="53" t="n">
        <v>79</v>
      </c>
      <c r="I99" s="67" t="n"/>
      <c r="J99" s="55" t="n"/>
      <c r="K99" s="68" t="n"/>
      <c r="L99" s="68" t="n"/>
      <c r="M99" s="59">
        <f>IF(OR(L99="",K99=""),"",MAX(L99-K99,0))</f>
        <v/>
      </c>
      <c r="N99" s="59">
        <f>IF(M99="","",IF(N(J99)=0,1,J99))</f>
        <v/>
      </c>
    </row>
    <row r="100">
      <c r="A100" s="53" t="n">
        <v>80</v>
      </c>
      <c r="B100" s="67" t="n"/>
      <c r="C100" s="55" t="n"/>
      <c r="D100" s="68" t="n"/>
      <c r="E100" s="68" t="n"/>
      <c r="F100" s="59">
        <f>IF(OR(E100="",D100=""),"",MAX(E100-D100,0))</f>
        <v/>
      </c>
      <c r="G100" s="59">
        <f>IF(F100="","",IF(N(C100)=0,1,C100))</f>
        <v/>
      </c>
      <c r="H100" s="53" t="n">
        <v>80</v>
      </c>
      <c r="I100" s="67" t="n"/>
      <c r="J100" s="55" t="n"/>
      <c r="K100" s="68" t="n"/>
      <c r="L100" s="68" t="n"/>
      <c r="M100" s="59">
        <f>IF(OR(L100="",K100=""),"",MAX(L100-K100,0))</f>
        <v/>
      </c>
      <c r="N100" s="59">
        <f>IF(M100="","",IF(N(J100)=0,1,J100))</f>
        <v/>
      </c>
    </row>
    <row r="101">
      <c r="A101" s="53" t="n">
        <v>81</v>
      </c>
      <c r="B101" s="67" t="n"/>
      <c r="C101" s="55" t="n"/>
      <c r="D101" s="68" t="n"/>
      <c r="E101" s="68" t="n"/>
      <c r="F101" s="59">
        <f>IF(OR(E101="",D101=""),"",MAX(E101-D101,0))</f>
        <v/>
      </c>
      <c r="G101" s="59">
        <f>IF(F101="","",IF(N(C101)=0,1,C101))</f>
        <v/>
      </c>
      <c r="H101" s="53" t="n">
        <v>81</v>
      </c>
      <c r="I101" s="67" t="n"/>
      <c r="J101" s="55" t="n"/>
      <c r="K101" s="68" t="n"/>
      <c r="L101" s="68" t="n"/>
      <c r="M101" s="59">
        <f>IF(OR(L101="",K101=""),"",MAX(L101-K101,0))</f>
        <v/>
      </c>
      <c r="N101" s="59">
        <f>IF(M101="","",IF(N(J101)=0,1,J101))</f>
        <v/>
      </c>
    </row>
    <row r="102">
      <c r="A102" s="53" t="n">
        <v>82</v>
      </c>
      <c r="B102" s="67" t="n"/>
      <c r="C102" s="55" t="n"/>
      <c r="D102" s="68" t="n"/>
      <c r="E102" s="68" t="n"/>
      <c r="F102" s="59">
        <f>IF(OR(E102="",D102=""),"",MAX(E102-D102,0))</f>
        <v/>
      </c>
      <c r="G102" s="59">
        <f>IF(F102="","",IF(N(C102)=0,1,C102))</f>
        <v/>
      </c>
      <c r="H102" s="53" t="n">
        <v>82</v>
      </c>
      <c r="I102" s="67" t="n"/>
      <c r="J102" s="55" t="n"/>
      <c r="K102" s="68" t="n"/>
      <c r="L102" s="68" t="n"/>
      <c r="M102" s="59">
        <f>IF(OR(L102="",K102=""),"",MAX(L102-K102,0))</f>
        <v/>
      </c>
      <c r="N102" s="59">
        <f>IF(M102="","",IF(N(J102)=0,1,J102))</f>
        <v/>
      </c>
    </row>
    <row r="103">
      <c r="A103" s="53" t="n">
        <v>83</v>
      </c>
      <c r="B103" s="67" t="n"/>
      <c r="C103" s="55" t="n"/>
      <c r="D103" s="68" t="n"/>
      <c r="E103" s="68" t="n"/>
      <c r="F103" s="59">
        <f>IF(OR(E103="",D103=""),"",MAX(E103-D103,0))</f>
        <v/>
      </c>
      <c r="G103" s="59">
        <f>IF(F103="","",IF(N(C103)=0,1,C103))</f>
        <v/>
      </c>
      <c r="H103" s="53" t="n">
        <v>83</v>
      </c>
      <c r="I103" s="67" t="n"/>
      <c r="J103" s="55" t="n"/>
      <c r="K103" s="68" t="n"/>
      <c r="L103" s="68" t="n"/>
      <c r="M103" s="59">
        <f>IF(OR(L103="",K103=""),"",MAX(L103-K103,0))</f>
        <v/>
      </c>
      <c r="N103" s="59">
        <f>IF(M103="","",IF(N(J103)=0,1,J103))</f>
        <v/>
      </c>
    </row>
    <row r="104">
      <c r="A104" s="53" t="n">
        <v>84</v>
      </c>
      <c r="B104" s="67" t="n"/>
      <c r="C104" s="55" t="n"/>
      <c r="D104" s="68" t="n"/>
      <c r="E104" s="68" t="n"/>
      <c r="F104" s="59">
        <f>IF(OR(E104="",D104=""),"",MAX(E104-D104,0))</f>
        <v/>
      </c>
      <c r="G104" s="59">
        <f>IF(F104="","",IF(N(C104)=0,1,C104))</f>
        <v/>
      </c>
      <c r="H104" s="53" t="n">
        <v>84</v>
      </c>
      <c r="I104" s="67" t="n"/>
      <c r="J104" s="55" t="n"/>
      <c r="K104" s="68" t="n"/>
      <c r="L104" s="68" t="n"/>
      <c r="M104" s="59">
        <f>IF(OR(L104="",K104=""),"",MAX(L104-K104,0))</f>
        <v/>
      </c>
      <c r="N104" s="59">
        <f>IF(M104="","",IF(N(J104)=0,1,J104))</f>
        <v/>
      </c>
    </row>
    <row r="105">
      <c r="A105" s="53" t="n">
        <v>85</v>
      </c>
      <c r="B105" s="67" t="n"/>
      <c r="C105" s="55" t="n"/>
      <c r="D105" s="68" t="n"/>
      <c r="E105" s="68" t="n"/>
      <c r="F105" s="59">
        <f>IF(OR(E105="",D105=""),"",MAX(E105-D105,0))</f>
        <v/>
      </c>
      <c r="G105" s="59">
        <f>IF(F105="","",IF(N(C105)=0,1,C105))</f>
        <v/>
      </c>
      <c r="H105" s="53" t="n">
        <v>85</v>
      </c>
      <c r="I105" s="67" t="n"/>
      <c r="J105" s="55" t="n"/>
      <c r="K105" s="68" t="n"/>
      <c r="L105" s="68" t="n"/>
      <c r="M105" s="59">
        <f>IF(OR(L105="",K105=""),"",MAX(L105-K105,0))</f>
        <v/>
      </c>
      <c r="N105" s="59">
        <f>IF(M105="","",IF(N(J105)=0,1,J105))</f>
        <v/>
      </c>
    </row>
    <row r="106">
      <c r="A106" s="53" t="n">
        <v>86</v>
      </c>
      <c r="B106" s="67" t="n"/>
      <c r="C106" s="55" t="n"/>
      <c r="D106" s="68" t="n"/>
      <c r="E106" s="68" t="n"/>
      <c r="F106" s="59">
        <f>IF(OR(E106="",D106=""),"",MAX(E106-D106,0))</f>
        <v/>
      </c>
      <c r="G106" s="59">
        <f>IF(F106="","",IF(N(C106)=0,1,C106))</f>
        <v/>
      </c>
      <c r="H106" s="53" t="n">
        <v>86</v>
      </c>
      <c r="I106" s="67" t="n"/>
      <c r="J106" s="55" t="n"/>
      <c r="K106" s="68" t="n"/>
      <c r="L106" s="68" t="n"/>
      <c r="M106" s="59">
        <f>IF(OR(L106="",K106=""),"",MAX(L106-K106,0))</f>
        <v/>
      </c>
      <c r="N106" s="59">
        <f>IF(M106="","",IF(N(J106)=0,1,J106))</f>
        <v/>
      </c>
    </row>
    <row r="107">
      <c r="A107" s="53" t="n">
        <v>87</v>
      </c>
      <c r="B107" s="67" t="n"/>
      <c r="C107" s="55" t="n"/>
      <c r="D107" s="68" t="n"/>
      <c r="E107" s="68" t="n"/>
      <c r="F107" s="59">
        <f>IF(OR(E107="",D107=""),"",MAX(E107-D107,0))</f>
        <v/>
      </c>
      <c r="G107" s="59">
        <f>IF(F107="","",IF(N(C107)=0,1,C107))</f>
        <v/>
      </c>
      <c r="H107" s="53" t="n">
        <v>87</v>
      </c>
      <c r="I107" s="67" t="n"/>
      <c r="J107" s="55" t="n"/>
      <c r="K107" s="68" t="n"/>
      <c r="L107" s="68" t="n"/>
      <c r="M107" s="59">
        <f>IF(OR(L107="",K107=""),"",MAX(L107-K107,0))</f>
        <v/>
      </c>
      <c r="N107" s="59">
        <f>IF(M107="","",IF(N(J107)=0,1,J107))</f>
        <v/>
      </c>
    </row>
    <row r="108">
      <c r="A108" s="53" t="n">
        <v>88</v>
      </c>
      <c r="B108" s="67" t="n"/>
      <c r="C108" s="55" t="n"/>
      <c r="D108" s="68" t="n"/>
      <c r="E108" s="68" t="n"/>
      <c r="F108" s="59">
        <f>IF(OR(E108="",D108=""),"",MAX(E108-D108,0))</f>
        <v/>
      </c>
      <c r="G108" s="59">
        <f>IF(F108="","",IF(N(C108)=0,1,C108))</f>
        <v/>
      </c>
      <c r="H108" s="53" t="n">
        <v>88</v>
      </c>
      <c r="I108" s="67" t="n"/>
      <c r="J108" s="55" t="n"/>
      <c r="K108" s="68" t="n"/>
      <c r="L108" s="68" t="n"/>
      <c r="M108" s="59">
        <f>IF(OR(L108="",K108=""),"",MAX(L108-K108,0))</f>
        <v/>
      </c>
      <c r="N108" s="59">
        <f>IF(M108="","",IF(N(J108)=0,1,J108))</f>
        <v/>
      </c>
    </row>
    <row r="109">
      <c r="A109" s="53" t="n">
        <v>89</v>
      </c>
      <c r="B109" s="67" t="n"/>
      <c r="C109" s="55" t="n"/>
      <c r="D109" s="68" t="n"/>
      <c r="E109" s="68" t="n"/>
      <c r="F109" s="59">
        <f>IF(OR(E109="",D109=""),"",MAX(E109-D109,0))</f>
        <v/>
      </c>
      <c r="G109" s="59">
        <f>IF(F109="","",IF(N(C109)=0,1,C109))</f>
        <v/>
      </c>
      <c r="H109" s="53" t="n">
        <v>89</v>
      </c>
      <c r="I109" s="67" t="n"/>
      <c r="J109" s="55" t="n"/>
      <c r="K109" s="68" t="n"/>
      <c r="L109" s="68" t="n"/>
      <c r="M109" s="59">
        <f>IF(OR(L109="",K109=""),"",MAX(L109-K109,0))</f>
        <v/>
      </c>
      <c r="N109" s="59">
        <f>IF(M109="","",IF(N(J109)=0,1,J109))</f>
        <v/>
      </c>
    </row>
    <row r="110">
      <c r="A110" s="53" t="n">
        <v>90</v>
      </c>
      <c r="B110" s="67" t="n"/>
      <c r="C110" s="55" t="n"/>
      <c r="D110" s="68" t="n"/>
      <c r="E110" s="68" t="n"/>
      <c r="F110" s="59">
        <f>IF(OR(E110="",D110=""),"",MAX(E110-D110,0))</f>
        <v/>
      </c>
      <c r="G110" s="59">
        <f>IF(F110="","",IF(N(C110)=0,1,C110))</f>
        <v/>
      </c>
      <c r="H110" s="53" t="n">
        <v>90</v>
      </c>
      <c r="I110" s="67" t="n"/>
      <c r="J110" s="55" t="n"/>
      <c r="K110" s="68" t="n"/>
      <c r="L110" s="68" t="n"/>
      <c r="M110" s="59">
        <f>IF(OR(L110="",K110=""),"",MAX(L110-K110,0))</f>
        <v/>
      </c>
      <c r="N110" s="59">
        <f>IF(M110="","",IF(N(J110)=0,1,J110))</f>
        <v/>
      </c>
    </row>
    <row r="111">
      <c r="A111" s="53" t="n">
        <v>91</v>
      </c>
      <c r="B111" s="67" t="n"/>
      <c r="C111" s="55" t="n"/>
      <c r="D111" s="68" t="n"/>
      <c r="E111" s="68" t="n"/>
      <c r="F111" s="59">
        <f>IF(OR(E111="",D111=""),"",MAX(E111-D111,0))</f>
        <v/>
      </c>
      <c r="G111" s="59">
        <f>IF(F111="","",IF(N(C111)=0,1,C111))</f>
        <v/>
      </c>
      <c r="H111" s="53" t="n">
        <v>91</v>
      </c>
      <c r="I111" s="67" t="n"/>
      <c r="J111" s="55" t="n"/>
      <c r="K111" s="68" t="n"/>
      <c r="L111" s="68" t="n"/>
      <c r="M111" s="59">
        <f>IF(OR(L111="",K111=""),"",MAX(L111-K111,0))</f>
        <v/>
      </c>
      <c r="N111" s="59">
        <f>IF(M111="","",IF(N(J111)=0,1,J111))</f>
        <v/>
      </c>
    </row>
    <row r="112">
      <c r="A112" s="53" t="n">
        <v>92</v>
      </c>
      <c r="B112" s="67" t="n"/>
      <c r="C112" s="55" t="n"/>
      <c r="D112" s="68" t="n"/>
      <c r="E112" s="68" t="n"/>
      <c r="F112" s="59">
        <f>IF(OR(E112="",D112=""),"",MAX(E112-D112,0))</f>
        <v/>
      </c>
      <c r="G112" s="59">
        <f>IF(F112="","",IF(N(C112)=0,1,C112))</f>
        <v/>
      </c>
      <c r="H112" s="53" t="n">
        <v>92</v>
      </c>
      <c r="I112" s="67" t="n"/>
      <c r="J112" s="55" t="n"/>
      <c r="K112" s="68" t="n"/>
      <c r="L112" s="68" t="n"/>
      <c r="M112" s="59">
        <f>IF(OR(L112="",K112=""),"",MAX(L112-K112,0))</f>
        <v/>
      </c>
      <c r="N112" s="59">
        <f>IF(M112="","",IF(N(J112)=0,1,J112))</f>
        <v/>
      </c>
    </row>
    <row r="113">
      <c r="A113" s="53" t="n">
        <v>93</v>
      </c>
      <c r="B113" s="67" t="n"/>
      <c r="C113" s="55" t="n"/>
      <c r="D113" s="68" t="n"/>
      <c r="E113" s="68" t="n"/>
      <c r="F113" s="59">
        <f>IF(OR(E113="",D113=""),"",MAX(E113-D113,0))</f>
        <v/>
      </c>
      <c r="G113" s="59">
        <f>IF(F113="","",IF(N(C113)=0,1,C113))</f>
        <v/>
      </c>
      <c r="H113" s="53" t="n">
        <v>93</v>
      </c>
      <c r="I113" s="67" t="n"/>
      <c r="J113" s="55" t="n"/>
      <c r="K113" s="68" t="n"/>
      <c r="L113" s="68" t="n"/>
      <c r="M113" s="59">
        <f>IF(OR(L113="",K113=""),"",MAX(L113-K113,0))</f>
        <v/>
      </c>
      <c r="N113" s="59">
        <f>IF(M113="","",IF(N(J113)=0,1,J113))</f>
        <v/>
      </c>
    </row>
    <row r="114">
      <c r="A114" s="53" t="n">
        <v>94</v>
      </c>
      <c r="B114" s="67" t="n"/>
      <c r="C114" s="55" t="n"/>
      <c r="D114" s="68" t="n"/>
      <c r="E114" s="68" t="n"/>
      <c r="F114" s="59">
        <f>IF(OR(E114="",D114=""),"",MAX(E114-D114,0))</f>
        <v/>
      </c>
      <c r="G114" s="59">
        <f>IF(F114="","",IF(N(C114)=0,1,C114))</f>
        <v/>
      </c>
      <c r="H114" s="53" t="n">
        <v>94</v>
      </c>
      <c r="I114" s="67" t="n"/>
      <c r="J114" s="55" t="n"/>
      <c r="K114" s="68" t="n"/>
      <c r="L114" s="68" t="n"/>
      <c r="M114" s="59">
        <f>IF(OR(L114="",K114=""),"",MAX(L114-K114,0))</f>
        <v/>
      </c>
      <c r="N114" s="59">
        <f>IF(M114="","",IF(N(J114)=0,1,J114))</f>
        <v/>
      </c>
    </row>
    <row r="115">
      <c r="A115" s="53" t="n">
        <v>95</v>
      </c>
      <c r="B115" s="67" t="n"/>
      <c r="C115" s="55" t="n"/>
      <c r="D115" s="68" t="n"/>
      <c r="E115" s="68" t="n"/>
      <c r="F115" s="59">
        <f>IF(OR(E115="",D115=""),"",MAX(E115-D115,0))</f>
        <v/>
      </c>
      <c r="G115" s="59">
        <f>IF(F115="","",IF(N(C115)=0,1,C115))</f>
        <v/>
      </c>
      <c r="H115" s="53" t="n">
        <v>95</v>
      </c>
      <c r="I115" s="67" t="n"/>
      <c r="J115" s="55" t="n"/>
      <c r="K115" s="68" t="n"/>
      <c r="L115" s="68" t="n"/>
      <c r="M115" s="59">
        <f>IF(OR(L115="",K115=""),"",MAX(L115-K115,0))</f>
        <v/>
      </c>
      <c r="N115" s="59">
        <f>IF(M115="","",IF(N(J115)=0,1,J115))</f>
        <v/>
      </c>
    </row>
    <row r="116">
      <c r="A116" s="53" t="n">
        <v>96</v>
      </c>
      <c r="B116" s="67" t="n"/>
      <c r="C116" s="55" t="n"/>
      <c r="D116" s="68" t="n"/>
      <c r="E116" s="68" t="n"/>
      <c r="F116" s="59">
        <f>IF(OR(E116="",D116=""),"",MAX(E116-D116,0))</f>
        <v/>
      </c>
      <c r="G116" s="59">
        <f>IF(F116="","",IF(N(C116)=0,1,C116))</f>
        <v/>
      </c>
      <c r="H116" s="53" t="n">
        <v>96</v>
      </c>
      <c r="I116" s="67" t="n"/>
      <c r="J116" s="55" t="n"/>
      <c r="K116" s="68" t="n"/>
      <c r="L116" s="68" t="n"/>
      <c r="M116" s="59">
        <f>IF(OR(L116="",K116=""),"",MAX(L116-K116,0))</f>
        <v/>
      </c>
      <c r="N116" s="59">
        <f>IF(M116="","",IF(N(J116)=0,1,J116))</f>
        <v/>
      </c>
    </row>
    <row r="117">
      <c r="A117" s="53" t="n">
        <v>97</v>
      </c>
      <c r="B117" s="67" t="n"/>
      <c r="C117" s="55" t="n"/>
      <c r="D117" s="68" t="n"/>
      <c r="E117" s="68" t="n"/>
      <c r="F117" s="59">
        <f>IF(OR(E117="",D117=""),"",MAX(E117-D117,0))</f>
        <v/>
      </c>
      <c r="G117" s="59">
        <f>IF(F117="","",IF(N(C117)=0,1,C117))</f>
        <v/>
      </c>
      <c r="H117" s="53" t="n">
        <v>97</v>
      </c>
      <c r="I117" s="67" t="n"/>
      <c r="J117" s="55" t="n"/>
      <c r="K117" s="68" t="n"/>
      <c r="L117" s="68" t="n"/>
      <c r="M117" s="59">
        <f>IF(OR(L117="",K117=""),"",MAX(L117-K117,0))</f>
        <v/>
      </c>
      <c r="N117" s="59">
        <f>IF(M117="","",IF(N(J117)=0,1,J117))</f>
        <v/>
      </c>
    </row>
    <row r="118">
      <c r="A118" s="53" t="n">
        <v>98</v>
      </c>
      <c r="B118" s="67" t="n"/>
      <c r="C118" s="55" t="n"/>
      <c r="D118" s="68" t="n"/>
      <c r="E118" s="68" t="n"/>
      <c r="F118" s="59">
        <f>IF(OR(E118="",D118=""),"",MAX(E118-D118,0))</f>
        <v/>
      </c>
      <c r="G118" s="59">
        <f>IF(F118="","",IF(N(C118)=0,1,C118))</f>
        <v/>
      </c>
      <c r="H118" s="53" t="n">
        <v>98</v>
      </c>
      <c r="I118" s="67" t="n"/>
      <c r="J118" s="55" t="n"/>
      <c r="K118" s="68" t="n"/>
      <c r="L118" s="68" t="n"/>
      <c r="M118" s="59">
        <f>IF(OR(L118="",K118=""),"",MAX(L118-K118,0))</f>
        <v/>
      </c>
      <c r="N118" s="59">
        <f>IF(M118="","",IF(N(J118)=0,1,J118))</f>
        <v/>
      </c>
    </row>
    <row r="119">
      <c r="A119" s="53" t="n">
        <v>99</v>
      </c>
      <c r="B119" s="67" t="n"/>
      <c r="C119" s="55" t="n"/>
      <c r="D119" s="68" t="n"/>
      <c r="E119" s="68" t="n"/>
      <c r="F119" s="59">
        <f>IF(OR(E119="",D119=""),"",MAX(E119-D119,0))</f>
        <v/>
      </c>
      <c r="G119" s="59">
        <f>IF(F119="","",IF(N(C119)=0,1,C119))</f>
        <v/>
      </c>
      <c r="H119" s="53" t="n">
        <v>99</v>
      </c>
      <c r="I119" s="67" t="n"/>
      <c r="J119" s="55" t="n"/>
      <c r="K119" s="68" t="n"/>
      <c r="L119" s="68" t="n"/>
      <c r="M119" s="59">
        <f>IF(OR(L119="",K119=""),"",MAX(L119-K119,0))</f>
        <v/>
      </c>
      <c r="N119" s="59">
        <f>IF(M119="","",IF(N(J119)=0,1,J119))</f>
        <v/>
      </c>
    </row>
    <row r="120">
      <c r="A120" s="53" t="n">
        <v>100</v>
      </c>
      <c r="B120" s="67" t="n"/>
      <c r="C120" s="55" t="n"/>
      <c r="D120" s="68" t="n"/>
      <c r="E120" s="68" t="n"/>
      <c r="F120" s="59">
        <f>IF(OR(E120="",D120=""),"",MAX(E120-D120,0))</f>
        <v/>
      </c>
      <c r="G120" s="59">
        <f>IF(F120="","",IF(N(C120)=0,1,C120))</f>
        <v/>
      </c>
      <c r="H120" s="53" t="n">
        <v>100</v>
      </c>
      <c r="I120" s="67" t="n"/>
      <c r="J120" s="55" t="n"/>
      <c r="K120" s="68" t="n"/>
      <c r="L120" s="68" t="n"/>
      <c r="M120" s="59">
        <f>IF(OR(L120="",K120=""),"",MAX(L120-K120,0))</f>
        <v/>
      </c>
      <c r="N120" s="59">
        <f>IF(M120="","",IF(N(J120)=0,1,J120))</f>
        <v/>
      </c>
    </row>
    <row r="121">
      <c r="A121" s="53" t="n">
        <v>101</v>
      </c>
      <c r="B121" s="67" t="n"/>
      <c r="C121" s="55" t="n"/>
      <c r="D121" s="68" t="n"/>
      <c r="E121" s="68" t="n"/>
      <c r="F121" s="59">
        <f>IF(OR(E121="",D121=""),"",MAX(E121-D121,0))</f>
        <v/>
      </c>
      <c r="G121" s="59">
        <f>IF(F121="","",IF(N(C121)=0,1,C121))</f>
        <v/>
      </c>
      <c r="H121" s="53" t="n">
        <v>101</v>
      </c>
      <c r="I121" s="67" t="n"/>
      <c r="J121" s="55" t="n"/>
      <c r="K121" s="68" t="n"/>
      <c r="L121" s="68" t="n"/>
      <c r="M121" s="59">
        <f>IF(OR(L121="",K121=""),"",MAX(L121-K121,0))</f>
        <v/>
      </c>
      <c r="N121" s="59">
        <f>IF(M121="","",IF(N(J121)=0,1,J121))</f>
        <v/>
      </c>
    </row>
    <row r="122">
      <c r="A122" s="53" t="n">
        <v>102</v>
      </c>
      <c r="B122" s="67" t="n"/>
      <c r="C122" s="55" t="n"/>
      <c r="D122" s="68" t="n"/>
      <c r="E122" s="68" t="n"/>
      <c r="F122" s="59">
        <f>IF(OR(E122="",D122=""),"",MAX(E122-D122,0))</f>
        <v/>
      </c>
      <c r="G122" s="59">
        <f>IF(F122="","",IF(N(C122)=0,1,C122))</f>
        <v/>
      </c>
      <c r="H122" s="53" t="n">
        <v>102</v>
      </c>
      <c r="I122" s="67" t="n"/>
      <c r="J122" s="55" t="n"/>
      <c r="K122" s="68" t="n"/>
      <c r="L122" s="68" t="n"/>
      <c r="M122" s="59">
        <f>IF(OR(L122="",K122=""),"",MAX(L122-K122,0))</f>
        <v/>
      </c>
      <c r="N122" s="59">
        <f>IF(M122="","",IF(N(J122)=0,1,J122))</f>
        <v/>
      </c>
    </row>
    <row r="123">
      <c r="A123" s="53" t="n">
        <v>103</v>
      </c>
      <c r="B123" s="67" t="n"/>
      <c r="C123" s="55" t="n"/>
      <c r="D123" s="68" t="n"/>
      <c r="E123" s="68" t="n"/>
      <c r="F123" s="59">
        <f>IF(OR(E123="",D123=""),"",MAX(E123-D123,0))</f>
        <v/>
      </c>
      <c r="G123" s="59">
        <f>IF(F123="","",IF(N(C123)=0,1,C123))</f>
        <v/>
      </c>
      <c r="H123" s="53" t="n">
        <v>103</v>
      </c>
      <c r="I123" s="67" t="n"/>
      <c r="J123" s="55" t="n"/>
      <c r="K123" s="68" t="n"/>
      <c r="L123" s="68" t="n"/>
      <c r="M123" s="59">
        <f>IF(OR(L123="",K123=""),"",MAX(L123-K123,0))</f>
        <v/>
      </c>
      <c r="N123" s="59">
        <f>IF(M123="","",IF(N(J123)=0,1,J123))</f>
        <v/>
      </c>
    </row>
    <row r="124">
      <c r="A124" s="53" t="n">
        <v>104</v>
      </c>
      <c r="B124" s="67" t="n"/>
      <c r="C124" s="55" t="n"/>
      <c r="D124" s="68" t="n"/>
      <c r="E124" s="68" t="n"/>
      <c r="F124" s="59">
        <f>IF(OR(E124="",D124=""),"",MAX(E124-D124,0))</f>
        <v/>
      </c>
      <c r="G124" s="59">
        <f>IF(F124="","",IF(N(C124)=0,1,C124))</f>
        <v/>
      </c>
      <c r="H124" s="53" t="n">
        <v>104</v>
      </c>
      <c r="I124" s="67" t="n"/>
      <c r="J124" s="55" t="n"/>
      <c r="K124" s="68" t="n"/>
      <c r="L124" s="68" t="n"/>
      <c r="M124" s="59">
        <f>IF(OR(L124="",K124=""),"",MAX(L124-K124,0))</f>
        <v/>
      </c>
      <c r="N124" s="59">
        <f>IF(M124="","",IF(N(J124)=0,1,J124))</f>
        <v/>
      </c>
    </row>
    <row r="125">
      <c r="A125" s="53" t="n">
        <v>105</v>
      </c>
      <c r="B125" s="67" t="n"/>
      <c r="C125" s="55" t="n"/>
      <c r="D125" s="68" t="n"/>
      <c r="E125" s="68" t="n"/>
      <c r="F125" s="59">
        <f>IF(OR(E125="",D125=""),"",MAX(E125-D125,0))</f>
        <v/>
      </c>
      <c r="G125" s="59">
        <f>IF(F125="","",IF(N(C125)=0,1,C125))</f>
        <v/>
      </c>
      <c r="H125" s="53" t="n">
        <v>105</v>
      </c>
      <c r="I125" s="67" t="n"/>
      <c r="J125" s="55" t="n"/>
      <c r="K125" s="68" t="n"/>
      <c r="L125" s="68" t="n"/>
      <c r="M125" s="59">
        <f>IF(OR(L125="",K125=""),"",MAX(L125-K125,0))</f>
        <v/>
      </c>
      <c r="N125" s="59">
        <f>IF(M125="","",IF(N(J125)=0,1,J125))</f>
        <v/>
      </c>
    </row>
    <row r="126">
      <c r="A126" s="53" t="n">
        <v>106</v>
      </c>
      <c r="B126" s="67" t="n"/>
      <c r="C126" s="55" t="n"/>
      <c r="D126" s="68" t="n"/>
      <c r="E126" s="68" t="n"/>
      <c r="F126" s="59">
        <f>IF(OR(E126="",D126=""),"",MAX(E126-D126,0))</f>
        <v/>
      </c>
      <c r="G126" s="59">
        <f>IF(F126="","",IF(N(C126)=0,1,C126))</f>
        <v/>
      </c>
      <c r="H126" s="53" t="n">
        <v>106</v>
      </c>
      <c r="I126" s="67" t="n"/>
      <c r="J126" s="55" t="n"/>
      <c r="K126" s="68" t="n"/>
      <c r="L126" s="68" t="n"/>
      <c r="M126" s="59">
        <f>IF(OR(L126="",K126=""),"",MAX(L126-K126,0))</f>
        <v/>
      </c>
      <c r="N126" s="59">
        <f>IF(M126="","",IF(N(J126)=0,1,J126))</f>
        <v/>
      </c>
    </row>
    <row r="127">
      <c r="A127" s="53" t="n">
        <v>107</v>
      </c>
      <c r="B127" s="67" t="n"/>
      <c r="C127" s="55" t="n"/>
      <c r="D127" s="68" t="n"/>
      <c r="E127" s="68" t="n"/>
      <c r="F127" s="59">
        <f>IF(OR(E127="",D127=""),"",MAX(E127-D127,0))</f>
        <v/>
      </c>
      <c r="G127" s="59">
        <f>IF(F127="","",IF(N(C127)=0,1,C127))</f>
        <v/>
      </c>
      <c r="H127" s="53" t="n">
        <v>107</v>
      </c>
      <c r="I127" s="67" t="n"/>
      <c r="J127" s="55" t="n"/>
      <c r="K127" s="68" t="n"/>
      <c r="L127" s="68" t="n"/>
      <c r="M127" s="59">
        <f>IF(OR(L127="",K127=""),"",MAX(L127-K127,0))</f>
        <v/>
      </c>
      <c r="N127" s="59">
        <f>IF(M127="","",IF(N(J127)=0,1,J127))</f>
        <v/>
      </c>
    </row>
    <row r="128">
      <c r="A128" s="53" t="n">
        <v>108</v>
      </c>
      <c r="B128" s="67" t="n"/>
      <c r="C128" s="55" t="n"/>
      <c r="D128" s="68" t="n"/>
      <c r="E128" s="68" t="n"/>
      <c r="F128" s="59">
        <f>IF(OR(E128="",D128=""),"",MAX(E128-D128,0))</f>
        <v/>
      </c>
      <c r="G128" s="59">
        <f>IF(F128="","",IF(N(C128)=0,1,C128))</f>
        <v/>
      </c>
      <c r="H128" s="53" t="n">
        <v>108</v>
      </c>
      <c r="I128" s="67" t="n"/>
      <c r="J128" s="55" t="n"/>
      <c r="K128" s="68" t="n"/>
      <c r="L128" s="68" t="n"/>
      <c r="M128" s="59">
        <f>IF(OR(L128="",K128=""),"",MAX(L128-K128,0))</f>
        <v/>
      </c>
      <c r="N128" s="59">
        <f>IF(M128="","",IF(N(J128)=0,1,J128))</f>
        <v/>
      </c>
    </row>
    <row r="129">
      <c r="A129" s="53" t="n">
        <v>109</v>
      </c>
      <c r="B129" s="67" t="n"/>
      <c r="C129" s="55" t="n"/>
      <c r="D129" s="68" t="n"/>
      <c r="E129" s="68" t="n"/>
      <c r="F129" s="59">
        <f>IF(OR(E129="",D129=""),"",MAX(E129-D129,0))</f>
        <v/>
      </c>
      <c r="G129" s="59">
        <f>IF(F129="","",IF(N(C129)=0,1,C129))</f>
        <v/>
      </c>
      <c r="H129" s="53" t="n">
        <v>109</v>
      </c>
      <c r="I129" s="67" t="n"/>
      <c r="J129" s="55" t="n"/>
      <c r="K129" s="68" t="n"/>
      <c r="L129" s="68" t="n"/>
      <c r="M129" s="59">
        <f>IF(OR(L129="",K129=""),"",MAX(L129-K129,0))</f>
        <v/>
      </c>
      <c r="N129" s="59">
        <f>IF(M129="","",IF(N(J129)=0,1,J129))</f>
        <v/>
      </c>
    </row>
    <row r="130">
      <c r="A130" s="53" t="n">
        <v>110</v>
      </c>
      <c r="B130" s="67" t="n"/>
      <c r="C130" s="55" t="n"/>
      <c r="D130" s="68" t="n"/>
      <c r="E130" s="68" t="n"/>
      <c r="F130" s="59">
        <f>IF(OR(E130="",D130=""),"",MAX(E130-D130,0))</f>
        <v/>
      </c>
      <c r="G130" s="59">
        <f>IF(F130="","",IF(N(C130)=0,1,C130))</f>
        <v/>
      </c>
      <c r="H130" s="53" t="n">
        <v>110</v>
      </c>
      <c r="I130" s="67" t="n"/>
      <c r="J130" s="55" t="n"/>
      <c r="K130" s="68" t="n"/>
      <c r="L130" s="68" t="n"/>
      <c r="M130" s="59">
        <f>IF(OR(L130="",K130=""),"",MAX(L130-K130,0))</f>
        <v/>
      </c>
      <c r="N130" s="59">
        <f>IF(M130="","",IF(N(J130)=0,1,J130))</f>
        <v/>
      </c>
    </row>
    <row r="131">
      <c r="A131" s="53" t="n">
        <v>111</v>
      </c>
      <c r="B131" s="67" t="n"/>
      <c r="C131" s="55" t="n"/>
      <c r="D131" s="68" t="n"/>
      <c r="E131" s="68" t="n"/>
      <c r="F131" s="59">
        <f>IF(OR(E131="",D131=""),"",MAX(E131-D131,0))</f>
        <v/>
      </c>
      <c r="G131" s="59">
        <f>IF(F131="","",IF(N(C131)=0,1,C131))</f>
        <v/>
      </c>
      <c r="H131" s="53" t="n">
        <v>111</v>
      </c>
      <c r="I131" s="67" t="n"/>
      <c r="J131" s="55" t="n"/>
      <c r="K131" s="68" t="n"/>
      <c r="L131" s="68" t="n"/>
      <c r="M131" s="59">
        <f>IF(OR(L131="",K131=""),"",MAX(L131-K131,0))</f>
        <v/>
      </c>
      <c r="N131" s="59">
        <f>IF(M131="","",IF(N(J131)=0,1,J131))</f>
        <v/>
      </c>
    </row>
    <row r="132">
      <c r="A132" s="53" t="n">
        <v>112</v>
      </c>
      <c r="B132" s="67" t="n"/>
      <c r="C132" s="55" t="n"/>
      <c r="D132" s="68" t="n"/>
      <c r="E132" s="68" t="n"/>
      <c r="F132" s="59">
        <f>IF(OR(E132="",D132=""),"",MAX(E132-D132,0))</f>
        <v/>
      </c>
      <c r="G132" s="59">
        <f>IF(F132="","",IF(N(C132)=0,1,C132))</f>
        <v/>
      </c>
      <c r="H132" s="53" t="n">
        <v>112</v>
      </c>
      <c r="I132" s="67" t="n"/>
      <c r="J132" s="55" t="n"/>
      <c r="K132" s="68" t="n"/>
      <c r="L132" s="68" t="n"/>
      <c r="M132" s="59">
        <f>IF(OR(L132="",K132=""),"",MAX(L132-K132,0))</f>
        <v/>
      </c>
      <c r="N132" s="59">
        <f>IF(M132="","",IF(N(J132)=0,1,J132))</f>
        <v/>
      </c>
    </row>
    <row r="133">
      <c r="A133" s="53" t="n">
        <v>113</v>
      </c>
      <c r="B133" s="67" t="n"/>
      <c r="C133" s="55" t="n"/>
      <c r="D133" s="68" t="n"/>
      <c r="E133" s="68" t="n"/>
      <c r="F133" s="59">
        <f>IF(OR(E133="",D133=""),"",MAX(E133-D133,0))</f>
        <v/>
      </c>
      <c r="G133" s="59">
        <f>IF(F133="","",IF(N(C133)=0,1,C133))</f>
        <v/>
      </c>
      <c r="H133" s="53" t="n">
        <v>113</v>
      </c>
      <c r="I133" s="67" t="n"/>
      <c r="J133" s="55" t="n"/>
      <c r="K133" s="68" t="n"/>
      <c r="L133" s="68" t="n"/>
      <c r="M133" s="59">
        <f>IF(OR(L133="",K133=""),"",MAX(L133-K133,0))</f>
        <v/>
      </c>
      <c r="N133" s="59">
        <f>IF(M133="","",IF(N(J133)=0,1,J133))</f>
        <v/>
      </c>
    </row>
    <row r="134">
      <c r="A134" s="53" t="n">
        <v>114</v>
      </c>
      <c r="B134" s="67" t="n"/>
      <c r="C134" s="55" t="n"/>
      <c r="D134" s="68" t="n"/>
      <c r="E134" s="68" t="n"/>
      <c r="F134" s="59">
        <f>IF(OR(E134="",D134=""),"",MAX(E134-D134,0))</f>
        <v/>
      </c>
      <c r="G134" s="59">
        <f>IF(F134="","",IF(N(C134)=0,1,C134))</f>
        <v/>
      </c>
      <c r="H134" s="53" t="n">
        <v>114</v>
      </c>
      <c r="I134" s="67" t="n"/>
      <c r="J134" s="55" t="n"/>
      <c r="K134" s="68" t="n"/>
      <c r="L134" s="68" t="n"/>
      <c r="M134" s="59">
        <f>IF(OR(L134="",K134=""),"",MAX(L134-K134,0))</f>
        <v/>
      </c>
      <c r="N134" s="59">
        <f>IF(M134="","",IF(N(J134)=0,1,J134))</f>
        <v/>
      </c>
    </row>
    <row r="135">
      <c r="A135" s="53" t="n">
        <v>115</v>
      </c>
      <c r="B135" s="67" t="n"/>
      <c r="C135" s="55" t="n"/>
      <c r="D135" s="68" t="n"/>
      <c r="E135" s="68" t="n"/>
      <c r="F135" s="59">
        <f>IF(OR(E135="",D135=""),"",MAX(E135-D135,0))</f>
        <v/>
      </c>
      <c r="G135" s="59">
        <f>IF(F135="","",IF(N(C135)=0,1,C135))</f>
        <v/>
      </c>
      <c r="H135" s="53" t="n">
        <v>115</v>
      </c>
      <c r="I135" s="67" t="n"/>
      <c r="J135" s="55" t="n"/>
      <c r="K135" s="68" t="n"/>
      <c r="L135" s="68" t="n"/>
      <c r="M135" s="59">
        <f>IF(OR(L135="",K135=""),"",MAX(L135-K135,0))</f>
        <v/>
      </c>
      <c r="N135" s="59">
        <f>IF(M135="","",IF(N(J135)=0,1,J135))</f>
        <v/>
      </c>
    </row>
    <row r="136">
      <c r="A136" s="53" t="n">
        <v>116</v>
      </c>
      <c r="B136" s="67" t="n"/>
      <c r="C136" s="55" t="n"/>
      <c r="D136" s="68" t="n"/>
      <c r="E136" s="68" t="n"/>
      <c r="F136" s="59">
        <f>IF(OR(E136="",D136=""),"",MAX(E136-D136,0))</f>
        <v/>
      </c>
      <c r="G136" s="59">
        <f>IF(F136="","",IF(N(C136)=0,1,C136))</f>
        <v/>
      </c>
      <c r="H136" s="53" t="n">
        <v>116</v>
      </c>
      <c r="I136" s="67" t="n"/>
      <c r="J136" s="55" t="n"/>
      <c r="K136" s="68" t="n"/>
      <c r="L136" s="68" t="n"/>
      <c r="M136" s="59">
        <f>IF(OR(L136="",K136=""),"",MAX(L136-K136,0))</f>
        <v/>
      </c>
      <c r="N136" s="59">
        <f>IF(M136="","",IF(N(J136)=0,1,J136))</f>
        <v/>
      </c>
    </row>
    <row r="137">
      <c r="A137" s="53" t="n">
        <v>117</v>
      </c>
      <c r="B137" s="67" t="n"/>
      <c r="C137" s="55" t="n"/>
      <c r="D137" s="68" t="n"/>
      <c r="E137" s="68" t="n"/>
      <c r="F137" s="59">
        <f>IF(OR(E137="",D137=""),"",MAX(E137-D137,0))</f>
        <v/>
      </c>
      <c r="G137" s="59">
        <f>IF(F137="","",IF(N(C137)=0,1,C137))</f>
        <v/>
      </c>
      <c r="H137" s="53" t="n">
        <v>117</v>
      </c>
      <c r="I137" s="67" t="n"/>
      <c r="J137" s="55" t="n"/>
      <c r="K137" s="68" t="n"/>
      <c r="L137" s="68" t="n"/>
      <c r="M137" s="59">
        <f>IF(OR(L137="",K137=""),"",MAX(L137-K137,0))</f>
        <v/>
      </c>
      <c r="N137" s="59">
        <f>IF(M137="","",IF(N(J137)=0,1,J137))</f>
        <v/>
      </c>
    </row>
    <row r="138">
      <c r="A138" s="53" t="n">
        <v>118</v>
      </c>
      <c r="B138" s="67" t="n"/>
      <c r="C138" s="55" t="n"/>
      <c r="D138" s="68" t="n"/>
      <c r="E138" s="68" t="n"/>
      <c r="F138" s="59">
        <f>IF(OR(E138="",D138=""),"",MAX(E138-D138,0))</f>
        <v/>
      </c>
      <c r="G138" s="59">
        <f>IF(F138="","",IF(N(C138)=0,1,C138))</f>
        <v/>
      </c>
      <c r="H138" s="53" t="n">
        <v>118</v>
      </c>
      <c r="I138" s="67" t="n"/>
      <c r="J138" s="55" t="n"/>
      <c r="K138" s="68" t="n"/>
      <c r="L138" s="68" t="n"/>
      <c r="M138" s="59">
        <f>IF(OR(L138="",K138=""),"",MAX(L138-K138,0))</f>
        <v/>
      </c>
      <c r="N138" s="59">
        <f>IF(M138="","",IF(N(J138)=0,1,J138))</f>
        <v/>
      </c>
    </row>
    <row r="139">
      <c r="A139" s="53" t="n">
        <v>119</v>
      </c>
      <c r="B139" s="67" t="n"/>
      <c r="C139" s="55" t="n"/>
      <c r="D139" s="68" t="n"/>
      <c r="E139" s="68" t="n"/>
      <c r="F139" s="59">
        <f>IF(OR(E139="",D139=""),"",MAX(E139-D139,0))</f>
        <v/>
      </c>
      <c r="G139" s="59">
        <f>IF(F139="","",IF(N(C139)=0,1,C139))</f>
        <v/>
      </c>
      <c r="H139" s="53" t="n">
        <v>119</v>
      </c>
      <c r="I139" s="67" t="n"/>
      <c r="J139" s="55" t="n"/>
      <c r="K139" s="68" t="n"/>
      <c r="L139" s="68" t="n"/>
      <c r="M139" s="59">
        <f>IF(OR(L139="",K139=""),"",MAX(L139-K139,0))</f>
        <v/>
      </c>
      <c r="N139" s="59">
        <f>IF(M139="","",IF(N(J139)=0,1,J139))</f>
        <v/>
      </c>
    </row>
    <row r="140">
      <c r="A140" s="53" t="n">
        <v>120</v>
      </c>
      <c r="B140" s="67" t="n"/>
      <c r="C140" s="55" t="n"/>
      <c r="D140" s="68" t="n"/>
      <c r="E140" s="68" t="n"/>
      <c r="F140" s="59">
        <f>IF(OR(E140="",D140=""),"",MAX(E140-D140,0))</f>
        <v/>
      </c>
      <c r="G140" s="59">
        <f>IF(F140="","",IF(N(C140)=0,1,C140))</f>
        <v/>
      </c>
      <c r="H140" s="53" t="n">
        <v>120</v>
      </c>
      <c r="I140" s="67" t="n"/>
      <c r="J140" s="55" t="n"/>
      <c r="K140" s="68" t="n"/>
      <c r="L140" s="68" t="n"/>
      <c r="M140" s="59">
        <f>IF(OR(L140="",K140=""),"",MAX(L140-K140,0))</f>
        <v/>
      </c>
      <c r="N140" s="59">
        <f>IF(M140="","",IF(N(J140)=0,1,J140))</f>
        <v/>
      </c>
    </row>
    <row r="141">
      <c r="A141" s="53" t="n">
        <v>121</v>
      </c>
      <c r="B141" s="67" t="n"/>
      <c r="C141" s="55" t="n"/>
      <c r="D141" s="68" t="n"/>
      <c r="E141" s="68" t="n"/>
      <c r="F141" s="59">
        <f>IF(OR(E141="",D141=""),"",MAX(E141-D141,0))</f>
        <v/>
      </c>
      <c r="G141" s="59">
        <f>IF(F141="","",IF(N(C141)=0,1,C141))</f>
        <v/>
      </c>
      <c r="H141" s="53" t="n">
        <v>121</v>
      </c>
      <c r="I141" s="67" t="n"/>
      <c r="J141" s="55" t="n"/>
      <c r="K141" s="68" t="n"/>
      <c r="L141" s="68" t="n"/>
      <c r="M141" s="59">
        <f>IF(OR(L141="",K141=""),"",MAX(L141-K141,0))</f>
        <v/>
      </c>
      <c r="N141" s="59">
        <f>IF(M141="","",IF(N(J141)=0,1,J141))</f>
        <v/>
      </c>
    </row>
    <row r="142">
      <c r="A142" s="53" t="n">
        <v>122</v>
      </c>
      <c r="B142" s="67" t="n"/>
      <c r="C142" s="55" t="n"/>
      <c r="D142" s="68" t="n"/>
      <c r="E142" s="68" t="n"/>
      <c r="F142" s="59">
        <f>IF(OR(E142="",D142=""),"",MAX(E142-D142,0))</f>
        <v/>
      </c>
      <c r="G142" s="59">
        <f>IF(F142="","",IF(N(C142)=0,1,C142))</f>
        <v/>
      </c>
      <c r="H142" s="53" t="n">
        <v>122</v>
      </c>
      <c r="I142" s="67" t="n"/>
      <c r="J142" s="55" t="n"/>
      <c r="K142" s="68" t="n"/>
      <c r="L142" s="68" t="n"/>
      <c r="M142" s="59">
        <f>IF(OR(L142="",K142=""),"",MAX(L142-K142,0))</f>
        <v/>
      </c>
      <c r="N142" s="59">
        <f>IF(M142="","",IF(N(J142)=0,1,J142))</f>
        <v/>
      </c>
    </row>
    <row r="143">
      <c r="A143" s="53" t="n">
        <v>123</v>
      </c>
      <c r="B143" s="67" t="n"/>
      <c r="C143" s="55" t="n"/>
      <c r="D143" s="68" t="n"/>
      <c r="E143" s="68" t="n"/>
      <c r="F143" s="59">
        <f>IF(OR(E143="",D143=""),"",MAX(E143-D143,0))</f>
        <v/>
      </c>
      <c r="G143" s="59">
        <f>IF(F143="","",IF(N(C143)=0,1,C143))</f>
        <v/>
      </c>
      <c r="H143" s="53" t="n">
        <v>123</v>
      </c>
      <c r="I143" s="67" t="n"/>
      <c r="J143" s="55" t="n"/>
      <c r="K143" s="68" t="n"/>
      <c r="L143" s="68" t="n"/>
      <c r="M143" s="59">
        <f>IF(OR(L143="",K143=""),"",MAX(L143-K143,0))</f>
        <v/>
      </c>
      <c r="N143" s="59">
        <f>IF(M143="","",IF(N(J143)=0,1,J143))</f>
        <v/>
      </c>
    </row>
    <row r="144">
      <c r="A144" s="53" t="n">
        <v>124</v>
      </c>
      <c r="B144" s="67" t="n"/>
      <c r="C144" s="55" t="n"/>
      <c r="D144" s="68" t="n"/>
      <c r="E144" s="68" t="n"/>
      <c r="F144" s="59">
        <f>IF(OR(E144="",D144=""),"",MAX(E144-D144,0))</f>
        <v/>
      </c>
      <c r="G144" s="59">
        <f>IF(F144="","",IF(N(C144)=0,1,C144))</f>
        <v/>
      </c>
      <c r="H144" s="53" t="n">
        <v>124</v>
      </c>
      <c r="I144" s="67" t="n"/>
      <c r="J144" s="55" t="n"/>
      <c r="K144" s="68" t="n"/>
      <c r="L144" s="68" t="n"/>
      <c r="M144" s="59">
        <f>IF(OR(L144="",K144=""),"",MAX(L144-K144,0))</f>
        <v/>
      </c>
      <c r="N144" s="59">
        <f>IF(M144="","",IF(N(J144)=0,1,J144))</f>
        <v/>
      </c>
    </row>
    <row r="145">
      <c r="A145" s="53" t="n">
        <v>125</v>
      </c>
      <c r="B145" s="67" t="n"/>
      <c r="C145" s="55" t="n"/>
      <c r="D145" s="68" t="n"/>
      <c r="E145" s="68" t="n"/>
      <c r="F145" s="59">
        <f>IF(OR(E145="",D145=""),"",MAX(E145-D145,0))</f>
        <v/>
      </c>
      <c r="G145" s="59">
        <f>IF(F145="","",IF(N(C145)=0,1,C145))</f>
        <v/>
      </c>
      <c r="H145" s="53" t="n">
        <v>125</v>
      </c>
      <c r="I145" s="67" t="n"/>
      <c r="J145" s="55" t="n"/>
      <c r="K145" s="68" t="n"/>
      <c r="L145" s="68" t="n"/>
      <c r="M145" s="59">
        <f>IF(OR(L145="",K145=""),"",MAX(L145-K145,0))</f>
        <v/>
      </c>
      <c r="N145" s="59">
        <f>IF(M145="","",IF(N(J145)=0,1,J145))</f>
        <v/>
      </c>
    </row>
    <row r="146">
      <c r="A146" s="53" t="n">
        <v>126</v>
      </c>
      <c r="B146" s="67" t="n"/>
      <c r="C146" s="55" t="n"/>
      <c r="D146" s="68" t="n"/>
      <c r="E146" s="68" t="n"/>
      <c r="F146" s="59">
        <f>IF(OR(E146="",D146=""),"",MAX(E146-D146,0))</f>
        <v/>
      </c>
      <c r="G146" s="59">
        <f>IF(F146="","",IF(N(C146)=0,1,C146))</f>
        <v/>
      </c>
      <c r="H146" s="53" t="n">
        <v>126</v>
      </c>
      <c r="I146" s="67" t="n"/>
      <c r="J146" s="55" t="n"/>
      <c r="K146" s="68" t="n"/>
      <c r="L146" s="68" t="n"/>
      <c r="M146" s="59">
        <f>IF(OR(L146="",K146=""),"",MAX(L146-K146,0))</f>
        <v/>
      </c>
      <c r="N146" s="59">
        <f>IF(M146="","",IF(N(J146)=0,1,J146))</f>
        <v/>
      </c>
    </row>
    <row r="147">
      <c r="A147" s="53" t="n">
        <v>127</v>
      </c>
      <c r="B147" s="67" t="n"/>
      <c r="C147" s="55" t="n"/>
      <c r="D147" s="68" t="n"/>
      <c r="E147" s="68" t="n"/>
      <c r="F147" s="59">
        <f>IF(OR(E147="",D147=""),"",MAX(E147-D147,0))</f>
        <v/>
      </c>
      <c r="G147" s="59">
        <f>IF(F147="","",IF(N(C147)=0,1,C147))</f>
        <v/>
      </c>
      <c r="H147" s="53" t="n">
        <v>127</v>
      </c>
      <c r="I147" s="67" t="n"/>
      <c r="J147" s="55" t="n"/>
      <c r="K147" s="68" t="n"/>
      <c r="L147" s="68" t="n"/>
      <c r="M147" s="59">
        <f>IF(OR(L147="",K147=""),"",MAX(L147-K147,0))</f>
        <v/>
      </c>
      <c r="N147" s="59">
        <f>IF(M147="","",IF(N(J147)=0,1,J147))</f>
        <v/>
      </c>
    </row>
    <row r="148">
      <c r="A148" s="53" t="n">
        <v>128</v>
      </c>
      <c r="B148" s="67" t="n"/>
      <c r="C148" s="55" t="n"/>
      <c r="D148" s="68" t="n"/>
      <c r="E148" s="68" t="n"/>
      <c r="F148" s="59">
        <f>IF(OR(E148="",D148=""),"",MAX(E148-D148,0))</f>
        <v/>
      </c>
      <c r="G148" s="59">
        <f>IF(F148="","",IF(N(C148)=0,1,C148))</f>
        <v/>
      </c>
      <c r="H148" s="53" t="n">
        <v>128</v>
      </c>
      <c r="I148" s="67" t="n"/>
      <c r="J148" s="55" t="n"/>
      <c r="K148" s="68" t="n"/>
      <c r="L148" s="68" t="n"/>
      <c r="M148" s="59">
        <f>IF(OR(L148="",K148=""),"",MAX(L148-K148,0))</f>
        <v/>
      </c>
      <c r="N148" s="59">
        <f>IF(M148="","",IF(N(J148)=0,1,J148))</f>
        <v/>
      </c>
    </row>
    <row r="149">
      <c r="A149" s="53" t="n">
        <v>129</v>
      </c>
      <c r="B149" s="67" t="n"/>
      <c r="C149" s="55" t="n"/>
      <c r="D149" s="68" t="n"/>
      <c r="E149" s="68" t="n"/>
      <c r="F149" s="59">
        <f>IF(OR(E149="",D149=""),"",MAX(E149-D149,0))</f>
        <v/>
      </c>
      <c r="G149" s="59">
        <f>IF(F149="","",IF(N(C149)=0,1,C149))</f>
        <v/>
      </c>
      <c r="H149" s="53" t="n">
        <v>129</v>
      </c>
      <c r="I149" s="67" t="n"/>
      <c r="J149" s="55" t="n"/>
      <c r="K149" s="68" t="n"/>
      <c r="L149" s="68" t="n"/>
      <c r="M149" s="59">
        <f>IF(OR(L149="",K149=""),"",MAX(L149-K149,0))</f>
        <v/>
      </c>
      <c r="N149" s="59">
        <f>IF(M149="","",IF(N(J149)=0,1,J149))</f>
        <v/>
      </c>
    </row>
    <row r="150">
      <c r="A150" s="53" t="n">
        <v>130</v>
      </c>
      <c r="B150" s="67" t="n"/>
      <c r="C150" s="55" t="n"/>
      <c r="D150" s="68" t="n"/>
      <c r="E150" s="68" t="n"/>
      <c r="F150" s="59">
        <f>IF(OR(E150="",D150=""),"",MAX(E150-D150,0))</f>
        <v/>
      </c>
      <c r="G150" s="59">
        <f>IF(F150="","",IF(N(C150)=0,1,C150))</f>
        <v/>
      </c>
      <c r="H150" s="53" t="n">
        <v>130</v>
      </c>
      <c r="I150" s="67" t="n"/>
      <c r="J150" s="55" t="n"/>
      <c r="K150" s="68" t="n"/>
      <c r="L150" s="68" t="n"/>
      <c r="M150" s="59">
        <f>IF(OR(L150="",K150=""),"",MAX(L150-K150,0))</f>
        <v/>
      </c>
      <c r="N150" s="59">
        <f>IF(M150="","",IF(N(J150)=0,1,J150))</f>
        <v/>
      </c>
    </row>
    <row r="151">
      <c r="A151" s="53" t="n">
        <v>131</v>
      </c>
      <c r="B151" s="67" t="n"/>
      <c r="C151" s="55" t="n"/>
      <c r="D151" s="68" t="n"/>
      <c r="E151" s="68" t="n"/>
      <c r="F151" s="59">
        <f>IF(OR(E151="",D151=""),"",MAX(E151-D151,0))</f>
        <v/>
      </c>
      <c r="G151" s="59">
        <f>IF(F151="","",IF(N(C151)=0,1,C151))</f>
        <v/>
      </c>
      <c r="H151" s="53" t="n">
        <v>131</v>
      </c>
      <c r="I151" s="67" t="n"/>
      <c r="J151" s="55" t="n"/>
      <c r="K151" s="68" t="n"/>
      <c r="L151" s="68" t="n"/>
      <c r="M151" s="59">
        <f>IF(OR(L151="",K151=""),"",MAX(L151-K151,0))</f>
        <v/>
      </c>
      <c r="N151" s="59">
        <f>IF(M151="","",IF(N(J151)=0,1,J151))</f>
        <v/>
      </c>
    </row>
    <row r="152">
      <c r="A152" s="53" t="n">
        <v>132</v>
      </c>
      <c r="B152" s="67" t="n"/>
      <c r="C152" s="55" t="n"/>
      <c r="D152" s="68" t="n"/>
      <c r="E152" s="68" t="n"/>
      <c r="F152" s="59">
        <f>IF(OR(E152="",D152=""),"",MAX(E152-D152,0))</f>
        <v/>
      </c>
      <c r="G152" s="59">
        <f>IF(F152="","",IF(N(C152)=0,1,C152))</f>
        <v/>
      </c>
      <c r="H152" s="53" t="n">
        <v>132</v>
      </c>
      <c r="I152" s="67" t="n"/>
      <c r="J152" s="55" t="n"/>
      <c r="K152" s="68" t="n"/>
      <c r="L152" s="68" t="n"/>
      <c r="M152" s="59">
        <f>IF(OR(L152="",K152=""),"",MAX(L152-K152,0))</f>
        <v/>
      </c>
      <c r="N152" s="59">
        <f>IF(M152="","",IF(N(J152)=0,1,J152))</f>
        <v/>
      </c>
    </row>
    <row r="153">
      <c r="A153" s="53" t="n">
        <v>133</v>
      </c>
      <c r="B153" s="67" t="n"/>
      <c r="C153" s="55" t="n"/>
      <c r="D153" s="68" t="n"/>
      <c r="E153" s="68" t="n"/>
      <c r="F153" s="59">
        <f>IF(OR(E153="",D153=""),"",MAX(E153-D153,0))</f>
        <v/>
      </c>
      <c r="G153" s="59">
        <f>IF(F153="","",IF(N(C153)=0,1,C153))</f>
        <v/>
      </c>
      <c r="H153" s="53" t="n">
        <v>133</v>
      </c>
      <c r="I153" s="67" t="n"/>
      <c r="J153" s="55" t="n"/>
      <c r="K153" s="68" t="n"/>
      <c r="L153" s="68" t="n"/>
      <c r="M153" s="59">
        <f>IF(OR(L153="",K153=""),"",MAX(L153-K153,0))</f>
        <v/>
      </c>
      <c r="N153" s="59">
        <f>IF(M153="","",IF(N(J153)=0,1,J153))</f>
        <v/>
      </c>
    </row>
    <row r="154">
      <c r="A154" s="53" t="n">
        <v>134</v>
      </c>
      <c r="B154" s="67" t="n"/>
      <c r="C154" s="55" t="n"/>
      <c r="D154" s="68" t="n"/>
      <c r="E154" s="68" t="n"/>
      <c r="F154" s="59">
        <f>IF(OR(E154="",D154=""),"",MAX(E154-D154,0))</f>
        <v/>
      </c>
      <c r="G154" s="59">
        <f>IF(F154="","",IF(N(C154)=0,1,C154))</f>
        <v/>
      </c>
      <c r="H154" s="53" t="n">
        <v>134</v>
      </c>
      <c r="I154" s="67" t="n"/>
      <c r="J154" s="55" t="n"/>
      <c r="K154" s="68" t="n"/>
      <c r="L154" s="68" t="n"/>
      <c r="M154" s="59">
        <f>IF(OR(L154="",K154=""),"",MAX(L154-K154,0))</f>
        <v/>
      </c>
      <c r="N154" s="59">
        <f>IF(M154="","",IF(N(J154)=0,1,J154))</f>
        <v/>
      </c>
    </row>
    <row r="155">
      <c r="A155" s="53" t="n">
        <v>135</v>
      </c>
      <c r="B155" s="67" t="n"/>
      <c r="C155" s="55" t="n"/>
      <c r="D155" s="68" t="n"/>
      <c r="E155" s="68" t="n"/>
      <c r="F155" s="59">
        <f>IF(OR(E155="",D155=""),"",MAX(E155-D155,0))</f>
        <v/>
      </c>
      <c r="G155" s="59">
        <f>IF(F155="","",IF(N(C155)=0,1,C155))</f>
        <v/>
      </c>
      <c r="H155" s="53" t="n">
        <v>135</v>
      </c>
      <c r="I155" s="67" t="n"/>
      <c r="J155" s="55" t="n"/>
      <c r="K155" s="68" t="n"/>
      <c r="L155" s="68" t="n"/>
      <c r="M155" s="59">
        <f>IF(OR(L155="",K155=""),"",MAX(L155-K155,0))</f>
        <v/>
      </c>
      <c r="N155" s="59">
        <f>IF(M155="","",IF(N(J155)=0,1,J155))</f>
        <v/>
      </c>
    </row>
    <row r="156">
      <c r="A156" s="53" t="n">
        <v>136</v>
      </c>
      <c r="B156" s="67" t="n"/>
      <c r="C156" s="55" t="n"/>
      <c r="D156" s="68" t="n"/>
      <c r="E156" s="68" t="n"/>
      <c r="F156" s="59">
        <f>IF(OR(E156="",D156=""),"",MAX(E156-D156,0))</f>
        <v/>
      </c>
      <c r="G156" s="59">
        <f>IF(F156="","",IF(N(C156)=0,1,C156))</f>
        <v/>
      </c>
      <c r="H156" s="53" t="n">
        <v>136</v>
      </c>
      <c r="I156" s="67" t="n"/>
      <c r="J156" s="55" t="n"/>
      <c r="K156" s="68" t="n"/>
      <c r="L156" s="68" t="n"/>
      <c r="M156" s="59">
        <f>IF(OR(L156="",K156=""),"",MAX(L156-K156,0))</f>
        <v/>
      </c>
      <c r="N156" s="59">
        <f>IF(M156="","",IF(N(J156)=0,1,J156))</f>
        <v/>
      </c>
    </row>
    <row r="157">
      <c r="A157" s="53" t="n">
        <v>137</v>
      </c>
      <c r="B157" s="67" t="n"/>
      <c r="C157" s="55" t="n"/>
      <c r="D157" s="68" t="n"/>
      <c r="E157" s="68" t="n"/>
      <c r="F157" s="59">
        <f>IF(OR(E157="",D157=""),"",MAX(E157-D157,0))</f>
        <v/>
      </c>
      <c r="G157" s="59">
        <f>IF(F157="","",IF(N(C157)=0,1,C157))</f>
        <v/>
      </c>
      <c r="H157" s="53" t="n">
        <v>137</v>
      </c>
      <c r="I157" s="67" t="n"/>
      <c r="J157" s="55" t="n"/>
      <c r="K157" s="68" t="n"/>
      <c r="L157" s="68" t="n"/>
      <c r="M157" s="59">
        <f>IF(OR(L157="",K157=""),"",MAX(L157-K157,0))</f>
        <v/>
      </c>
      <c r="N157" s="59">
        <f>IF(M157="","",IF(N(J157)=0,1,J157))</f>
        <v/>
      </c>
    </row>
    <row r="158">
      <c r="A158" s="53" t="n">
        <v>138</v>
      </c>
      <c r="B158" s="67" t="n"/>
      <c r="C158" s="55" t="n"/>
      <c r="D158" s="68" t="n"/>
      <c r="E158" s="68" t="n"/>
      <c r="F158" s="59">
        <f>IF(OR(E158="",D158=""),"",MAX(E158-D158,0))</f>
        <v/>
      </c>
      <c r="G158" s="59">
        <f>IF(F158="","",IF(N(C158)=0,1,C158))</f>
        <v/>
      </c>
      <c r="H158" s="53" t="n">
        <v>138</v>
      </c>
      <c r="I158" s="67" t="n"/>
      <c r="J158" s="55" t="n"/>
      <c r="K158" s="68" t="n"/>
      <c r="L158" s="68" t="n"/>
      <c r="M158" s="59">
        <f>IF(OR(L158="",K158=""),"",MAX(L158-K158,0))</f>
        <v/>
      </c>
      <c r="N158" s="59">
        <f>IF(M158="","",IF(N(J158)=0,1,J158))</f>
        <v/>
      </c>
    </row>
    <row r="159">
      <c r="A159" s="53" t="n">
        <v>139</v>
      </c>
      <c r="B159" s="67" t="n"/>
      <c r="C159" s="55" t="n"/>
      <c r="D159" s="68" t="n"/>
      <c r="E159" s="68" t="n"/>
      <c r="F159" s="59">
        <f>IF(OR(E159="",D159=""),"",MAX(E159-D159,0))</f>
        <v/>
      </c>
      <c r="G159" s="59">
        <f>IF(F159="","",IF(N(C159)=0,1,C159))</f>
        <v/>
      </c>
      <c r="H159" s="53" t="n">
        <v>139</v>
      </c>
      <c r="I159" s="67" t="n"/>
      <c r="J159" s="55" t="n"/>
      <c r="K159" s="68" t="n"/>
      <c r="L159" s="68" t="n"/>
      <c r="M159" s="59">
        <f>IF(OR(L159="",K159=""),"",MAX(L159-K159,0))</f>
        <v/>
      </c>
      <c r="N159" s="59">
        <f>IF(M159="","",IF(N(J159)=0,1,J159))</f>
        <v/>
      </c>
    </row>
    <row r="160">
      <c r="A160" s="53" t="n">
        <v>140</v>
      </c>
      <c r="B160" s="67" t="n"/>
      <c r="C160" s="55" t="n"/>
      <c r="D160" s="68" t="n"/>
      <c r="E160" s="68" t="n"/>
      <c r="F160" s="59">
        <f>IF(OR(E160="",D160=""),"",MAX(E160-D160,0))</f>
        <v/>
      </c>
      <c r="G160" s="59">
        <f>IF(F160="","",IF(N(C160)=0,1,C160))</f>
        <v/>
      </c>
      <c r="H160" s="53" t="n">
        <v>140</v>
      </c>
      <c r="I160" s="67" t="n"/>
      <c r="J160" s="55" t="n"/>
      <c r="K160" s="68" t="n"/>
      <c r="L160" s="68" t="n"/>
      <c r="M160" s="59">
        <f>IF(OR(L160="",K160=""),"",MAX(L160-K160,0))</f>
        <v/>
      </c>
      <c r="N160" s="59">
        <f>IF(M160="","",IF(N(J160)=0,1,J160))</f>
        <v/>
      </c>
    </row>
    <row r="161">
      <c r="A161" s="53" t="n">
        <v>141</v>
      </c>
      <c r="B161" s="67" t="n"/>
      <c r="C161" s="55" t="n"/>
      <c r="D161" s="68" t="n"/>
      <c r="E161" s="68" t="n"/>
      <c r="F161" s="59">
        <f>IF(OR(E161="",D161=""),"",MAX(E161-D161,0))</f>
        <v/>
      </c>
      <c r="G161" s="59">
        <f>IF(F161="","",IF(N(C161)=0,1,C161))</f>
        <v/>
      </c>
      <c r="H161" s="53" t="n">
        <v>141</v>
      </c>
      <c r="I161" s="67" t="n"/>
      <c r="J161" s="55" t="n"/>
      <c r="K161" s="68" t="n"/>
      <c r="L161" s="68" t="n"/>
      <c r="M161" s="59">
        <f>IF(OR(L161="",K161=""),"",MAX(L161-K161,0))</f>
        <v/>
      </c>
      <c r="N161" s="59">
        <f>IF(M161="","",IF(N(J161)=0,1,J161))</f>
        <v/>
      </c>
    </row>
    <row r="162">
      <c r="A162" s="53" t="n">
        <v>142</v>
      </c>
      <c r="B162" s="67" t="n"/>
      <c r="C162" s="55" t="n"/>
      <c r="D162" s="68" t="n"/>
      <c r="E162" s="68" t="n"/>
      <c r="F162" s="59">
        <f>IF(OR(E162="",D162=""),"",MAX(E162-D162,0))</f>
        <v/>
      </c>
      <c r="G162" s="59">
        <f>IF(F162="","",IF(N(C162)=0,1,C162))</f>
        <v/>
      </c>
      <c r="H162" s="53" t="n">
        <v>142</v>
      </c>
      <c r="I162" s="67" t="n"/>
      <c r="J162" s="55" t="n"/>
      <c r="K162" s="68" t="n"/>
      <c r="L162" s="68" t="n"/>
      <c r="M162" s="59">
        <f>IF(OR(L162="",K162=""),"",MAX(L162-K162,0))</f>
        <v/>
      </c>
      <c r="N162" s="59">
        <f>IF(M162="","",IF(N(J162)=0,1,J162))</f>
        <v/>
      </c>
    </row>
    <row r="163">
      <c r="A163" s="53" t="n">
        <v>143</v>
      </c>
      <c r="B163" s="67" t="n"/>
      <c r="C163" s="55" t="n"/>
      <c r="D163" s="68" t="n"/>
      <c r="E163" s="68" t="n"/>
      <c r="F163" s="59">
        <f>IF(OR(E163="",D163=""),"",MAX(E163-D163,0))</f>
        <v/>
      </c>
      <c r="G163" s="59">
        <f>IF(F163="","",IF(N(C163)=0,1,C163))</f>
        <v/>
      </c>
      <c r="H163" s="53" t="n">
        <v>143</v>
      </c>
      <c r="I163" s="67" t="n"/>
      <c r="J163" s="55" t="n"/>
      <c r="K163" s="68" t="n"/>
      <c r="L163" s="68" t="n"/>
      <c r="M163" s="59">
        <f>IF(OR(L163="",K163=""),"",MAX(L163-K163,0))</f>
        <v/>
      </c>
      <c r="N163" s="59">
        <f>IF(M163="","",IF(N(J163)=0,1,J163))</f>
        <v/>
      </c>
    </row>
    <row r="164">
      <c r="A164" s="53" t="n">
        <v>144</v>
      </c>
      <c r="B164" s="67" t="n"/>
      <c r="C164" s="55" t="n"/>
      <c r="D164" s="68" t="n"/>
      <c r="E164" s="68" t="n"/>
      <c r="F164" s="59">
        <f>IF(OR(E164="",D164=""),"",MAX(E164-D164,0))</f>
        <v/>
      </c>
      <c r="G164" s="59">
        <f>IF(F164="","",IF(N(C164)=0,1,C164))</f>
        <v/>
      </c>
      <c r="H164" s="53" t="n">
        <v>144</v>
      </c>
      <c r="I164" s="67" t="n"/>
      <c r="J164" s="55" t="n"/>
      <c r="K164" s="68" t="n"/>
      <c r="L164" s="68" t="n"/>
      <c r="M164" s="59">
        <f>IF(OR(L164="",K164=""),"",MAX(L164-K164,0))</f>
        <v/>
      </c>
      <c r="N164" s="59">
        <f>IF(M164="","",IF(N(J164)=0,1,J164))</f>
        <v/>
      </c>
    </row>
    <row r="165">
      <c r="A165" s="53" t="n">
        <v>145</v>
      </c>
      <c r="B165" s="67" t="n"/>
      <c r="C165" s="55" t="n"/>
      <c r="D165" s="68" t="n"/>
      <c r="E165" s="68" t="n"/>
      <c r="F165" s="59">
        <f>IF(OR(E165="",D165=""),"",MAX(E165-D165,0))</f>
        <v/>
      </c>
      <c r="G165" s="59">
        <f>IF(F165="","",IF(N(C165)=0,1,C165))</f>
        <v/>
      </c>
      <c r="H165" s="53" t="n">
        <v>145</v>
      </c>
      <c r="I165" s="67" t="n"/>
      <c r="J165" s="55" t="n"/>
      <c r="K165" s="68" t="n"/>
      <c r="L165" s="68" t="n"/>
      <c r="M165" s="59">
        <f>IF(OR(L165="",K165=""),"",MAX(L165-K165,0))</f>
        <v/>
      </c>
      <c r="N165" s="59">
        <f>IF(M165="","",IF(N(J165)=0,1,J165))</f>
        <v/>
      </c>
    </row>
    <row r="166">
      <c r="A166" s="53" t="n">
        <v>146</v>
      </c>
      <c r="B166" s="67" t="n"/>
      <c r="C166" s="55" t="n"/>
      <c r="D166" s="68" t="n"/>
      <c r="E166" s="68" t="n"/>
      <c r="F166" s="59">
        <f>IF(OR(E166="",D166=""),"",MAX(E166-D166,0))</f>
        <v/>
      </c>
      <c r="G166" s="59">
        <f>IF(F166="","",IF(N(C166)=0,1,C166))</f>
        <v/>
      </c>
      <c r="H166" s="53" t="n">
        <v>146</v>
      </c>
      <c r="I166" s="67" t="n"/>
      <c r="J166" s="55" t="n"/>
      <c r="K166" s="68" t="n"/>
      <c r="L166" s="68" t="n"/>
      <c r="M166" s="59">
        <f>IF(OR(L166="",K166=""),"",MAX(L166-K166,0))</f>
        <v/>
      </c>
      <c r="N166" s="59">
        <f>IF(M166="","",IF(N(J166)=0,1,J166))</f>
        <v/>
      </c>
    </row>
    <row r="167">
      <c r="A167" s="53" t="n">
        <v>147</v>
      </c>
      <c r="B167" s="67" t="n"/>
      <c r="C167" s="55" t="n"/>
      <c r="D167" s="68" t="n"/>
      <c r="E167" s="68" t="n"/>
      <c r="F167" s="59">
        <f>IF(OR(E167="",D167=""),"",MAX(E167-D167,0))</f>
        <v/>
      </c>
      <c r="G167" s="59">
        <f>IF(F167="","",IF(N(C167)=0,1,C167))</f>
        <v/>
      </c>
      <c r="H167" s="53" t="n">
        <v>147</v>
      </c>
      <c r="I167" s="67" t="n"/>
      <c r="J167" s="55" t="n"/>
      <c r="K167" s="68" t="n"/>
      <c r="L167" s="68" t="n"/>
      <c r="M167" s="59">
        <f>IF(OR(L167="",K167=""),"",MAX(L167-K167,0))</f>
        <v/>
      </c>
      <c r="N167" s="59">
        <f>IF(M167="","",IF(N(J167)=0,1,J167))</f>
        <v/>
      </c>
    </row>
    <row r="168">
      <c r="A168" s="53" t="n">
        <v>148</v>
      </c>
      <c r="B168" s="67" t="n"/>
      <c r="C168" s="55" t="n"/>
      <c r="D168" s="68" t="n"/>
      <c r="E168" s="68" t="n"/>
      <c r="F168" s="59">
        <f>IF(OR(E168="",D168=""),"",MAX(E168-D168,0))</f>
        <v/>
      </c>
      <c r="G168" s="59">
        <f>IF(F168="","",IF(N(C168)=0,1,C168))</f>
        <v/>
      </c>
      <c r="H168" s="53" t="n">
        <v>148</v>
      </c>
      <c r="I168" s="67" t="n"/>
      <c r="J168" s="55" t="n"/>
      <c r="K168" s="68" t="n"/>
      <c r="L168" s="68" t="n"/>
      <c r="M168" s="59">
        <f>IF(OR(L168="",K168=""),"",MAX(L168-K168,0))</f>
        <v/>
      </c>
      <c r="N168" s="59">
        <f>IF(M168="","",IF(N(J168)=0,1,J168))</f>
        <v/>
      </c>
    </row>
    <row r="169">
      <c r="A169" s="53" t="n">
        <v>149</v>
      </c>
      <c r="B169" s="67" t="n"/>
      <c r="C169" s="55" t="n"/>
      <c r="D169" s="68" t="n"/>
      <c r="E169" s="68" t="n"/>
      <c r="F169" s="59">
        <f>IF(OR(E169="",D169=""),"",MAX(E169-D169,0))</f>
        <v/>
      </c>
      <c r="G169" s="59">
        <f>IF(F169="","",IF(N(C169)=0,1,C169))</f>
        <v/>
      </c>
      <c r="H169" s="53" t="n">
        <v>149</v>
      </c>
      <c r="I169" s="67" t="n"/>
      <c r="J169" s="55" t="n"/>
      <c r="K169" s="68" t="n"/>
      <c r="L169" s="68" t="n"/>
      <c r="M169" s="59">
        <f>IF(OR(L169="",K169=""),"",MAX(L169-K169,0))</f>
        <v/>
      </c>
      <c r="N169" s="59">
        <f>IF(M169="","",IF(N(J169)=0,1,J169))</f>
        <v/>
      </c>
    </row>
    <row r="170">
      <c r="A170" s="53" t="n">
        <v>150</v>
      </c>
      <c r="B170" s="67" t="n"/>
      <c r="C170" s="55" t="n"/>
      <c r="D170" s="68" t="n"/>
      <c r="E170" s="68" t="n"/>
      <c r="F170" s="59">
        <f>IF(OR(E170="",D170=""),"",MAX(E170-D170,0))</f>
        <v/>
      </c>
      <c r="G170" s="59">
        <f>IF(F170="","",IF(N(C170)=0,1,C170))</f>
        <v/>
      </c>
      <c r="H170" s="53" t="n">
        <v>150</v>
      </c>
      <c r="I170" s="67" t="n"/>
      <c r="J170" s="55" t="n"/>
      <c r="K170" s="68" t="n"/>
      <c r="L170" s="68" t="n"/>
      <c r="M170" s="59">
        <f>IF(OR(L170="",K170=""),"",MAX(L170-K170,0))</f>
        <v/>
      </c>
      <c r="N170" s="59">
        <f>IF(M170="","",IF(N(J170)=0,1,J170))</f>
        <v/>
      </c>
    </row>
    <row r="171">
      <c r="A171" s="53" t="n">
        <v>151</v>
      </c>
      <c r="B171" s="67" t="n"/>
      <c r="C171" s="55" t="n"/>
      <c r="D171" s="68" t="n"/>
      <c r="E171" s="68" t="n"/>
      <c r="F171" s="59">
        <f>IF(OR(E171="",D171=""),"",MAX(E171-D171,0))</f>
        <v/>
      </c>
      <c r="G171" s="59">
        <f>IF(F171="","",IF(N(C171)=0,1,C171))</f>
        <v/>
      </c>
      <c r="H171" s="53" t="n">
        <v>151</v>
      </c>
      <c r="I171" s="67" t="n"/>
      <c r="J171" s="55" t="n"/>
      <c r="K171" s="68" t="n"/>
      <c r="L171" s="68" t="n"/>
      <c r="M171" s="59">
        <f>IF(OR(L171="",K171=""),"",MAX(L171-K171,0))</f>
        <v/>
      </c>
      <c r="N171" s="59">
        <f>IF(M171="","",IF(N(J171)=0,1,J171))</f>
        <v/>
      </c>
    </row>
    <row r="172">
      <c r="A172" s="53" t="n">
        <v>152</v>
      </c>
      <c r="B172" s="67" t="n"/>
      <c r="C172" s="55" t="n"/>
      <c r="D172" s="68" t="n"/>
      <c r="E172" s="68" t="n"/>
      <c r="F172" s="59">
        <f>IF(OR(E172="",D172=""),"",MAX(E172-D172,0))</f>
        <v/>
      </c>
      <c r="G172" s="59">
        <f>IF(F172="","",IF(N(C172)=0,1,C172))</f>
        <v/>
      </c>
      <c r="H172" s="53" t="n">
        <v>152</v>
      </c>
      <c r="I172" s="67" t="n"/>
      <c r="J172" s="55" t="n"/>
      <c r="K172" s="68" t="n"/>
      <c r="L172" s="68" t="n"/>
      <c r="M172" s="59">
        <f>IF(OR(L172="",K172=""),"",MAX(L172-K172,0))</f>
        <v/>
      </c>
      <c r="N172" s="59">
        <f>IF(M172="","",IF(N(J172)=0,1,J172))</f>
        <v/>
      </c>
    </row>
    <row r="173">
      <c r="A173" s="53" t="n">
        <v>153</v>
      </c>
      <c r="B173" s="67" t="n"/>
      <c r="C173" s="55" t="n"/>
      <c r="D173" s="68" t="n"/>
      <c r="E173" s="68" t="n"/>
      <c r="F173" s="59">
        <f>IF(OR(E173="",D173=""),"",MAX(E173-D173,0))</f>
        <v/>
      </c>
      <c r="G173" s="59">
        <f>IF(F173="","",IF(N(C173)=0,1,C173))</f>
        <v/>
      </c>
      <c r="H173" s="53" t="n">
        <v>153</v>
      </c>
      <c r="I173" s="67" t="n"/>
      <c r="J173" s="55" t="n"/>
      <c r="K173" s="68" t="n"/>
      <c r="L173" s="68" t="n"/>
      <c r="M173" s="59">
        <f>IF(OR(L173="",K173=""),"",MAX(L173-K173,0))</f>
        <v/>
      </c>
      <c r="N173" s="59">
        <f>IF(M173="","",IF(N(J173)=0,1,J173))</f>
        <v/>
      </c>
    </row>
    <row r="174">
      <c r="A174" s="53" t="n">
        <v>154</v>
      </c>
      <c r="B174" s="67" t="n"/>
      <c r="C174" s="55" t="n"/>
      <c r="D174" s="68" t="n"/>
      <c r="E174" s="68" t="n"/>
      <c r="F174" s="59">
        <f>IF(OR(E174="",D174=""),"",MAX(E174-D174,0))</f>
        <v/>
      </c>
      <c r="G174" s="59">
        <f>IF(F174="","",IF(N(C174)=0,1,C174))</f>
        <v/>
      </c>
      <c r="H174" s="53" t="n">
        <v>154</v>
      </c>
      <c r="I174" s="67" t="n"/>
      <c r="J174" s="55" t="n"/>
      <c r="K174" s="68" t="n"/>
      <c r="L174" s="68" t="n"/>
      <c r="M174" s="59">
        <f>IF(OR(L174="",K174=""),"",MAX(L174-K174,0))</f>
        <v/>
      </c>
      <c r="N174" s="59">
        <f>IF(M174="","",IF(N(J174)=0,1,J174))</f>
        <v/>
      </c>
    </row>
    <row r="175">
      <c r="A175" s="53" t="n">
        <v>155</v>
      </c>
      <c r="B175" s="67" t="n"/>
      <c r="C175" s="55" t="n"/>
      <c r="D175" s="68" t="n"/>
      <c r="E175" s="68" t="n"/>
      <c r="F175" s="59">
        <f>IF(OR(E175="",D175=""),"",MAX(E175-D175,0))</f>
        <v/>
      </c>
      <c r="G175" s="59">
        <f>IF(F175="","",IF(N(C175)=0,1,C175))</f>
        <v/>
      </c>
      <c r="H175" s="53" t="n">
        <v>155</v>
      </c>
      <c r="I175" s="67" t="n"/>
      <c r="J175" s="55" t="n"/>
      <c r="K175" s="68" t="n"/>
      <c r="L175" s="68" t="n"/>
      <c r="M175" s="59">
        <f>IF(OR(L175="",K175=""),"",MAX(L175-K175,0))</f>
        <v/>
      </c>
      <c r="N175" s="59">
        <f>IF(M175="","",IF(N(J175)=0,1,J175))</f>
        <v/>
      </c>
    </row>
    <row r="176">
      <c r="A176" s="53" t="n">
        <v>156</v>
      </c>
      <c r="B176" s="67" t="n"/>
      <c r="C176" s="55" t="n"/>
      <c r="D176" s="68" t="n"/>
      <c r="E176" s="68" t="n"/>
      <c r="F176" s="59">
        <f>IF(OR(E176="",D176=""),"",MAX(E176-D176,0))</f>
        <v/>
      </c>
      <c r="G176" s="59">
        <f>IF(F176="","",IF(N(C176)=0,1,C176))</f>
        <v/>
      </c>
      <c r="H176" s="53" t="n">
        <v>156</v>
      </c>
      <c r="I176" s="67" t="n"/>
      <c r="J176" s="55" t="n"/>
      <c r="K176" s="68" t="n"/>
      <c r="L176" s="68" t="n"/>
      <c r="M176" s="59">
        <f>IF(OR(L176="",K176=""),"",MAX(L176-K176,0))</f>
        <v/>
      </c>
      <c r="N176" s="59">
        <f>IF(M176="","",IF(N(J176)=0,1,J176))</f>
        <v/>
      </c>
    </row>
    <row r="177">
      <c r="A177" s="53" t="n">
        <v>157</v>
      </c>
      <c r="B177" s="67" t="n"/>
      <c r="C177" s="55" t="n"/>
      <c r="D177" s="68" t="n"/>
      <c r="E177" s="68" t="n"/>
      <c r="F177" s="59">
        <f>IF(OR(E177="",D177=""),"",MAX(E177-D177,0))</f>
        <v/>
      </c>
      <c r="G177" s="59">
        <f>IF(F177="","",IF(N(C177)=0,1,C177))</f>
        <v/>
      </c>
      <c r="H177" s="53" t="n">
        <v>157</v>
      </c>
      <c r="I177" s="67" t="n"/>
      <c r="J177" s="55" t="n"/>
      <c r="K177" s="68" t="n"/>
      <c r="L177" s="68" t="n"/>
      <c r="M177" s="59">
        <f>IF(OR(L177="",K177=""),"",MAX(L177-K177,0))</f>
        <v/>
      </c>
      <c r="N177" s="59">
        <f>IF(M177="","",IF(N(J177)=0,1,J177))</f>
        <v/>
      </c>
    </row>
    <row r="178">
      <c r="A178" s="53" t="n">
        <v>158</v>
      </c>
      <c r="B178" s="67" t="n"/>
      <c r="C178" s="55" t="n"/>
      <c r="D178" s="68" t="n"/>
      <c r="E178" s="68" t="n"/>
      <c r="F178" s="59">
        <f>IF(OR(E178="",D178=""),"",MAX(E178-D178,0))</f>
        <v/>
      </c>
      <c r="G178" s="59">
        <f>IF(F178="","",IF(N(C178)=0,1,C178))</f>
        <v/>
      </c>
      <c r="H178" s="53" t="n">
        <v>158</v>
      </c>
      <c r="I178" s="67" t="n"/>
      <c r="J178" s="55" t="n"/>
      <c r="K178" s="68" t="n"/>
      <c r="L178" s="68" t="n"/>
      <c r="M178" s="59">
        <f>IF(OR(L178="",K178=""),"",MAX(L178-K178,0))</f>
        <v/>
      </c>
      <c r="N178" s="59">
        <f>IF(M178="","",IF(N(J178)=0,1,J178))</f>
        <v/>
      </c>
    </row>
    <row r="179">
      <c r="A179" s="53" t="n">
        <v>159</v>
      </c>
      <c r="B179" s="67" t="n"/>
      <c r="C179" s="55" t="n"/>
      <c r="D179" s="68" t="n"/>
      <c r="E179" s="68" t="n"/>
      <c r="F179" s="59">
        <f>IF(OR(E179="",D179=""),"",MAX(E179-D179,0))</f>
        <v/>
      </c>
      <c r="G179" s="59">
        <f>IF(F179="","",IF(N(C179)=0,1,C179))</f>
        <v/>
      </c>
      <c r="H179" s="53" t="n">
        <v>159</v>
      </c>
      <c r="I179" s="67" t="n"/>
      <c r="J179" s="55" t="n"/>
      <c r="K179" s="68" t="n"/>
      <c r="L179" s="68" t="n"/>
      <c r="M179" s="59">
        <f>IF(OR(L179="",K179=""),"",MAX(L179-K179,0))</f>
        <v/>
      </c>
      <c r="N179" s="59">
        <f>IF(M179="","",IF(N(J179)=0,1,J179))</f>
        <v/>
      </c>
    </row>
    <row r="180">
      <c r="A180" s="53" t="n">
        <v>160</v>
      </c>
      <c r="B180" s="67" t="n"/>
      <c r="C180" s="55" t="n"/>
      <c r="D180" s="68" t="n"/>
      <c r="E180" s="68" t="n"/>
      <c r="F180" s="59">
        <f>IF(OR(E180="",D180=""),"",MAX(E180-D180,0))</f>
        <v/>
      </c>
      <c r="G180" s="59">
        <f>IF(F180="","",IF(N(C180)=0,1,C180))</f>
        <v/>
      </c>
      <c r="H180" s="53" t="n">
        <v>160</v>
      </c>
      <c r="I180" s="67" t="n"/>
      <c r="J180" s="55" t="n"/>
      <c r="K180" s="68" t="n"/>
      <c r="L180" s="68" t="n"/>
      <c r="M180" s="59">
        <f>IF(OR(L180="",K180=""),"",MAX(L180-K180,0))</f>
        <v/>
      </c>
      <c r="N180" s="59">
        <f>IF(M180="","",IF(N(J180)=0,1,J180))</f>
        <v/>
      </c>
    </row>
    <row r="181">
      <c r="A181" s="53" t="n">
        <v>161</v>
      </c>
      <c r="B181" s="67" t="n"/>
      <c r="C181" s="55" t="n"/>
      <c r="D181" s="68" t="n"/>
      <c r="E181" s="68" t="n"/>
      <c r="F181" s="59">
        <f>IF(OR(E181="",D181=""),"",MAX(E181-D181,0))</f>
        <v/>
      </c>
      <c r="G181" s="59">
        <f>IF(F181="","",IF(N(C181)=0,1,C181))</f>
        <v/>
      </c>
      <c r="H181" s="53" t="n">
        <v>161</v>
      </c>
      <c r="I181" s="67" t="n"/>
      <c r="J181" s="55" t="n"/>
      <c r="K181" s="68" t="n"/>
      <c r="L181" s="68" t="n"/>
      <c r="M181" s="59">
        <f>IF(OR(L181="",K181=""),"",MAX(L181-K181,0))</f>
        <v/>
      </c>
      <c r="N181" s="59">
        <f>IF(M181="","",IF(N(J181)=0,1,J181))</f>
        <v/>
      </c>
    </row>
    <row r="182">
      <c r="A182" s="53" t="n">
        <v>162</v>
      </c>
      <c r="B182" s="67" t="n"/>
      <c r="C182" s="55" t="n"/>
      <c r="D182" s="68" t="n"/>
      <c r="E182" s="68" t="n"/>
      <c r="F182" s="59">
        <f>IF(OR(E182="",D182=""),"",MAX(E182-D182,0))</f>
        <v/>
      </c>
      <c r="G182" s="59">
        <f>IF(F182="","",IF(N(C182)=0,1,C182))</f>
        <v/>
      </c>
      <c r="H182" s="53" t="n">
        <v>162</v>
      </c>
      <c r="I182" s="67" t="n"/>
      <c r="J182" s="55" t="n"/>
      <c r="K182" s="68" t="n"/>
      <c r="L182" s="68" t="n"/>
      <c r="M182" s="59">
        <f>IF(OR(L182="",K182=""),"",MAX(L182-K182,0))</f>
        <v/>
      </c>
      <c r="N182" s="59">
        <f>IF(M182="","",IF(N(J182)=0,1,J182))</f>
        <v/>
      </c>
    </row>
    <row r="183">
      <c r="A183" s="53" t="n">
        <v>163</v>
      </c>
      <c r="B183" s="67" t="n"/>
      <c r="C183" s="55" t="n"/>
      <c r="D183" s="68" t="n"/>
      <c r="E183" s="68" t="n"/>
      <c r="F183" s="59">
        <f>IF(OR(E183="",D183=""),"",MAX(E183-D183,0))</f>
        <v/>
      </c>
      <c r="G183" s="59">
        <f>IF(F183="","",IF(N(C183)=0,1,C183))</f>
        <v/>
      </c>
      <c r="H183" s="53" t="n">
        <v>163</v>
      </c>
      <c r="I183" s="67" t="n"/>
      <c r="J183" s="55" t="n"/>
      <c r="K183" s="68" t="n"/>
      <c r="L183" s="68" t="n"/>
      <c r="M183" s="59">
        <f>IF(OR(L183="",K183=""),"",MAX(L183-K183,0))</f>
        <v/>
      </c>
      <c r="N183" s="59">
        <f>IF(M183="","",IF(N(J183)=0,1,J183))</f>
        <v/>
      </c>
    </row>
    <row r="184">
      <c r="A184" s="53" t="n">
        <v>164</v>
      </c>
      <c r="B184" s="67" t="n"/>
      <c r="C184" s="55" t="n"/>
      <c r="D184" s="68" t="n"/>
      <c r="E184" s="68" t="n"/>
      <c r="F184" s="59">
        <f>IF(OR(E184="",D184=""),"",MAX(E184-D184,0))</f>
        <v/>
      </c>
      <c r="G184" s="59">
        <f>IF(F184="","",IF(N(C184)=0,1,C184))</f>
        <v/>
      </c>
      <c r="H184" s="53" t="n">
        <v>164</v>
      </c>
      <c r="I184" s="67" t="n"/>
      <c r="J184" s="55" t="n"/>
      <c r="K184" s="68" t="n"/>
      <c r="L184" s="68" t="n"/>
      <c r="M184" s="59">
        <f>IF(OR(L184="",K184=""),"",MAX(L184-K184,0))</f>
        <v/>
      </c>
      <c r="N184" s="59">
        <f>IF(M184="","",IF(N(J184)=0,1,J184))</f>
        <v/>
      </c>
    </row>
    <row r="185">
      <c r="A185" s="53" t="n">
        <v>165</v>
      </c>
      <c r="B185" s="67" t="n"/>
      <c r="C185" s="55" t="n"/>
      <c r="D185" s="68" t="n"/>
      <c r="E185" s="68" t="n"/>
      <c r="F185" s="59">
        <f>IF(OR(E185="",D185=""),"",MAX(E185-D185,0))</f>
        <v/>
      </c>
      <c r="G185" s="59">
        <f>IF(F185="","",IF(N(C185)=0,1,C185))</f>
        <v/>
      </c>
      <c r="H185" s="53" t="n">
        <v>165</v>
      </c>
      <c r="I185" s="67" t="n"/>
      <c r="J185" s="55" t="n"/>
      <c r="K185" s="68" t="n"/>
      <c r="L185" s="68" t="n"/>
      <c r="M185" s="59">
        <f>IF(OR(L185="",K185=""),"",MAX(L185-K185,0))</f>
        <v/>
      </c>
      <c r="N185" s="59">
        <f>IF(M185="","",IF(N(J185)=0,1,J185))</f>
        <v/>
      </c>
    </row>
    <row r="186">
      <c r="A186" s="53" t="n">
        <v>166</v>
      </c>
      <c r="B186" s="67" t="n"/>
      <c r="C186" s="55" t="n"/>
      <c r="D186" s="68" t="n"/>
      <c r="E186" s="68" t="n"/>
      <c r="F186" s="59">
        <f>IF(OR(E186="",D186=""),"",MAX(E186-D186,0))</f>
        <v/>
      </c>
      <c r="G186" s="59">
        <f>IF(F186="","",IF(N(C186)=0,1,C186))</f>
        <v/>
      </c>
      <c r="H186" s="53" t="n">
        <v>166</v>
      </c>
      <c r="I186" s="67" t="n"/>
      <c r="J186" s="55" t="n"/>
      <c r="K186" s="68" t="n"/>
      <c r="L186" s="68" t="n"/>
      <c r="M186" s="59">
        <f>IF(OR(L186="",K186=""),"",MAX(L186-K186,0))</f>
        <v/>
      </c>
      <c r="N186" s="59">
        <f>IF(M186="","",IF(N(J186)=0,1,J186))</f>
        <v/>
      </c>
    </row>
    <row r="187">
      <c r="A187" s="53" t="n">
        <v>167</v>
      </c>
      <c r="B187" s="67" t="n"/>
      <c r="C187" s="55" t="n"/>
      <c r="D187" s="68" t="n"/>
      <c r="E187" s="68" t="n"/>
      <c r="F187" s="59">
        <f>IF(OR(E187="",D187=""),"",MAX(E187-D187,0))</f>
        <v/>
      </c>
      <c r="G187" s="59">
        <f>IF(F187="","",IF(N(C187)=0,1,C187))</f>
        <v/>
      </c>
      <c r="H187" s="53" t="n">
        <v>167</v>
      </c>
      <c r="I187" s="67" t="n"/>
      <c r="J187" s="55" t="n"/>
      <c r="K187" s="68" t="n"/>
      <c r="L187" s="68" t="n"/>
      <c r="M187" s="59">
        <f>IF(OR(L187="",K187=""),"",MAX(L187-K187,0))</f>
        <v/>
      </c>
      <c r="N187" s="59">
        <f>IF(M187="","",IF(N(J187)=0,1,J187))</f>
        <v/>
      </c>
    </row>
    <row r="188">
      <c r="A188" s="53" t="n">
        <v>168</v>
      </c>
      <c r="B188" s="67" t="n"/>
      <c r="C188" s="55" t="n"/>
      <c r="D188" s="68" t="n"/>
      <c r="E188" s="68" t="n"/>
      <c r="F188" s="59">
        <f>IF(OR(E188="",D188=""),"",MAX(E188-D188,0))</f>
        <v/>
      </c>
      <c r="G188" s="59">
        <f>IF(F188="","",IF(N(C188)=0,1,C188))</f>
        <v/>
      </c>
      <c r="H188" s="53" t="n">
        <v>168</v>
      </c>
      <c r="I188" s="67" t="n"/>
      <c r="J188" s="55" t="n"/>
      <c r="K188" s="68" t="n"/>
      <c r="L188" s="68" t="n"/>
      <c r="M188" s="59">
        <f>IF(OR(L188="",K188=""),"",MAX(L188-K188,0))</f>
        <v/>
      </c>
      <c r="N188" s="59">
        <f>IF(M188="","",IF(N(J188)=0,1,J188))</f>
        <v/>
      </c>
    </row>
    <row r="189">
      <c r="A189" s="53" t="n">
        <v>169</v>
      </c>
      <c r="B189" s="67" t="n"/>
      <c r="C189" s="55" t="n"/>
      <c r="D189" s="68" t="n"/>
      <c r="E189" s="68" t="n"/>
      <c r="F189" s="59">
        <f>IF(OR(E189="",D189=""),"",MAX(E189-D189,0))</f>
        <v/>
      </c>
      <c r="G189" s="59">
        <f>IF(F189="","",IF(N(C189)=0,1,C189))</f>
        <v/>
      </c>
      <c r="H189" s="53" t="n">
        <v>169</v>
      </c>
      <c r="I189" s="67" t="n"/>
      <c r="J189" s="55" t="n"/>
      <c r="K189" s="68" t="n"/>
      <c r="L189" s="68" t="n"/>
      <c r="M189" s="59">
        <f>IF(OR(L189="",K189=""),"",MAX(L189-K189,0))</f>
        <v/>
      </c>
      <c r="N189" s="59">
        <f>IF(M189="","",IF(N(J189)=0,1,J189))</f>
        <v/>
      </c>
    </row>
    <row r="190">
      <c r="A190" s="53" t="n">
        <v>170</v>
      </c>
      <c r="B190" s="67" t="n"/>
      <c r="C190" s="55" t="n"/>
      <c r="D190" s="68" t="n"/>
      <c r="E190" s="68" t="n"/>
      <c r="F190" s="59">
        <f>IF(OR(E190="",D190=""),"",MAX(E190-D190,0))</f>
        <v/>
      </c>
      <c r="G190" s="59">
        <f>IF(F190="","",IF(N(C190)=0,1,C190))</f>
        <v/>
      </c>
      <c r="H190" s="53" t="n">
        <v>170</v>
      </c>
      <c r="I190" s="67" t="n"/>
      <c r="J190" s="55" t="n"/>
      <c r="K190" s="68" t="n"/>
      <c r="L190" s="68" t="n"/>
      <c r="M190" s="59">
        <f>IF(OR(L190="",K190=""),"",MAX(L190-K190,0))</f>
        <v/>
      </c>
      <c r="N190" s="59">
        <f>IF(M190="","",IF(N(J190)=0,1,J190))</f>
        <v/>
      </c>
    </row>
    <row r="191">
      <c r="A191" s="53" t="n">
        <v>171</v>
      </c>
      <c r="B191" s="67" t="n"/>
      <c r="C191" s="55" t="n"/>
      <c r="D191" s="68" t="n"/>
      <c r="E191" s="68" t="n"/>
      <c r="F191" s="59">
        <f>IF(OR(E191="",D191=""),"",MAX(E191-D191,0))</f>
        <v/>
      </c>
      <c r="G191" s="59">
        <f>IF(F191="","",IF(N(C191)=0,1,C191))</f>
        <v/>
      </c>
      <c r="H191" s="53" t="n">
        <v>171</v>
      </c>
      <c r="I191" s="67" t="n"/>
      <c r="J191" s="55" t="n"/>
      <c r="K191" s="68" t="n"/>
      <c r="L191" s="68" t="n"/>
      <c r="M191" s="59">
        <f>IF(OR(L191="",K191=""),"",MAX(L191-K191,0))</f>
        <v/>
      </c>
      <c r="N191" s="59">
        <f>IF(M191="","",IF(N(J191)=0,1,J191))</f>
        <v/>
      </c>
    </row>
    <row r="192">
      <c r="A192" s="53" t="n">
        <v>172</v>
      </c>
      <c r="B192" s="67" t="n"/>
      <c r="C192" s="55" t="n"/>
      <c r="D192" s="68" t="n"/>
      <c r="E192" s="68" t="n"/>
      <c r="F192" s="59">
        <f>IF(OR(E192="",D192=""),"",MAX(E192-D192,0))</f>
        <v/>
      </c>
      <c r="G192" s="59">
        <f>IF(F192="","",IF(N(C192)=0,1,C192))</f>
        <v/>
      </c>
      <c r="H192" s="53" t="n">
        <v>172</v>
      </c>
      <c r="I192" s="67" t="n"/>
      <c r="J192" s="55" t="n"/>
      <c r="K192" s="68" t="n"/>
      <c r="L192" s="68" t="n"/>
      <c r="M192" s="59">
        <f>IF(OR(L192="",K192=""),"",MAX(L192-K192,0))</f>
        <v/>
      </c>
      <c r="N192" s="59">
        <f>IF(M192="","",IF(N(J192)=0,1,J192))</f>
        <v/>
      </c>
    </row>
    <row r="193">
      <c r="A193" s="53" t="n">
        <v>173</v>
      </c>
      <c r="B193" s="67" t="n"/>
      <c r="C193" s="55" t="n"/>
      <c r="D193" s="68" t="n"/>
      <c r="E193" s="68" t="n"/>
      <c r="F193" s="59">
        <f>IF(OR(E193="",D193=""),"",MAX(E193-D193,0))</f>
        <v/>
      </c>
      <c r="G193" s="59">
        <f>IF(F193="","",IF(N(C193)=0,1,C193))</f>
        <v/>
      </c>
      <c r="H193" s="53" t="n">
        <v>173</v>
      </c>
      <c r="I193" s="67" t="n"/>
      <c r="J193" s="55" t="n"/>
      <c r="K193" s="68" t="n"/>
      <c r="L193" s="68" t="n"/>
      <c r="M193" s="59">
        <f>IF(OR(L193="",K193=""),"",MAX(L193-K193,0))</f>
        <v/>
      </c>
      <c r="N193" s="59">
        <f>IF(M193="","",IF(N(J193)=0,1,J193))</f>
        <v/>
      </c>
    </row>
    <row r="194">
      <c r="A194" s="53" t="n">
        <v>174</v>
      </c>
      <c r="B194" s="67" t="n"/>
      <c r="C194" s="55" t="n"/>
      <c r="D194" s="68" t="n"/>
      <c r="E194" s="68" t="n"/>
      <c r="F194" s="59">
        <f>IF(OR(E194="",D194=""),"",MAX(E194-D194,0))</f>
        <v/>
      </c>
      <c r="G194" s="59">
        <f>IF(F194="","",IF(N(C194)=0,1,C194))</f>
        <v/>
      </c>
      <c r="H194" s="53" t="n">
        <v>174</v>
      </c>
      <c r="I194" s="67" t="n"/>
      <c r="J194" s="55" t="n"/>
      <c r="K194" s="68" t="n"/>
      <c r="L194" s="68" t="n"/>
      <c r="M194" s="59">
        <f>IF(OR(L194="",K194=""),"",MAX(L194-K194,0))</f>
        <v/>
      </c>
      <c r="N194" s="59">
        <f>IF(M194="","",IF(N(J194)=0,1,J194))</f>
        <v/>
      </c>
    </row>
    <row r="195">
      <c r="A195" s="53" t="n">
        <v>175</v>
      </c>
      <c r="B195" s="67" t="n"/>
      <c r="C195" s="55" t="n"/>
      <c r="D195" s="68" t="n"/>
      <c r="E195" s="68" t="n"/>
      <c r="F195" s="59">
        <f>IF(OR(E195="",D195=""),"",MAX(E195-D195,0))</f>
        <v/>
      </c>
      <c r="G195" s="59">
        <f>IF(F195="","",IF(N(C195)=0,1,C195))</f>
        <v/>
      </c>
      <c r="H195" s="53" t="n">
        <v>175</v>
      </c>
      <c r="I195" s="67" t="n"/>
      <c r="J195" s="55" t="n"/>
      <c r="K195" s="68" t="n"/>
      <c r="L195" s="68" t="n"/>
      <c r="M195" s="59">
        <f>IF(OR(L195="",K195=""),"",MAX(L195-K195,0))</f>
        <v/>
      </c>
      <c r="N195" s="59">
        <f>IF(M195="","",IF(N(J195)=0,1,J195))</f>
        <v/>
      </c>
    </row>
    <row r="196">
      <c r="A196" s="53" t="n">
        <v>176</v>
      </c>
      <c r="B196" s="67" t="n"/>
      <c r="C196" s="55" t="n"/>
      <c r="D196" s="68" t="n"/>
      <c r="E196" s="68" t="n"/>
      <c r="F196" s="59">
        <f>IF(OR(E196="",D196=""),"",MAX(E196-D196,0))</f>
        <v/>
      </c>
      <c r="G196" s="59">
        <f>IF(F196="","",IF(N(C196)=0,1,C196))</f>
        <v/>
      </c>
      <c r="H196" s="53" t="n">
        <v>176</v>
      </c>
      <c r="I196" s="67" t="n"/>
      <c r="J196" s="55" t="n"/>
      <c r="K196" s="68" t="n"/>
      <c r="L196" s="68" t="n"/>
      <c r="M196" s="59">
        <f>IF(OR(L196="",K196=""),"",MAX(L196-K196,0))</f>
        <v/>
      </c>
      <c r="N196" s="59">
        <f>IF(M196="","",IF(N(J196)=0,1,J196))</f>
        <v/>
      </c>
    </row>
    <row r="197">
      <c r="A197" s="53" t="n">
        <v>177</v>
      </c>
      <c r="B197" s="67" t="n"/>
      <c r="C197" s="55" t="n"/>
      <c r="D197" s="68" t="n"/>
      <c r="E197" s="68" t="n"/>
      <c r="F197" s="59">
        <f>IF(OR(E197="",D197=""),"",MAX(E197-D197,0))</f>
        <v/>
      </c>
      <c r="G197" s="59">
        <f>IF(F197="","",IF(N(C197)=0,1,C197))</f>
        <v/>
      </c>
      <c r="H197" s="53" t="n">
        <v>177</v>
      </c>
      <c r="I197" s="67" t="n"/>
      <c r="J197" s="55" t="n"/>
      <c r="K197" s="68" t="n"/>
      <c r="L197" s="68" t="n"/>
      <c r="M197" s="59">
        <f>IF(OR(L197="",K197=""),"",MAX(L197-K197,0))</f>
        <v/>
      </c>
      <c r="N197" s="59">
        <f>IF(M197="","",IF(N(J197)=0,1,J197))</f>
        <v/>
      </c>
    </row>
    <row r="198">
      <c r="A198" s="53" t="n">
        <v>178</v>
      </c>
      <c r="B198" s="67" t="n"/>
      <c r="C198" s="55" t="n"/>
      <c r="D198" s="68" t="n"/>
      <c r="E198" s="68" t="n"/>
      <c r="F198" s="59">
        <f>IF(OR(E198="",D198=""),"",MAX(E198-D198,0))</f>
        <v/>
      </c>
      <c r="G198" s="59">
        <f>IF(F198="","",IF(N(C198)=0,1,C198))</f>
        <v/>
      </c>
      <c r="H198" s="53" t="n">
        <v>178</v>
      </c>
      <c r="I198" s="67" t="n"/>
      <c r="J198" s="55" t="n"/>
      <c r="K198" s="68" t="n"/>
      <c r="L198" s="68" t="n"/>
      <c r="M198" s="59">
        <f>IF(OR(L198="",K198=""),"",MAX(L198-K198,0))</f>
        <v/>
      </c>
      <c r="N198" s="59">
        <f>IF(M198="","",IF(N(J198)=0,1,J198))</f>
        <v/>
      </c>
    </row>
    <row r="199">
      <c r="A199" s="53" t="n">
        <v>179</v>
      </c>
      <c r="B199" s="67" t="n"/>
      <c r="C199" s="55" t="n"/>
      <c r="D199" s="68" t="n"/>
      <c r="E199" s="68" t="n"/>
      <c r="F199" s="59">
        <f>IF(OR(E199="",D199=""),"",MAX(E199-D199,0))</f>
        <v/>
      </c>
      <c r="G199" s="59">
        <f>IF(F199="","",IF(N(C199)=0,1,C199))</f>
        <v/>
      </c>
      <c r="H199" s="53" t="n">
        <v>179</v>
      </c>
      <c r="I199" s="67" t="n"/>
      <c r="J199" s="55" t="n"/>
      <c r="K199" s="68" t="n"/>
      <c r="L199" s="68" t="n"/>
      <c r="M199" s="59">
        <f>IF(OR(L199="",K199=""),"",MAX(L199-K199,0))</f>
        <v/>
      </c>
      <c r="N199" s="59">
        <f>IF(M199="","",IF(N(J199)=0,1,J199))</f>
        <v/>
      </c>
    </row>
    <row r="200">
      <c r="A200" s="53" t="n">
        <v>180</v>
      </c>
      <c r="B200" s="67" t="n"/>
      <c r="C200" s="55" t="n"/>
      <c r="D200" s="68" t="n"/>
      <c r="E200" s="68" t="n"/>
      <c r="F200" s="59">
        <f>IF(OR(E200="",D200=""),"",MAX(E200-D200,0))</f>
        <v/>
      </c>
      <c r="G200" s="59">
        <f>IF(F200="","",IF(N(C200)=0,1,C200))</f>
        <v/>
      </c>
      <c r="H200" s="53" t="n">
        <v>180</v>
      </c>
      <c r="I200" s="67" t="n"/>
      <c r="J200" s="55" t="n"/>
      <c r="K200" s="68" t="n"/>
      <c r="L200" s="68" t="n"/>
      <c r="M200" s="59">
        <f>IF(OR(L200="",K200=""),"",MAX(L200-K200,0))</f>
        <v/>
      </c>
      <c r="N200" s="59">
        <f>IF(M200="","",IF(N(J200)=0,1,J200))</f>
        <v/>
      </c>
    </row>
    <row r="201">
      <c r="A201" s="53" t="n">
        <v>181</v>
      </c>
      <c r="B201" s="67" t="n"/>
      <c r="C201" s="55" t="n"/>
      <c r="D201" s="68" t="n"/>
      <c r="E201" s="68" t="n"/>
      <c r="F201" s="59">
        <f>IF(OR(E201="",D201=""),"",MAX(E201-D201,0))</f>
        <v/>
      </c>
      <c r="G201" s="59">
        <f>IF(F201="","",IF(N(C201)=0,1,C201))</f>
        <v/>
      </c>
      <c r="H201" s="53" t="n">
        <v>181</v>
      </c>
      <c r="I201" s="67" t="n"/>
      <c r="J201" s="55" t="n"/>
      <c r="K201" s="68" t="n"/>
      <c r="L201" s="68" t="n"/>
      <c r="M201" s="59">
        <f>IF(OR(L201="",K201=""),"",MAX(L201-K201,0))</f>
        <v/>
      </c>
      <c r="N201" s="59">
        <f>IF(M201="","",IF(N(J201)=0,1,J201))</f>
        <v/>
      </c>
    </row>
    <row r="202">
      <c r="A202" s="53" t="n">
        <v>182</v>
      </c>
      <c r="B202" s="67" t="n"/>
      <c r="C202" s="55" t="n"/>
      <c r="D202" s="68" t="n"/>
      <c r="E202" s="68" t="n"/>
      <c r="F202" s="59">
        <f>IF(OR(E202="",D202=""),"",MAX(E202-D202,0))</f>
        <v/>
      </c>
      <c r="G202" s="59">
        <f>IF(F202="","",IF(N(C202)=0,1,C202))</f>
        <v/>
      </c>
      <c r="H202" s="53" t="n">
        <v>182</v>
      </c>
      <c r="I202" s="67" t="n"/>
      <c r="J202" s="55" t="n"/>
      <c r="K202" s="68" t="n"/>
      <c r="L202" s="68" t="n"/>
      <c r="M202" s="59">
        <f>IF(OR(L202="",K202=""),"",MAX(L202-K202,0))</f>
        <v/>
      </c>
      <c r="N202" s="59">
        <f>IF(M202="","",IF(N(J202)=0,1,J202))</f>
        <v/>
      </c>
    </row>
    <row r="203">
      <c r="A203" s="53" t="n">
        <v>183</v>
      </c>
      <c r="B203" s="67" t="n"/>
      <c r="C203" s="55" t="n"/>
      <c r="D203" s="68" t="n"/>
      <c r="E203" s="68" t="n"/>
      <c r="F203" s="59">
        <f>IF(OR(E203="",D203=""),"",MAX(E203-D203,0))</f>
        <v/>
      </c>
      <c r="G203" s="59">
        <f>IF(F203="","",IF(N(C203)=0,1,C203))</f>
        <v/>
      </c>
      <c r="H203" s="53" t="n">
        <v>183</v>
      </c>
      <c r="I203" s="67" t="n"/>
      <c r="J203" s="55" t="n"/>
      <c r="K203" s="68" t="n"/>
      <c r="L203" s="68" t="n"/>
      <c r="M203" s="59">
        <f>IF(OR(L203="",K203=""),"",MAX(L203-K203,0))</f>
        <v/>
      </c>
      <c r="N203" s="59">
        <f>IF(M203="","",IF(N(J203)=0,1,J203))</f>
        <v/>
      </c>
    </row>
    <row r="204">
      <c r="A204" s="53" t="n">
        <v>184</v>
      </c>
      <c r="B204" s="67" t="n"/>
      <c r="C204" s="55" t="n"/>
      <c r="D204" s="68" t="n"/>
      <c r="E204" s="68" t="n"/>
      <c r="F204" s="59">
        <f>IF(OR(E204="",D204=""),"",MAX(E204-D204,0))</f>
        <v/>
      </c>
      <c r="G204" s="59">
        <f>IF(F204="","",IF(N(C204)=0,1,C204))</f>
        <v/>
      </c>
      <c r="H204" s="53" t="n">
        <v>184</v>
      </c>
      <c r="I204" s="67" t="n"/>
      <c r="J204" s="55" t="n"/>
      <c r="K204" s="68" t="n"/>
      <c r="L204" s="68" t="n"/>
      <c r="M204" s="59">
        <f>IF(OR(L204="",K204=""),"",MAX(L204-K204,0))</f>
        <v/>
      </c>
      <c r="N204" s="59">
        <f>IF(M204="","",IF(N(J204)=0,1,J204))</f>
        <v/>
      </c>
    </row>
    <row r="205">
      <c r="A205" s="53" t="n">
        <v>185</v>
      </c>
      <c r="B205" s="67" t="n"/>
      <c r="C205" s="55" t="n"/>
      <c r="D205" s="68" t="n"/>
      <c r="E205" s="68" t="n"/>
      <c r="F205" s="59">
        <f>IF(OR(E205="",D205=""),"",MAX(E205-D205,0))</f>
        <v/>
      </c>
      <c r="G205" s="59">
        <f>IF(F205="","",IF(N(C205)=0,1,C205))</f>
        <v/>
      </c>
      <c r="H205" s="53" t="n">
        <v>185</v>
      </c>
      <c r="I205" s="67" t="n"/>
      <c r="J205" s="55" t="n"/>
      <c r="K205" s="68" t="n"/>
      <c r="L205" s="68" t="n"/>
      <c r="M205" s="59">
        <f>IF(OR(L205="",K205=""),"",MAX(L205-K205,0))</f>
        <v/>
      </c>
      <c r="N205" s="59">
        <f>IF(M205="","",IF(N(J205)=0,1,J205))</f>
        <v/>
      </c>
    </row>
    <row r="206">
      <c r="A206" s="53" t="n">
        <v>186</v>
      </c>
      <c r="B206" s="67" t="n"/>
      <c r="C206" s="55" t="n"/>
      <c r="D206" s="68" t="n"/>
      <c r="E206" s="68" t="n"/>
      <c r="F206" s="59">
        <f>IF(OR(E206="",D206=""),"",MAX(E206-D206,0))</f>
        <v/>
      </c>
      <c r="G206" s="59">
        <f>IF(F206="","",IF(N(C206)=0,1,C206))</f>
        <v/>
      </c>
      <c r="H206" s="53" t="n">
        <v>186</v>
      </c>
      <c r="I206" s="67" t="n"/>
      <c r="J206" s="55" t="n"/>
      <c r="K206" s="68" t="n"/>
      <c r="L206" s="68" t="n"/>
      <c r="M206" s="59">
        <f>IF(OR(L206="",K206=""),"",MAX(L206-K206,0))</f>
        <v/>
      </c>
      <c r="N206" s="59">
        <f>IF(M206="","",IF(N(J206)=0,1,J206))</f>
        <v/>
      </c>
    </row>
    <row r="207">
      <c r="A207" s="53" t="n">
        <v>187</v>
      </c>
      <c r="B207" s="67" t="n"/>
      <c r="C207" s="55" t="n"/>
      <c r="D207" s="68" t="n"/>
      <c r="E207" s="68" t="n"/>
      <c r="F207" s="59">
        <f>IF(OR(E207="",D207=""),"",MAX(E207-D207,0))</f>
        <v/>
      </c>
      <c r="G207" s="59">
        <f>IF(F207="","",IF(N(C207)=0,1,C207))</f>
        <v/>
      </c>
      <c r="H207" s="53" t="n">
        <v>187</v>
      </c>
      <c r="I207" s="67" t="n"/>
      <c r="J207" s="55" t="n"/>
      <c r="K207" s="68" t="n"/>
      <c r="L207" s="68" t="n"/>
      <c r="M207" s="59">
        <f>IF(OR(L207="",K207=""),"",MAX(L207-K207,0))</f>
        <v/>
      </c>
      <c r="N207" s="59">
        <f>IF(M207="","",IF(N(J207)=0,1,J207))</f>
        <v/>
      </c>
    </row>
    <row r="208">
      <c r="A208" s="53" t="n">
        <v>188</v>
      </c>
      <c r="B208" s="67" t="n"/>
      <c r="C208" s="55" t="n"/>
      <c r="D208" s="68" t="n"/>
      <c r="E208" s="68" t="n"/>
      <c r="F208" s="59">
        <f>IF(OR(E208="",D208=""),"",MAX(E208-D208,0))</f>
        <v/>
      </c>
      <c r="G208" s="59">
        <f>IF(F208="","",IF(N(C208)=0,1,C208))</f>
        <v/>
      </c>
      <c r="H208" s="53" t="n">
        <v>188</v>
      </c>
      <c r="I208" s="67" t="n"/>
      <c r="J208" s="55" t="n"/>
      <c r="K208" s="68" t="n"/>
      <c r="L208" s="68" t="n"/>
      <c r="M208" s="59">
        <f>IF(OR(L208="",K208=""),"",MAX(L208-K208,0))</f>
        <v/>
      </c>
      <c r="N208" s="59">
        <f>IF(M208="","",IF(N(J208)=0,1,J208))</f>
        <v/>
      </c>
    </row>
    <row r="209">
      <c r="A209" s="53" t="n">
        <v>189</v>
      </c>
      <c r="B209" s="67" t="n"/>
      <c r="C209" s="55" t="n"/>
      <c r="D209" s="68" t="n"/>
      <c r="E209" s="68" t="n"/>
      <c r="F209" s="59">
        <f>IF(OR(E209="",D209=""),"",MAX(E209-D209,0))</f>
        <v/>
      </c>
      <c r="G209" s="59">
        <f>IF(F209="","",IF(N(C209)=0,1,C209))</f>
        <v/>
      </c>
      <c r="H209" s="53" t="n">
        <v>189</v>
      </c>
      <c r="I209" s="67" t="n"/>
      <c r="J209" s="55" t="n"/>
      <c r="K209" s="68" t="n"/>
      <c r="L209" s="68" t="n"/>
      <c r="M209" s="59">
        <f>IF(OR(L209="",K209=""),"",MAX(L209-K209,0))</f>
        <v/>
      </c>
      <c r="N209" s="59">
        <f>IF(M209="","",IF(N(J209)=0,1,J209))</f>
        <v/>
      </c>
    </row>
    <row r="210">
      <c r="A210" s="53" t="n">
        <v>190</v>
      </c>
      <c r="B210" s="67" t="n"/>
      <c r="C210" s="55" t="n"/>
      <c r="D210" s="68" t="n"/>
      <c r="E210" s="68" t="n"/>
      <c r="F210" s="59">
        <f>IF(OR(E210="",D210=""),"",MAX(E210-D210,0))</f>
        <v/>
      </c>
      <c r="G210" s="59">
        <f>IF(F210="","",IF(N(C210)=0,1,C210))</f>
        <v/>
      </c>
      <c r="H210" s="53" t="n">
        <v>190</v>
      </c>
      <c r="I210" s="67" t="n"/>
      <c r="J210" s="55" t="n"/>
      <c r="K210" s="68" t="n"/>
      <c r="L210" s="68" t="n"/>
      <c r="M210" s="59">
        <f>IF(OR(L210="",K210=""),"",MAX(L210-K210,0))</f>
        <v/>
      </c>
      <c r="N210" s="59">
        <f>IF(M210="","",IF(N(J210)=0,1,J210))</f>
        <v/>
      </c>
    </row>
    <row r="211">
      <c r="A211" s="53" t="n">
        <v>191</v>
      </c>
      <c r="B211" s="67" t="n"/>
      <c r="C211" s="55" t="n"/>
      <c r="D211" s="68" t="n"/>
      <c r="E211" s="68" t="n"/>
      <c r="F211" s="59">
        <f>IF(OR(E211="",D211=""),"",MAX(E211-D211,0))</f>
        <v/>
      </c>
      <c r="G211" s="59">
        <f>IF(F211="","",IF(N(C211)=0,1,C211))</f>
        <v/>
      </c>
      <c r="H211" s="53" t="n">
        <v>191</v>
      </c>
      <c r="I211" s="67" t="n"/>
      <c r="J211" s="55" t="n"/>
      <c r="K211" s="68" t="n"/>
      <c r="L211" s="68" t="n"/>
      <c r="M211" s="59">
        <f>IF(OR(L211="",K211=""),"",MAX(L211-K211,0))</f>
        <v/>
      </c>
      <c r="N211" s="59">
        <f>IF(M211="","",IF(N(J211)=0,1,J211))</f>
        <v/>
      </c>
    </row>
    <row r="212">
      <c r="A212" s="53" t="n">
        <v>192</v>
      </c>
      <c r="B212" s="67" t="n"/>
      <c r="C212" s="55" t="n"/>
      <c r="D212" s="68" t="n"/>
      <c r="E212" s="68" t="n"/>
      <c r="F212" s="59">
        <f>IF(OR(E212="",D212=""),"",MAX(E212-D212,0))</f>
        <v/>
      </c>
      <c r="G212" s="59">
        <f>IF(F212="","",IF(N(C212)=0,1,C212))</f>
        <v/>
      </c>
      <c r="H212" s="53" t="n">
        <v>192</v>
      </c>
      <c r="I212" s="67" t="n"/>
      <c r="J212" s="55" t="n"/>
      <c r="K212" s="68" t="n"/>
      <c r="L212" s="68" t="n"/>
      <c r="M212" s="59">
        <f>IF(OR(L212="",K212=""),"",MAX(L212-K212,0))</f>
        <v/>
      </c>
      <c r="N212" s="59">
        <f>IF(M212="","",IF(N(J212)=0,1,J212))</f>
        <v/>
      </c>
    </row>
    <row r="213">
      <c r="A213" s="53" t="n">
        <v>193</v>
      </c>
      <c r="B213" s="67" t="n"/>
      <c r="C213" s="55" t="n"/>
      <c r="D213" s="68" t="n"/>
      <c r="E213" s="68" t="n"/>
      <c r="F213" s="59">
        <f>IF(OR(E213="",D213=""),"",MAX(E213-D213,0))</f>
        <v/>
      </c>
      <c r="G213" s="59">
        <f>IF(F213="","",IF(N(C213)=0,1,C213))</f>
        <v/>
      </c>
      <c r="H213" s="53" t="n">
        <v>193</v>
      </c>
      <c r="I213" s="67" t="n"/>
      <c r="J213" s="55" t="n"/>
      <c r="K213" s="68" t="n"/>
      <c r="L213" s="68" t="n"/>
      <c r="M213" s="59">
        <f>IF(OR(L213="",K213=""),"",MAX(L213-K213,0))</f>
        <v/>
      </c>
      <c r="N213" s="59">
        <f>IF(M213="","",IF(N(J213)=0,1,J213))</f>
        <v/>
      </c>
    </row>
    <row r="214">
      <c r="A214" s="53" t="n">
        <v>194</v>
      </c>
      <c r="B214" s="67" t="n"/>
      <c r="C214" s="55" t="n"/>
      <c r="D214" s="68" t="n"/>
      <c r="E214" s="68" t="n"/>
      <c r="F214" s="59">
        <f>IF(OR(E214="",D214=""),"",MAX(E214-D214,0))</f>
        <v/>
      </c>
      <c r="G214" s="59">
        <f>IF(F214="","",IF(N(C214)=0,1,C214))</f>
        <v/>
      </c>
      <c r="H214" s="53" t="n">
        <v>194</v>
      </c>
      <c r="I214" s="67" t="n"/>
      <c r="J214" s="55" t="n"/>
      <c r="K214" s="68" t="n"/>
      <c r="L214" s="68" t="n"/>
      <c r="M214" s="59">
        <f>IF(OR(L214="",K214=""),"",MAX(L214-K214,0))</f>
        <v/>
      </c>
      <c r="N214" s="59">
        <f>IF(M214="","",IF(N(J214)=0,1,J214))</f>
        <v/>
      </c>
    </row>
    <row r="215">
      <c r="A215" s="53" t="n">
        <v>195</v>
      </c>
      <c r="B215" s="67" t="n"/>
      <c r="C215" s="55" t="n"/>
      <c r="D215" s="68" t="n"/>
      <c r="E215" s="68" t="n"/>
      <c r="F215" s="59">
        <f>IF(OR(E215="",D215=""),"",MAX(E215-D215,0))</f>
        <v/>
      </c>
      <c r="G215" s="59">
        <f>IF(F215="","",IF(N(C215)=0,1,C215))</f>
        <v/>
      </c>
      <c r="H215" s="53" t="n">
        <v>195</v>
      </c>
      <c r="I215" s="67" t="n"/>
      <c r="J215" s="55" t="n"/>
      <c r="K215" s="68" t="n"/>
      <c r="L215" s="68" t="n"/>
      <c r="M215" s="59">
        <f>IF(OR(L215="",K215=""),"",MAX(L215-K215,0))</f>
        <v/>
      </c>
      <c r="N215" s="59">
        <f>IF(M215="","",IF(N(J215)=0,1,J215))</f>
        <v/>
      </c>
    </row>
    <row r="216">
      <c r="A216" s="53" t="n">
        <v>196</v>
      </c>
      <c r="B216" s="67" t="n"/>
      <c r="C216" s="55" t="n"/>
      <c r="D216" s="68" t="n"/>
      <c r="E216" s="68" t="n"/>
      <c r="F216" s="59">
        <f>IF(OR(E216="",D216=""),"",MAX(E216-D216,0))</f>
        <v/>
      </c>
      <c r="G216" s="59">
        <f>IF(F216="","",IF(N(C216)=0,1,C216))</f>
        <v/>
      </c>
      <c r="H216" s="53" t="n">
        <v>196</v>
      </c>
      <c r="I216" s="67" t="n"/>
      <c r="J216" s="55" t="n"/>
      <c r="K216" s="68" t="n"/>
      <c r="L216" s="68" t="n"/>
      <c r="M216" s="59">
        <f>IF(OR(L216="",K216=""),"",MAX(L216-K216,0))</f>
        <v/>
      </c>
      <c r="N216" s="59">
        <f>IF(M216="","",IF(N(J216)=0,1,J216))</f>
        <v/>
      </c>
    </row>
    <row r="217">
      <c r="A217" s="53" t="n">
        <v>197</v>
      </c>
      <c r="B217" s="67" t="n"/>
      <c r="C217" s="55" t="n"/>
      <c r="D217" s="68" t="n"/>
      <c r="E217" s="68" t="n"/>
      <c r="F217" s="59">
        <f>IF(OR(E217="",D217=""),"",MAX(E217-D217,0))</f>
        <v/>
      </c>
      <c r="G217" s="59">
        <f>IF(F217="","",IF(N(C217)=0,1,C217))</f>
        <v/>
      </c>
      <c r="H217" s="53" t="n">
        <v>197</v>
      </c>
      <c r="I217" s="67" t="n"/>
      <c r="J217" s="55" t="n"/>
      <c r="K217" s="68" t="n"/>
      <c r="L217" s="68" t="n"/>
      <c r="M217" s="59">
        <f>IF(OR(L217="",K217=""),"",MAX(L217-K217,0))</f>
        <v/>
      </c>
      <c r="N217" s="59">
        <f>IF(M217="","",IF(N(J217)=0,1,J217))</f>
        <v/>
      </c>
    </row>
    <row r="218">
      <c r="A218" s="53" t="n">
        <v>198</v>
      </c>
      <c r="B218" s="67" t="n"/>
      <c r="C218" s="55" t="n"/>
      <c r="D218" s="68" t="n"/>
      <c r="E218" s="68" t="n"/>
      <c r="F218" s="59">
        <f>IF(OR(E218="",D218=""),"",MAX(E218-D218,0))</f>
        <v/>
      </c>
      <c r="G218" s="59">
        <f>IF(F218="","",IF(N(C218)=0,1,C218))</f>
        <v/>
      </c>
      <c r="H218" s="53" t="n">
        <v>198</v>
      </c>
      <c r="I218" s="67" t="n"/>
      <c r="J218" s="55" t="n"/>
      <c r="K218" s="68" t="n"/>
      <c r="L218" s="68" t="n"/>
      <c r="M218" s="59">
        <f>IF(OR(L218="",K218=""),"",MAX(L218-K218,0))</f>
        <v/>
      </c>
      <c r="N218" s="59">
        <f>IF(M218="","",IF(N(J218)=0,1,J218))</f>
        <v/>
      </c>
    </row>
    <row r="219">
      <c r="A219" s="53" t="n">
        <v>199</v>
      </c>
      <c r="B219" s="67" t="n"/>
      <c r="C219" s="55" t="n"/>
      <c r="D219" s="68" t="n"/>
      <c r="E219" s="68" t="n"/>
      <c r="F219" s="59">
        <f>IF(OR(E219="",D219=""),"",MAX(E219-D219,0))</f>
        <v/>
      </c>
      <c r="G219" s="59">
        <f>IF(F219="","",IF(N(C219)=0,1,C219))</f>
        <v/>
      </c>
      <c r="H219" s="53" t="n">
        <v>199</v>
      </c>
      <c r="I219" s="67" t="n"/>
      <c r="J219" s="55" t="n"/>
      <c r="K219" s="68" t="n"/>
      <c r="L219" s="68" t="n"/>
      <c r="M219" s="59">
        <f>IF(OR(L219="",K219=""),"",MAX(L219-K219,0))</f>
        <v/>
      </c>
      <c r="N219" s="59">
        <f>IF(M219="","",IF(N(J219)=0,1,J219))</f>
        <v/>
      </c>
    </row>
    <row r="220">
      <c r="A220" s="53" t="n">
        <v>200</v>
      </c>
      <c r="B220" s="67" t="n"/>
      <c r="C220" s="55" t="n"/>
      <c r="D220" s="68" t="n"/>
      <c r="E220" s="68" t="n"/>
      <c r="F220" s="59">
        <f>IF(OR(E220="",D220=""),"",MAX(E220-D220,0))</f>
        <v/>
      </c>
      <c r="G220" s="59">
        <f>IF(F220="","",IF(N(C220)=0,1,C220))</f>
        <v/>
      </c>
      <c r="H220" s="53" t="n">
        <v>200</v>
      </c>
      <c r="I220" s="67" t="n"/>
      <c r="J220" s="55" t="n"/>
      <c r="K220" s="68" t="n"/>
      <c r="L220" s="68" t="n"/>
      <c r="M220" s="59">
        <f>IF(OR(L220="",K220=""),"",MAX(L220-K220,0))</f>
        <v/>
      </c>
      <c r="N220" s="59">
        <f>IF(M220="","",IF(N(J220)=0,1,J220))</f>
        <v/>
      </c>
    </row>
    <row r="221">
      <c r="A221" s="53" t="n">
        <v>201</v>
      </c>
      <c r="B221" s="67" t="n"/>
      <c r="C221" s="55" t="n"/>
      <c r="D221" s="68" t="n"/>
      <c r="E221" s="68" t="n"/>
      <c r="F221" s="59">
        <f>IF(OR(E221="",D221=""),"",MAX(E221-D221,0))</f>
        <v/>
      </c>
      <c r="G221" s="59">
        <f>IF(F221="","",IF(N(C221)=0,1,C221))</f>
        <v/>
      </c>
      <c r="H221" s="53" t="n">
        <v>201</v>
      </c>
      <c r="I221" s="67" t="n"/>
      <c r="J221" s="55" t="n"/>
      <c r="K221" s="68" t="n"/>
      <c r="L221" s="68" t="n"/>
      <c r="M221" s="59">
        <f>IF(OR(L221="",K221=""),"",MAX(L221-K221,0))</f>
        <v/>
      </c>
      <c r="N221" s="59">
        <f>IF(M221="","",IF(N(J221)=0,1,J221))</f>
        <v/>
      </c>
    </row>
    <row r="222">
      <c r="A222" s="53" t="n">
        <v>202</v>
      </c>
      <c r="B222" s="67" t="n"/>
      <c r="C222" s="55" t="n"/>
      <c r="D222" s="68" t="n"/>
      <c r="E222" s="68" t="n"/>
      <c r="F222" s="59">
        <f>IF(OR(E222="",D222=""),"",MAX(E222-D222,0))</f>
        <v/>
      </c>
      <c r="G222" s="59">
        <f>IF(F222="","",IF(N(C222)=0,1,C222))</f>
        <v/>
      </c>
      <c r="H222" s="53" t="n">
        <v>202</v>
      </c>
      <c r="I222" s="67" t="n"/>
      <c r="J222" s="55" t="n"/>
      <c r="K222" s="68" t="n"/>
      <c r="L222" s="68" t="n"/>
      <c r="M222" s="59">
        <f>IF(OR(L222="",K222=""),"",MAX(L222-K222,0))</f>
        <v/>
      </c>
      <c r="N222" s="59">
        <f>IF(M222="","",IF(N(J222)=0,1,J222))</f>
        <v/>
      </c>
    </row>
    <row r="223">
      <c r="A223" s="53" t="n">
        <v>203</v>
      </c>
      <c r="B223" s="67" t="n"/>
      <c r="C223" s="55" t="n"/>
      <c r="D223" s="68" t="n"/>
      <c r="E223" s="68" t="n"/>
      <c r="F223" s="59">
        <f>IF(OR(E223="",D223=""),"",MAX(E223-D223,0))</f>
        <v/>
      </c>
      <c r="G223" s="59">
        <f>IF(F223="","",IF(N(C223)=0,1,C223))</f>
        <v/>
      </c>
      <c r="H223" s="53" t="n">
        <v>203</v>
      </c>
      <c r="I223" s="67" t="n"/>
      <c r="J223" s="55" t="n"/>
      <c r="K223" s="68" t="n"/>
      <c r="L223" s="68" t="n"/>
      <c r="M223" s="59">
        <f>IF(OR(L223="",K223=""),"",MAX(L223-K223,0))</f>
        <v/>
      </c>
      <c r="N223" s="59">
        <f>IF(M223="","",IF(N(J223)=0,1,J223))</f>
        <v/>
      </c>
    </row>
    <row r="224">
      <c r="A224" s="53" t="n">
        <v>204</v>
      </c>
      <c r="B224" s="67" t="n"/>
      <c r="C224" s="55" t="n"/>
      <c r="D224" s="68" t="n"/>
      <c r="E224" s="68" t="n"/>
      <c r="F224" s="59">
        <f>IF(OR(E224="",D224=""),"",MAX(E224-D224,0))</f>
        <v/>
      </c>
      <c r="G224" s="59">
        <f>IF(F224="","",IF(N(C224)=0,1,C224))</f>
        <v/>
      </c>
      <c r="H224" s="53" t="n">
        <v>204</v>
      </c>
      <c r="I224" s="67" t="n"/>
      <c r="J224" s="55" t="n"/>
      <c r="K224" s="68" t="n"/>
      <c r="L224" s="68" t="n"/>
      <c r="M224" s="59">
        <f>IF(OR(L224="",K224=""),"",MAX(L224-K224,0))</f>
        <v/>
      </c>
      <c r="N224" s="59">
        <f>IF(M224="","",IF(N(J224)=0,1,J224))</f>
        <v/>
      </c>
    </row>
    <row r="225">
      <c r="A225" s="53" t="n">
        <v>205</v>
      </c>
      <c r="B225" s="67" t="n"/>
      <c r="C225" s="55" t="n"/>
      <c r="D225" s="68" t="n"/>
      <c r="E225" s="68" t="n"/>
      <c r="F225" s="59">
        <f>IF(OR(E225="",D225=""),"",MAX(E225-D225,0))</f>
        <v/>
      </c>
      <c r="G225" s="59">
        <f>IF(F225="","",IF(N(C225)=0,1,C225))</f>
        <v/>
      </c>
      <c r="H225" s="53" t="n">
        <v>205</v>
      </c>
      <c r="I225" s="67" t="n"/>
      <c r="J225" s="55" t="n"/>
      <c r="K225" s="68" t="n"/>
      <c r="L225" s="68" t="n"/>
      <c r="M225" s="59">
        <f>IF(OR(L225="",K225=""),"",MAX(L225-K225,0))</f>
        <v/>
      </c>
      <c r="N225" s="59">
        <f>IF(M225="","",IF(N(J225)=0,1,J225))</f>
        <v/>
      </c>
    </row>
    <row r="226">
      <c r="A226" s="53" t="n">
        <v>206</v>
      </c>
      <c r="B226" s="67" t="n"/>
      <c r="C226" s="55" t="n"/>
      <c r="D226" s="68" t="n"/>
      <c r="E226" s="68" t="n"/>
      <c r="F226" s="59">
        <f>IF(OR(E226="",D226=""),"",MAX(E226-D226,0))</f>
        <v/>
      </c>
      <c r="G226" s="59">
        <f>IF(F226="","",IF(N(C226)=0,1,C226))</f>
        <v/>
      </c>
      <c r="H226" s="53" t="n">
        <v>206</v>
      </c>
      <c r="I226" s="67" t="n"/>
      <c r="J226" s="55" t="n"/>
      <c r="K226" s="68" t="n"/>
      <c r="L226" s="68" t="n"/>
      <c r="M226" s="59">
        <f>IF(OR(L226="",K226=""),"",MAX(L226-K226,0))</f>
        <v/>
      </c>
      <c r="N226" s="59">
        <f>IF(M226="","",IF(N(J226)=0,1,J226))</f>
        <v/>
      </c>
    </row>
    <row r="227">
      <c r="A227" s="53" t="n">
        <v>207</v>
      </c>
      <c r="B227" s="67" t="n"/>
      <c r="C227" s="55" t="n"/>
      <c r="D227" s="68" t="n"/>
      <c r="E227" s="68" t="n"/>
      <c r="F227" s="59">
        <f>IF(OR(E227="",D227=""),"",MAX(E227-D227,0))</f>
        <v/>
      </c>
      <c r="G227" s="59">
        <f>IF(F227="","",IF(N(C227)=0,1,C227))</f>
        <v/>
      </c>
      <c r="H227" s="53" t="n">
        <v>207</v>
      </c>
      <c r="I227" s="67" t="n"/>
      <c r="J227" s="55" t="n"/>
      <c r="K227" s="68" t="n"/>
      <c r="L227" s="68" t="n"/>
      <c r="M227" s="59">
        <f>IF(OR(L227="",K227=""),"",MAX(L227-K227,0))</f>
        <v/>
      </c>
      <c r="N227" s="59">
        <f>IF(M227="","",IF(N(J227)=0,1,J227))</f>
        <v/>
      </c>
    </row>
    <row r="228">
      <c r="A228" s="53" t="n">
        <v>208</v>
      </c>
      <c r="B228" s="67" t="n"/>
      <c r="C228" s="55" t="n"/>
      <c r="D228" s="68" t="n"/>
      <c r="E228" s="68" t="n"/>
      <c r="F228" s="59">
        <f>IF(OR(E228="",D228=""),"",MAX(E228-D228,0))</f>
        <v/>
      </c>
      <c r="G228" s="59">
        <f>IF(F228="","",IF(N(C228)=0,1,C228))</f>
        <v/>
      </c>
      <c r="H228" s="53" t="n">
        <v>208</v>
      </c>
      <c r="I228" s="67" t="n"/>
      <c r="J228" s="55" t="n"/>
      <c r="K228" s="68" t="n"/>
      <c r="L228" s="68" t="n"/>
      <c r="M228" s="59">
        <f>IF(OR(L228="",K228=""),"",MAX(L228-K228,0))</f>
        <v/>
      </c>
      <c r="N228" s="59">
        <f>IF(M228="","",IF(N(J228)=0,1,J228))</f>
        <v/>
      </c>
    </row>
    <row r="229">
      <c r="A229" s="53" t="n">
        <v>209</v>
      </c>
      <c r="B229" s="67" t="n"/>
      <c r="C229" s="55" t="n"/>
      <c r="D229" s="68" t="n"/>
      <c r="E229" s="68" t="n"/>
      <c r="F229" s="59">
        <f>IF(OR(E229="",D229=""),"",MAX(E229-D229,0))</f>
        <v/>
      </c>
      <c r="G229" s="59">
        <f>IF(F229="","",IF(N(C229)=0,1,C229))</f>
        <v/>
      </c>
      <c r="H229" s="53" t="n">
        <v>209</v>
      </c>
      <c r="I229" s="67" t="n"/>
      <c r="J229" s="55" t="n"/>
      <c r="K229" s="68" t="n"/>
      <c r="L229" s="68" t="n"/>
      <c r="M229" s="59">
        <f>IF(OR(L229="",K229=""),"",MAX(L229-K229,0))</f>
        <v/>
      </c>
      <c r="N229" s="59">
        <f>IF(M229="","",IF(N(J229)=0,1,J229))</f>
        <v/>
      </c>
    </row>
    <row r="230">
      <c r="A230" s="53" t="n">
        <v>210</v>
      </c>
      <c r="B230" s="67" t="n"/>
      <c r="C230" s="55" t="n"/>
      <c r="D230" s="68" t="n"/>
      <c r="E230" s="68" t="n"/>
      <c r="F230" s="59">
        <f>IF(OR(E230="",D230=""),"",MAX(E230-D230,0))</f>
        <v/>
      </c>
      <c r="G230" s="59">
        <f>IF(F230="","",IF(N(C230)=0,1,C230))</f>
        <v/>
      </c>
      <c r="H230" s="53" t="n">
        <v>210</v>
      </c>
      <c r="I230" s="67" t="n"/>
      <c r="J230" s="55" t="n"/>
      <c r="K230" s="68" t="n"/>
      <c r="L230" s="68" t="n"/>
      <c r="M230" s="59">
        <f>IF(OR(L230="",K230=""),"",MAX(L230-K230,0))</f>
        <v/>
      </c>
      <c r="N230" s="59">
        <f>IF(M230="","",IF(N(J230)=0,1,J230))</f>
        <v/>
      </c>
    </row>
    <row r="231">
      <c r="A231" s="53" t="n">
        <v>211</v>
      </c>
      <c r="B231" s="67" t="n"/>
      <c r="C231" s="55" t="n"/>
      <c r="D231" s="68" t="n"/>
      <c r="E231" s="68" t="n"/>
      <c r="F231" s="59">
        <f>IF(OR(E231="",D231=""),"",MAX(E231-D231,0))</f>
        <v/>
      </c>
      <c r="G231" s="59">
        <f>IF(F231="","",IF(N(C231)=0,1,C231))</f>
        <v/>
      </c>
      <c r="H231" s="53" t="n">
        <v>211</v>
      </c>
      <c r="I231" s="67" t="n"/>
      <c r="J231" s="55" t="n"/>
      <c r="K231" s="68" t="n"/>
      <c r="L231" s="68" t="n"/>
      <c r="M231" s="59">
        <f>IF(OR(L231="",K231=""),"",MAX(L231-K231,0))</f>
        <v/>
      </c>
      <c r="N231" s="59">
        <f>IF(M231="","",IF(N(J231)=0,1,J231))</f>
        <v/>
      </c>
    </row>
    <row r="232">
      <c r="A232" s="53" t="n">
        <v>212</v>
      </c>
      <c r="B232" s="67" t="n"/>
      <c r="C232" s="55" t="n"/>
      <c r="D232" s="68" t="n"/>
      <c r="E232" s="68" t="n"/>
      <c r="F232" s="59">
        <f>IF(OR(E232="",D232=""),"",MAX(E232-D232,0))</f>
        <v/>
      </c>
      <c r="G232" s="59">
        <f>IF(F232="","",IF(N(C232)=0,1,C232))</f>
        <v/>
      </c>
      <c r="H232" s="53" t="n">
        <v>212</v>
      </c>
      <c r="I232" s="67" t="n"/>
      <c r="J232" s="55" t="n"/>
      <c r="K232" s="68" t="n"/>
      <c r="L232" s="68" t="n"/>
      <c r="M232" s="59">
        <f>IF(OR(L232="",K232=""),"",MAX(L232-K232,0))</f>
        <v/>
      </c>
      <c r="N232" s="59">
        <f>IF(M232="","",IF(N(J232)=0,1,J232))</f>
        <v/>
      </c>
    </row>
    <row r="233">
      <c r="A233" s="53" t="n">
        <v>213</v>
      </c>
      <c r="B233" s="67" t="n"/>
      <c r="C233" s="55" t="n"/>
      <c r="D233" s="68" t="n"/>
      <c r="E233" s="68" t="n"/>
      <c r="F233" s="59">
        <f>IF(OR(E233="",D233=""),"",MAX(E233-D233,0))</f>
        <v/>
      </c>
      <c r="G233" s="59">
        <f>IF(F233="","",IF(N(C233)=0,1,C233))</f>
        <v/>
      </c>
      <c r="H233" s="53" t="n">
        <v>213</v>
      </c>
      <c r="I233" s="67" t="n"/>
      <c r="J233" s="55" t="n"/>
      <c r="K233" s="68" t="n"/>
      <c r="L233" s="68" t="n"/>
      <c r="M233" s="59">
        <f>IF(OR(L233="",K233=""),"",MAX(L233-K233,0))</f>
        <v/>
      </c>
      <c r="N233" s="59">
        <f>IF(M233="","",IF(N(J233)=0,1,J233))</f>
        <v/>
      </c>
    </row>
    <row r="234">
      <c r="A234" s="53" t="n">
        <v>214</v>
      </c>
      <c r="B234" s="67" t="n"/>
      <c r="C234" s="55" t="n"/>
      <c r="D234" s="68" t="n"/>
      <c r="E234" s="68" t="n"/>
      <c r="F234" s="59">
        <f>IF(OR(E234="",D234=""),"",MAX(E234-D234,0))</f>
        <v/>
      </c>
      <c r="G234" s="59">
        <f>IF(F234="","",IF(N(C234)=0,1,C234))</f>
        <v/>
      </c>
      <c r="H234" s="53" t="n">
        <v>214</v>
      </c>
      <c r="I234" s="67" t="n"/>
      <c r="J234" s="55" t="n"/>
      <c r="K234" s="68" t="n"/>
      <c r="L234" s="68" t="n"/>
      <c r="M234" s="59">
        <f>IF(OR(L234="",K234=""),"",MAX(L234-K234,0))</f>
        <v/>
      </c>
      <c r="N234" s="59">
        <f>IF(M234="","",IF(N(J234)=0,1,J234))</f>
        <v/>
      </c>
    </row>
    <row r="235">
      <c r="A235" s="53" t="n">
        <v>215</v>
      </c>
      <c r="B235" s="67" t="n"/>
      <c r="C235" s="55" t="n"/>
      <c r="D235" s="68" t="n"/>
      <c r="E235" s="68" t="n"/>
      <c r="F235" s="59">
        <f>IF(OR(E235="",D235=""),"",MAX(E235-D235,0))</f>
        <v/>
      </c>
      <c r="G235" s="59">
        <f>IF(F235="","",IF(N(C235)=0,1,C235))</f>
        <v/>
      </c>
      <c r="H235" s="53" t="n">
        <v>215</v>
      </c>
      <c r="I235" s="67" t="n"/>
      <c r="J235" s="55" t="n"/>
      <c r="K235" s="68" t="n"/>
      <c r="L235" s="68" t="n"/>
      <c r="M235" s="59">
        <f>IF(OR(L235="",K235=""),"",MAX(L235-K235,0))</f>
        <v/>
      </c>
      <c r="N235" s="59">
        <f>IF(M235="","",IF(N(J235)=0,1,J235))</f>
        <v/>
      </c>
    </row>
    <row r="236">
      <c r="A236" s="53" t="n">
        <v>216</v>
      </c>
      <c r="B236" s="67" t="n"/>
      <c r="C236" s="55" t="n"/>
      <c r="D236" s="68" t="n"/>
      <c r="E236" s="68" t="n"/>
      <c r="F236" s="59">
        <f>IF(OR(E236="",D236=""),"",MAX(E236-D236,0))</f>
        <v/>
      </c>
      <c r="G236" s="59">
        <f>IF(F236="","",IF(N(C236)=0,1,C236))</f>
        <v/>
      </c>
      <c r="H236" s="53" t="n">
        <v>216</v>
      </c>
      <c r="I236" s="67" t="n"/>
      <c r="J236" s="55" t="n"/>
      <c r="K236" s="68" t="n"/>
      <c r="L236" s="68" t="n"/>
      <c r="M236" s="59">
        <f>IF(OR(L236="",K236=""),"",MAX(L236-K236,0))</f>
        <v/>
      </c>
      <c r="N236" s="59">
        <f>IF(M236="","",IF(N(J236)=0,1,J236))</f>
        <v/>
      </c>
    </row>
    <row r="237">
      <c r="A237" s="53" t="n">
        <v>217</v>
      </c>
      <c r="B237" s="67" t="n"/>
      <c r="C237" s="55" t="n"/>
      <c r="D237" s="68" t="n"/>
      <c r="E237" s="68" t="n"/>
      <c r="F237" s="59">
        <f>IF(OR(E237="",D237=""),"",MAX(E237-D237,0))</f>
        <v/>
      </c>
      <c r="G237" s="59">
        <f>IF(F237="","",IF(N(C237)=0,1,C237))</f>
        <v/>
      </c>
      <c r="H237" s="53" t="n">
        <v>217</v>
      </c>
      <c r="I237" s="67" t="n"/>
      <c r="J237" s="55" t="n"/>
      <c r="K237" s="68" t="n"/>
      <c r="L237" s="68" t="n"/>
      <c r="M237" s="59">
        <f>IF(OR(L237="",K237=""),"",MAX(L237-K237,0))</f>
        <v/>
      </c>
      <c r="N237" s="59">
        <f>IF(M237="","",IF(N(J237)=0,1,J237))</f>
        <v/>
      </c>
    </row>
    <row r="238">
      <c r="A238" s="53" t="n">
        <v>218</v>
      </c>
      <c r="B238" s="67" t="n"/>
      <c r="C238" s="55" t="n"/>
      <c r="D238" s="68" t="n"/>
      <c r="E238" s="68" t="n"/>
      <c r="F238" s="59">
        <f>IF(OR(E238="",D238=""),"",MAX(E238-D238,0))</f>
        <v/>
      </c>
      <c r="G238" s="59">
        <f>IF(F238="","",IF(N(C238)=0,1,C238))</f>
        <v/>
      </c>
      <c r="H238" s="53" t="n">
        <v>218</v>
      </c>
      <c r="I238" s="67" t="n"/>
      <c r="J238" s="55" t="n"/>
      <c r="K238" s="68" t="n"/>
      <c r="L238" s="68" t="n"/>
      <c r="M238" s="59">
        <f>IF(OR(L238="",K238=""),"",MAX(L238-K238,0))</f>
        <v/>
      </c>
      <c r="N238" s="59">
        <f>IF(M238="","",IF(N(J238)=0,1,J238))</f>
        <v/>
      </c>
    </row>
    <row r="239">
      <c r="A239" s="53" t="n">
        <v>219</v>
      </c>
      <c r="B239" s="67" t="n"/>
      <c r="C239" s="55" t="n"/>
      <c r="D239" s="68" t="n"/>
      <c r="E239" s="68" t="n"/>
      <c r="F239" s="59">
        <f>IF(OR(E239="",D239=""),"",MAX(E239-D239,0))</f>
        <v/>
      </c>
      <c r="G239" s="59">
        <f>IF(F239="","",IF(N(C239)=0,1,C239))</f>
        <v/>
      </c>
      <c r="H239" s="53" t="n">
        <v>219</v>
      </c>
      <c r="I239" s="67" t="n"/>
      <c r="J239" s="55" t="n"/>
      <c r="K239" s="68" t="n"/>
      <c r="L239" s="68" t="n"/>
      <c r="M239" s="59">
        <f>IF(OR(L239="",K239=""),"",MAX(L239-K239,0))</f>
        <v/>
      </c>
      <c r="N239" s="59">
        <f>IF(M239="","",IF(N(J239)=0,1,J239))</f>
        <v/>
      </c>
    </row>
    <row r="240">
      <c r="A240" s="53" t="n">
        <v>220</v>
      </c>
      <c r="B240" s="67" t="n"/>
      <c r="C240" s="55" t="n"/>
      <c r="D240" s="68" t="n"/>
      <c r="E240" s="68" t="n"/>
      <c r="F240" s="59">
        <f>IF(OR(E240="",D240=""),"",MAX(E240-D240,0))</f>
        <v/>
      </c>
      <c r="G240" s="59">
        <f>IF(F240="","",IF(N(C240)=0,1,C240))</f>
        <v/>
      </c>
      <c r="H240" s="53" t="n">
        <v>220</v>
      </c>
      <c r="I240" s="67" t="n"/>
      <c r="J240" s="55" t="n"/>
      <c r="K240" s="68" t="n"/>
      <c r="L240" s="68" t="n"/>
      <c r="M240" s="59">
        <f>IF(OR(L240="",K240=""),"",MAX(L240-K240,0))</f>
        <v/>
      </c>
      <c r="N240" s="59">
        <f>IF(M240="","",IF(N(J240)=0,1,J240))</f>
        <v/>
      </c>
    </row>
    <row r="241">
      <c r="A241" s="53" t="n">
        <v>221</v>
      </c>
      <c r="B241" s="67" t="n"/>
      <c r="C241" s="55" t="n"/>
      <c r="D241" s="68" t="n"/>
      <c r="E241" s="68" t="n"/>
      <c r="F241" s="59">
        <f>IF(OR(E241="",D241=""),"",MAX(E241-D241,0))</f>
        <v/>
      </c>
      <c r="G241" s="59">
        <f>IF(F241="","",IF(N(C241)=0,1,C241))</f>
        <v/>
      </c>
      <c r="H241" s="53" t="n">
        <v>221</v>
      </c>
      <c r="I241" s="67" t="n"/>
      <c r="J241" s="55" t="n"/>
      <c r="K241" s="68" t="n"/>
      <c r="L241" s="68" t="n"/>
      <c r="M241" s="59">
        <f>IF(OR(L241="",K241=""),"",MAX(L241-K241,0))</f>
        <v/>
      </c>
      <c r="N241" s="59">
        <f>IF(M241="","",IF(N(J241)=0,1,J241))</f>
        <v/>
      </c>
    </row>
    <row r="242">
      <c r="A242" s="53" t="n">
        <v>222</v>
      </c>
      <c r="B242" s="67" t="n"/>
      <c r="C242" s="55" t="n"/>
      <c r="D242" s="68" t="n"/>
      <c r="E242" s="68" t="n"/>
      <c r="F242" s="59">
        <f>IF(OR(E242="",D242=""),"",MAX(E242-D242,0))</f>
        <v/>
      </c>
      <c r="G242" s="59">
        <f>IF(F242="","",IF(N(C242)=0,1,C242))</f>
        <v/>
      </c>
      <c r="H242" s="53" t="n">
        <v>222</v>
      </c>
      <c r="I242" s="67" t="n"/>
      <c r="J242" s="55" t="n"/>
      <c r="K242" s="68" t="n"/>
      <c r="L242" s="68" t="n"/>
      <c r="M242" s="59">
        <f>IF(OR(L242="",K242=""),"",MAX(L242-K242,0))</f>
        <v/>
      </c>
      <c r="N242" s="59">
        <f>IF(M242="","",IF(N(J242)=0,1,J242))</f>
        <v/>
      </c>
    </row>
    <row r="243">
      <c r="A243" s="53" t="n">
        <v>223</v>
      </c>
      <c r="B243" s="67" t="n"/>
      <c r="C243" s="55" t="n"/>
      <c r="D243" s="68" t="n"/>
      <c r="E243" s="68" t="n"/>
      <c r="F243" s="59">
        <f>IF(OR(E243="",D243=""),"",MAX(E243-D243,0))</f>
        <v/>
      </c>
      <c r="G243" s="59">
        <f>IF(F243="","",IF(N(C243)=0,1,C243))</f>
        <v/>
      </c>
      <c r="H243" s="53" t="n">
        <v>223</v>
      </c>
      <c r="I243" s="67" t="n"/>
      <c r="J243" s="55" t="n"/>
      <c r="K243" s="68" t="n"/>
      <c r="L243" s="68" t="n"/>
      <c r="M243" s="59">
        <f>IF(OR(L243="",K243=""),"",MAX(L243-K243,0))</f>
        <v/>
      </c>
      <c r="N243" s="59">
        <f>IF(M243="","",IF(N(J243)=0,1,J243))</f>
        <v/>
      </c>
    </row>
    <row r="244">
      <c r="A244" s="53" t="n">
        <v>224</v>
      </c>
      <c r="B244" s="67" t="n"/>
      <c r="C244" s="55" t="n"/>
      <c r="D244" s="68" t="n"/>
      <c r="E244" s="68" t="n"/>
      <c r="F244" s="59">
        <f>IF(OR(E244="",D244=""),"",MAX(E244-D244,0))</f>
        <v/>
      </c>
      <c r="G244" s="59">
        <f>IF(F244="","",IF(N(C244)=0,1,C244))</f>
        <v/>
      </c>
      <c r="H244" s="53" t="n">
        <v>224</v>
      </c>
      <c r="I244" s="67" t="n"/>
      <c r="J244" s="55" t="n"/>
      <c r="K244" s="68" t="n"/>
      <c r="L244" s="68" t="n"/>
      <c r="M244" s="59">
        <f>IF(OR(L244="",K244=""),"",MAX(L244-K244,0))</f>
        <v/>
      </c>
      <c r="N244" s="59">
        <f>IF(M244="","",IF(N(J244)=0,1,J244))</f>
        <v/>
      </c>
    </row>
    <row r="245">
      <c r="A245" s="53" t="n">
        <v>225</v>
      </c>
      <c r="B245" s="67" t="n"/>
      <c r="C245" s="55" t="n"/>
      <c r="D245" s="68" t="n"/>
      <c r="E245" s="68" t="n"/>
      <c r="F245" s="59">
        <f>IF(OR(E245="",D245=""),"",MAX(E245-D245,0))</f>
        <v/>
      </c>
      <c r="G245" s="59">
        <f>IF(F245="","",IF(N(C245)=0,1,C245))</f>
        <v/>
      </c>
      <c r="H245" s="53" t="n">
        <v>225</v>
      </c>
      <c r="I245" s="67" t="n"/>
      <c r="J245" s="55" t="n"/>
      <c r="K245" s="68" t="n"/>
      <c r="L245" s="68" t="n"/>
      <c r="M245" s="59">
        <f>IF(OR(L245="",K245=""),"",MAX(L245-K245,0))</f>
        <v/>
      </c>
      <c r="N245" s="59">
        <f>IF(M245="","",IF(N(J245)=0,1,J245))</f>
        <v/>
      </c>
    </row>
    <row r="246">
      <c r="A246" s="53" t="n">
        <v>226</v>
      </c>
      <c r="B246" s="67" t="n"/>
      <c r="C246" s="55" t="n"/>
      <c r="D246" s="68" t="n"/>
      <c r="E246" s="68" t="n"/>
      <c r="F246" s="59">
        <f>IF(OR(E246="",D246=""),"",MAX(E246-D246,0))</f>
        <v/>
      </c>
      <c r="G246" s="59">
        <f>IF(F246="","",IF(N(C246)=0,1,C246))</f>
        <v/>
      </c>
      <c r="H246" s="53" t="n">
        <v>226</v>
      </c>
      <c r="I246" s="67" t="n"/>
      <c r="J246" s="55" t="n"/>
      <c r="K246" s="68" t="n"/>
      <c r="L246" s="68" t="n"/>
      <c r="M246" s="59">
        <f>IF(OR(L246="",K246=""),"",MAX(L246-K246,0))</f>
        <v/>
      </c>
      <c r="N246" s="59">
        <f>IF(M246="","",IF(N(J246)=0,1,J246))</f>
        <v/>
      </c>
    </row>
    <row r="247">
      <c r="A247" s="53" t="n">
        <v>227</v>
      </c>
      <c r="B247" s="67" t="n"/>
      <c r="C247" s="55" t="n"/>
      <c r="D247" s="68" t="n"/>
      <c r="E247" s="68" t="n"/>
      <c r="F247" s="59">
        <f>IF(OR(E247="",D247=""),"",MAX(E247-D247,0))</f>
        <v/>
      </c>
      <c r="G247" s="59">
        <f>IF(F247="","",IF(N(C247)=0,1,C247))</f>
        <v/>
      </c>
      <c r="H247" s="53" t="n">
        <v>227</v>
      </c>
      <c r="I247" s="67" t="n"/>
      <c r="J247" s="55" t="n"/>
      <c r="K247" s="68" t="n"/>
      <c r="L247" s="68" t="n"/>
      <c r="M247" s="59">
        <f>IF(OR(L247="",K247=""),"",MAX(L247-K247,0))</f>
        <v/>
      </c>
      <c r="N247" s="59">
        <f>IF(M247="","",IF(N(J247)=0,1,J247))</f>
        <v/>
      </c>
    </row>
    <row r="248">
      <c r="A248" s="53" t="n">
        <v>228</v>
      </c>
      <c r="B248" s="67" t="n"/>
      <c r="C248" s="55" t="n"/>
      <c r="D248" s="68" t="n"/>
      <c r="E248" s="68" t="n"/>
      <c r="F248" s="59">
        <f>IF(OR(E248="",D248=""),"",MAX(E248-D248,0))</f>
        <v/>
      </c>
      <c r="G248" s="59">
        <f>IF(F248="","",IF(N(C248)=0,1,C248))</f>
        <v/>
      </c>
      <c r="H248" s="53" t="n">
        <v>228</v>
      </c>
      <c r="I248" s="67" t="n"/>
      <c r="J248" s="55" t="n"/>
      <c r="K248" s="68" t="n"/>
      <c r="L248" s="68" t="n"/>
      <c r="M248" s="59">
        <f>IF(OR(L248="",K248=""),"",MAX(L248-K248,0))</f>
        <v/>
      </c>
      <c r="N248" s="59">
        <f>IF(M248="","",IF(N(J248)=0,1,J248))</f>
        <v/>
      </c>
    </row>
    <row r="249">
      <c r="A249" s="53" t="n">
        <v>229</v>
      </c>
      <c r="B249" s="67" t="n"/>
      <c r="C249" s="55" t="n"/>
      <c r="D249" s="68" t="n"/>
      <c r="E249" s="68" t="n"/>
      <c r="F249" s="59">
        <f>IF(OR(E249="",D249=""),"",MAX(E249-D249,0))</f>
        <v/>
      </c>
      <c r="G249" s="59">
        <f>IF(F249="","",IF(N(C249)=0,1,C249))</f>
        <v/>
      </c>
      <c r="H249" s="53" t="n">
        <v>229</v>
      </c>
      <c r="I249" s="67" t="n"/>
      <c r="J249" s="55" t="n"/>
      <c r="K249" s="68" t="n"/>
      <c r="L249" s="68" t="n"/>
      <c r="M249" s="59">
        <f>IF(OR(L249="",K249=""),"",MAX(L249-K249,0))</f>
        <v/>
      </c>
      <c r="N249" s="59">
        <f>IF(M249="","",IF(N(J249)=0,1,J249))</f>
        <v/>
      </c>
    </row>
    <row r="250">
      <c r="A250" s="53" t="n">
        <v>230</v>
      </c>
      <c r="B250" s="67" t="n"/>
      <c r="C250" s="55" t="n"/>
      <c r="D250" s="68" t="n"/>
      <c r="E250" s="68" t="n"/>
      <c r="F250" s="59">
        <f>IF(OR(E250="",D250=""),"",MAX(E250-D250,0))</f>
        <v/>
      </c>
      <c r="G250" s="59">
        <f>IF(F250="","",IF(N(C250)=0,1,C250))</f>
        <v/>
      </c>
      <c r="H250" s="53" t="n">
        <v>230</v>
      </c>
      <c r="I250" s="67" t="n"/>
      <c r="J250" s="55" t="n"/>
      <c r="K250" s="68" t="n"/>
      <c r="L250" s="68" t="n"/>
      <c r="M250" s="59">
        <f>IF(OR(L250="",K250=""),"",MAX(L250-K250,0))</f>
        <v/>
      </c>
      <c r="N250" s="59">
        <f>IF(M250="","",IF(N(J250)=0,1,J250))</f>
        <v/>
      </c>
    </row>
    <row r="251">
      <c r="A251" s="53" t="n">
        <v>231</v>
      </c>
      <c r="B251" s="67" t="n"/>
      <c r="C251" s="55" t="n"/>
      <c r="D251" s="68" t="n"/>
      <c r="E251" s="68" t="n"/>
      <c r="F251" s="59">
        <f>IF(OR(E251="",D251=""),"",MAX(E251-D251,0))</f>
        <v/>
      </c>
      <c r="G251" s="59">
        <f>IF(F251="","",IF(N(C251)=0,1,C251))</f>
        <v/>
      </c>
      <c r="H251" s="53" t="n">
        <v>231</v>
      </c>
      <c r="I251" s="67" t="n"/>
      <c r="J251" s="55" t="n"/>
      <c r="K251" s="68" t="n"/>
      <c r="L251" s="68" t="n"/>
      <c r="M251" s="59">
        <f>IF(OR(L251="",K251=""),"",MAX(L251-K251,0))</f>
        <v/>
      </c>
      <c r="N251" s="59">
        <f>IF(M251="","",IF(N(J251)=0,1,J251))</f>
        <v/>
      </c>
    </row>
    <row r="252">
      <c r="A252" s="53" t="n">
        <v>232</v>
      </c>
      <c r="B252" s="67" t="n"/>
      <c r="C252" s="55" t="n"/>
      <c r="D252" s="68" t="n"/>
      <c r="E252" s="68" t="n"/>
      <c r="F252" s="59">
        <f>IF(OR(E252="",D252=""),"",MAX(E252-D252,0))</f>
        <v/>
      </c>
      <c r="G252" s="59">
        <f>IF(F252="","",IF(N(C252)=0,1,C252))</f>
        <v/>
      </c>
      <c r="H252" s="53" t="n">
        <v>232</v>
      </c>
      <c r="I252" s="67" t="n"/>
      <c r="J252" s="55" t="n"/>
      <c r="K252" s="68" t="n"/>
      <c r="L252" s="68" t="n"/>
      <c r="M252" s="59">
        <f>IF(OR(L252="",K252=""),"",MAX(L252-K252,0))</f>
        <v/>
      </c>
      <c r="N252" s="59">
        <f>IF(M252="","",IF(N(J252)=0,1,J252))</f>
        <v/>
      </c>
    </row>
    <row r="253">
      <c r="A253" s="53" t="n">
        <v>233</v>
      </c>
      <c r="B253" s="67" t="n"/>
      <c r="C253" s="55" t="n"/>
      <c r="D253" s="68" t="n"/>
      <c r="E253" s="68" t="n"/>
      <c r="F253" s="59">
        <f>IF(OR(E253="",D253=""),"",MAX(E253-D253,0))</f>
        <v/>
      </c>
      <c r="G253" s="59">
        <f>IF(F253="","",IF(N(C253)=0,1,C253))</f>
        <v/>
      </c>
      <c r="H253" s="53" t="n">
        <v>233</v>
      </c>
      <c r="I253" s="67" t="n"/>
      <c r="J253" s="55" t="n"/>
      <c r="K253" s="68" t="n"/>
      <c r="L253" s="68" t="n"/>
      <c r="M253" s="59">
        <f>IF(OR(L253="",K253=""),"",MAX(L253-K253,0))</f>
        <v/>
      </c>
      <c r="N253" s="59">
        <f>IF(M253="","",IF(N(J253)=0,1,J253))</f>
        <v/>
      </c>
    </row>
    <row r="254">
      <c r="A254" s="53" t="n">
        <v>234</v>
      </c>
      <c r="B254" s="67" t="n"/>
      <c r="C254" s="55" t="n"/>
      <c r="D254" s="68" t="n"/>
      <c r="E254" s="68" t="n"/>
      <c r="F254" s="59">
        <f>IF(OR(E254="",D254=""),"",MAX(E254-D254,0))</f>
        <v/>
      </c>
      <c r="G254" s="59">
        <f>IF(F254="","",IF(N(C254)=0,1,C254))</f>
        <v/>
      </c>
      <c r="H254" s="53" t="n">
        <v>234</v>
      </c>
      <c r="I254" s="67" t="n"/>
      <c r="J254" s="55" t="n"/>
      <c r="K254" s="68" t="n"/>
      <c r="L254" s="68" t="n"/>
      <c r="M254" s="59">
        <f>IF(OR(L254="",K254=""),"",MAX(L254-K254,0))</f>
        <v/>
      </c>
      <c r="N254" s="59">
        <f>IF(M254="","",IF(N(J254)=0,1,J254))</f>
        <v/>
      </c>
    </row>
    <row r="255">
      <c r="A255" s="53" t="n">
        <v>235</v>
      </c>
      <c r="B255" s="67" t="n"/>
      <c r="C255" s="55" t="n"/>
      <c r="D255" s="68" t="n"/>
      <c r="E255" s="68" t="n"/>
      <c r="F255" s="59">
        <f>IF(OR(E255="",D255=""),"",MAX(E255-D255,0))</f>
        <v/>
      </c>
      <c r="G255" s="59">
        <f>IF(F255="","",IF(N(C255)=0,1,C255))</f>
        <v/>
      </c>
      <c r="H255" s="53" t="n">
        <v>235</v>
      </c>
      <c r="I255" s="67" t="n"/>
      <c r="J255" s="55" t="n"/>
      <c r="K255" s="68" t="n"/>
      <c r="L255" s="68" t="n"/>
      <c r="M255" s="59">
        <f>IF(OR(L255="",K255=""),"",MAX(L255-K255,0))</f>
        <v/>
      </c>
      <c r="N255" s="59">
        <f>IF(M255="","",IF(N(J255)=0,1,J255))</f>
        <v/>
      </c>
    </row>
    <row r="256">
      <c r="A256" s="53" t="n">
        <v>236</v>
      </c>
      <c r="B256" s="67" t="n"/>
      <c r="C256" s="55" t="n"/>
      <c r="D256" s="68" t="n"/>
      <c r="E256" s="68" t="n"/>
      <c r="F256" s="59">
        <f>IF(OR(E256="",D256=""),"",MAX(E256-D256,0))</f>
        <v/>
      </c>
      <c r="G256" s="59">
        <f>IF(F256="","",IF(N(C256)=0,1,C256))</f>
        <v/>
      </c>
      <c r="H256" s="53" t="n">
        <v>236</v>
      </c>
      <c r="I256" s="67" t="n"/>
      <c r="J256" s="55" t="n"/>
      <c r="K256" s="68" t="n"/>
      <c r="L256" s="68" t="n"/>
      <c r="M256" s="59">
        <f>IF(OR(L256="",K256=""),"",MAX(L256-K256,0))</f>
        <v/>
      </c>
      <c r="N256" s="59">
        <f>IF(M256="","",IF(N(J256)=0,1,J256))</f>
        <v/>
      </c>
    </row>
    <row r="257">
      <c r="A257" s="53" t="n">
        <v>237</v>
      </c>
      <c r="B257" s="67" t="n"/>
      <c r="C257" s="55" t="n"/>
      <c r="D257" s="68" t="n"/>
      <c r="E257" s="68" t="n"/>
      <c r="F257" s="59">
        <f>IF(OR(E257="",D257=""),"",MAX(E257-D257,0))</f>
        <v/>
      </c>
      <c r="G257" s="59">
        <f>IF(F257="","",IF(N(C257)=0,1,C257))</f>
        <v/>
      </c>
      <c r="H257" s="53" t="n">
        <v>237</v>
      </c>
      <c r="I257" s="67" t="n"/>
      <c r="J257" s="55" t="n"/>
      <c r="K257" s="68" t="n"/>
      <c r="L257" s="68" t="n"/>
      <c r="M257" s="59">
        <f>IF(OR(L257="",K257=""),"",MAX(L257-K257,0))</f>
        <v/>
      </c>
      <c r="N257" s="59">
        <f>IF(M257="","",IF(N(J257)=0,1,J257))</f>
        <v/>
      </c>
    </row>
    <row r="258">
      <c r="A258" s="53" t="n">
        <v>238</v>
      </c>
      <c r="B258" s="67" t="n"/>
      <c r="C258" s="55" t="n"/>
      <c r="D258" s="68" t="n"/>
      <c r="E258" s="68" t="n"/>
      <c r="F258" s="59">
        <f>IF(OR(E258="",D258=""),"",MAX(E258-D258,0))</f>
        <v/>
      </c>
      <c r="G258" s="59">
        <f>IF(F258="","",IF(N(C258)=0,1,C258))</f>
        <v/>
      </c>
      <c r="H258" s="53" t="n">
        <v>238</v>
      </c>
      <c r="I258" s="67" t="n"/>
      <c r="J258" s="55" t="n"/>
      <c r="K258" s="68" t="n"/>
      <c r="L258" s="68" t="n"/>
      <c r="M258" s="59">
        <f>IF(OR(L258="",K258=""),"",MAX(L258-K258,0))</f>
        <v/>
      </c>
      <c r="N258" s="59">
        <f>IF(M258="","",IF(N(J258)=0,1,J258))</f>
        <v/>
      </c>
    </row>
    <row r="259">
      <c r="A259" s="53" t="n">
        <v>239</v>
      </c>
      <c r="B259" s="67" t="n"/>
      <c r="C259" s="55" t="n"/>
      <c r="D259" s="68" t="n"/>
      <c r="E259" s="68" t="n"/>
      <c r="F259" s="59">
        <f>IF(OR(E259="",D259=""),"",MAX(E259-D259,0))</f>
        <v/>
      </c>
      <c r="G259" s="59">
        <f>IF(F259="","",IF(N(C259)=0,1,C259))</f>
        <v/>
      </c>
      <c r="H259" s="53" t="n">
        <v>239</v>
      </c>
      <c r="I259" s="67" t="n"/>
      <c r="J259" s="55" t="n"/>
      <c r="K259" s="68" t="n"/>
      <c r="L259" s="68" t="n"/>
      <c r="M259" s="59">
        <f>IF(OR(L259="",K259=""),"",MAX(L259-K259,0))</f>
        <v/>
      </c>
      <c r="N259" s="59">
        <f>IF(M259="","",IF(N(J259)=0,1,J259))</f>
        <v/>
      </c>
    </row>
    <row r="260">
      <c r="A260" s="53" t="n">
        <v>240</v>
      </c>
      <c r="B260" s="67" t="n"/>
      <c r="C260" s="55" t="n"/>
      <c r="D260" s="68" t="n"/>
      <c r="E260" s="68" t="n"/>
      <c r="F260" s="59">
        <f>IF(OR(E260="",D260=""),"",MAX(E260-D260,0))</f>
        <v/>
      </c>
      <c r="G260" s="59">
        <f>IF(F260="","",IF(N(C260)=0,1,C260))</f>
        <v/>
      </c>
      <c r="H260" s="53" t="n">
        <v>240</v>
      </c>
      <c r="I260" s="67" t="n"/>
      <c r="J260" s="55" t="n"/>
      <c r="K260" s="68" t="n"/>
      <c r="L260" s="68" t="n"/>
      <c r="M260" s="59">
        <f>IF(OR(L260="",K260=""),"",MAX(L260-K260,0))</f>
        <v/>
      </c>
      <c r="N260" s="59">
        <f>IF(M260="","",IF(N(J260)=0,1,J260))</f>
        <v/>
      </c>
    </row>
    <row r="261">
      <c r="A261" s="53" t="n">
        <v>241</v>
      </c>
      <c r="B261" s="67" t="n"/>
      <c r="C261" s="55" t="n"/>
      <c r="D261" s="68" t="n"/>
      <c r="E261" s="68" t="n"/>
      <c r="F261" s="59">
        <f>IF(OR(E261="",D261=""),"",MAX(E261-D261,0))</f>
        <v/>
      </c>
      <c r="G261" s="59">
        <f>IF(F261="","",IF(N(C261)=0,1,C261))</f>
        <v/>
      </c>
      <c r="H261" s="53" t="n">
        <v>241</v>
      </c>
      <c r="I261" s="67" t="n"/>
      <c r="J261" s="55" t="n"/>
      <c r="K261" s="68" t="n"/>
      <c r="L261" s="68" t="n"/>
      <c r="M261" s="59">
        <f>IF(OR(L261="",K261=""),"",MAX(L261-K261,0))</f>
        <v/>
      </c>
      <c r="N261" s="59">
        <f>IF(M261="","",IF(N(J261)=0,1,J261))</f>
        <v/>
      </c>
    </row>
    <row r="262">
      <c r="A262" s="53" t="n">
        <v>242</v>
      </c>
      <c r="B262" s="67" t="n"/>
      <c r="C262" s="55" t="n"/>
      <c r="D262" s="68" t="n"/>
      <c r="E262" s="68" t="n"/>
      <c r="F262" s="59">
        <f>IF(OR(E262="",D262=""),"",MAX(E262-D262,0))</f>
        <v/>
      </c>
      <c r="G262" s="59">
        <f>IF(F262="","",IF(N(C262)=0,1,C262))</f>
        <v/>
      </c>
      <c r="H262" s="53" t="n">
        <v>242</v>
      </c>
      <c r="I262" s="67" t="n"/>
      <c r="J262" s="55" t="n"/>
      <c r="K262" s="68" t="n"/>
      <c r="L262" s="68" t="n"/>
      <c r="M262" s="59">
        <f>IF(OR(L262="",K262=""),"",MAX(L262-K262,0))</f>
        <v/>
      </c>
      <c r="N262" s="59">
        <f>IF(M262="","",IF(N(J262)=0,1,J262))</f>
        <v/>
      </c>
    </row>
    <row r="263">
      <c r="A263" s="53" t="n">
        <v>243</v>
      </c>
      <c r="B263" s="67" t="n"/>
      <c r="C263" s="55" t="n"/>
      <c r="D263" s="68" t="n"/>
      <c r="E263" s="68" t="n"/>
      <c r="F263" s="59">
        <f>IF(OR(E263="",D263=""),"",MAX(E263-D263,0))</f>
        <v/>
      </c>
      <c r="G263" s="59">
        <f>IF(F263="","",IF(N(C263)=0,1,C263))</f>
        <v/>
      </c>
      <c r="H263" s="53" t="n">
        <v>243</v>
      </c>
      <c r="I263" s="67" t="n"/>
      <c r="J263" s="55" t="n"/>
      <c r="K263" s="68" t="n"/>
      <c r="L263" s="68" t="n"/>
      <c r="M263" s="59">
        <f>IF(OR(L263="",K263=""),"",MAX(L263-K263,0))</f>
        <v/>
      </c>
      <c r="N263" s="59">
        <f>IF(M263="","",IF(N(J263)=0,1,J263))</f>
        <v/>
      </c>
    </row>
    <row r="264">
      <c r="A264" s="53" t="n">
        <v>244</v>
      </c>
      <c r="B264" s="67" t="n"/>
      <c r="C264" s="55" t="n"/>
      <c r="D264" s="68" t="n"/>
      <c r="E264" s="68" t="n"/>
      <c r="F264" s="59">
        <f>IF(OR(E264="",D264=""),"",MAX(E264-D264,0))</f>
        <v/>
      </c>
      <c r="G264" s="59">
        <f>IF(F264="","",IF(N(C264)=0,1,C264))</f>
        <v/>
      </c>
      <c r="H264" s="53" t="n">
        <v>244</v>
      </c>
      <c r="I264" s="67" t="n"/>
      <c r="J264" s="55" t="n"/>
      <c r="K264" s="68" t="n"/>
      <c r="L264" s="68" t="n"/>
      <c r="M264" s="59">
        <f>IF(OR(L264="",K264=""),"",MAX(L264-K264,0))</f>
        <v/>
      </c>
      <c r="N264" s="59">
        <f>IF(M264="","",IF(N(J264)=0,1,J264))</f>
        <v/>
      </c>
    </row>
    <row r="265">
      <c r="A265" s="53" t="n">
        <v>245</v>
      </c>
      <c r="B265" s="67" t="n"/>
      <c r="C265" s="55" t="n"/>
      <c r="D265" s="68" t="n"/>
      <c r="E265" s="68" t="n"/>
      <c r="F265" s="59">
        <f>IF(OR(E265="",D265=""),"",MAX(E265-D265,0))</f>
        <v/>
      </c>
      <c r="G265" s="59">
        <f>IF(F265="","",IF(N(C265)=0,1,C265))</f>
        <v/>
      </c>
      <c r="H265" s="53" t="n">
        <v>245</v>
      </c>
      <c r="I265" s="67" t="n"/>
      <c r="J265" s="55" t="n"/>
      <c r="K265" s="68" t="n"/>
      <c r="L265" s="68" t="n"/>
      <c r="M265" s="59">
        <f>IF(OR(L265="",K265=""),"",MAX(L265-K265,0))</f>
        <v/>
      </c>
      <c r="N265" s="59">
        <f>IF(M265="","",IF(N(J265)=0,1,J265))</f>
        <v/>
      </c>
    </row>
    <row r="266">
      <c r="A266" s="53" t="n">
        <v>246</v>
      </c>
      <c r="B266" s="67" t="n"/>
      <c r="C266" s="55" t="n"/>
      <c r="D266" s="68" t="n"/>
      <c r="E266" s="68" t="n"/>
      <c r="F266" s="59">
        <f>IF(OR(E266="",D266=""),"",MAX(E266-D266,0))</f>
        <v/>
      </c>
      <c r="G266" s="59">
        <f>IF(F266="","",IF(N(C266)=0,1,C266))</f>
        <v/>
      </c>
      <c r="H266" s="53" t="n">
        <v>246</v>
      </c>
      <c r="I266" s="67" t="n"/>
      <c r="J266" s="55" t="n"/>
      <c r="K266" s="68" t="n"/>
      <c r="L266" s="68" t="n"/>
      <c r="M266" s="59">
        <f>IF(OR(L266="",K266=""),"",MAX(L266-K266,0))</f>
        <v/>
      </c>
      <c r="N266" s="59">
        <f>IF(M266="","",IF(N(J266)=0,1,J266))</f>
        <v/>
      </c>
    </row>
    <row r="267">
      <c r="A267" s="53" t="n">
        <v>247</v>
      </c>
      <c r="B267" s="67" t="n"/>
      <c r="C267" s="55" t="n"/>
      <c r="D267" s="68" t="n"/>
      <c r="E267" s="68" t="n"/>
      <c r="F267" s="59">
        <f>IF(OR(E267="",D267=""),"",MAX(E267-D267,0))</f>
        <v/>
      </c>
      <c r="G267" s="59">
        <f>IF(F267="","",IF(N(C267)=0,1,C267))</f>
        <v/>
      </c>
      <c r="H267" s="53" t="n">
        <v>247</v>
      </c>
      <c r="I267" s="67" t="n"/>
      <c r="J267" s="55" t="n"/>
      <c r="K267" s="68" t="n"/>
      <c r="L267" s="68" t="n"/>
      <c r="M267" s="59">
        <f>IF(OR(L267="",K267=""),"",MAX(L267-K267,0))</f>
        <v/>
      </c>
      <c r="N267" s="59">
        <f>IF(M267="","",IF(N(J267)=0,1,J267))</f>
        <v/>
      </c>
    </row>
    <row r="268">
      <c r="A268" s="53" t="n">
        <v>248</v>
      </c>
      <c r="B268" s="67" t="n"/>
      <c r="C268" s="55" t="n"/>
      <c r="D268" s="68" t="n"/>
      <c r="E268" s="68" t="n"/>
      <c r="F268" s="59">
        <f>IF(OR(E268="",D268=""),"",MAX(E268-D268,0))</f>
        <v/>
      </c>
      <c r="G268" s="59">
        <f>IF(F268="","",IF(N(C268)=0,1,C268))</f>
        <v/>
      </c>
      <c r="H268" s="53" t="n">
        <v>248</v>
      </c>
      <c r="I268" s="67" t="n"/>
      <c r="J268" s="55" t="n"/>
      <c r="K268" s="68" t="n"/>
      <c r="L268" s="68" t="n"/>
      <c r="M268" s="59">
        <f>IF(OR(L268="",K268=""),"",MAX(L268-K268,0))</f>
        <v/>
      </c>
      <c r="N268" s="59">
        <f>IF(M268="","",IF(N(J268)=0,1,J268))</f>
        <v/>
      </c>
    </row>
    <row r="269">
      <c r="A269" s="53" t="n">
        <v>249</v>
      </c>
      <c r="B269" s="67" t="n"/>
      <c r="C269" s="55" t="n"/>
      <c r="D269" s="68" t="n"/>
      <c r="E269" s="68" t="n"/>
      <c r="F269" s="59">
        <f>IF(OR(E269="",D269=""),"",MAX(E269-D269,0))</f>
        <v/>
      </c>
      <c r="G269" s="59">
        <f>IF(F269="","",IF(N(C269)=0,1,C269))</f>
        <v/>
      </c>
      <c r="H269" s="53" t="n">
        <v>249</v>
      </c>
      <c r="I269" s="67" t="n"/>
      <c r="J269" s="55" t="n"/>
      <c r="K269" s="68" t="n"/>
      <c r="L269" s="68" t="n"/>
      <c r="M269" s="59">
        <f>IF(OR(L269="",K269=""),"",MAX(L269-K269,0))</f>
        <v/>
      </c>
      <c r="N269" s="59">
        <f>IF(M269="","",IF(N(J269)=0,1,J269))</f>
        <v/>
      </c>
    </row>
    <row r="270">
      <c r="A270" s="53" t="n">
        <v>250</v>
      </c>
      <c r="B270" s="67" t="n"/>
      <c r="C270" s="55" t="n"/>
      <c r="D270" s="68" t="n"/>
      <c r="E270" s="68" t="n"/>
      <c r="F270" s="59">
        <f>IF(OR(E270="",D270=""),"",MAX(E270-D270,0))</f>
        <v/>
      </c>
      <c r="G270" s="59">
        <f>IF(F270="","",IF(N(C270)=0,1,C270))</f>
        <v/>
      </c>
      <c r="H270" s="53" t="n">
        <v>250</v>
      </c>
      <c r="I270" s="67" t="n"/>
      <c r="J270" s="55" t="n"/>
      <c r="K270" s="68" t="n"/>
      <c r="L270" s="68" t="n"/>
      <c r="M270" s="59">
        <f>IF(OR(L270="",K270=""),"",MAX(L270-K270,0))</f>
        <v/>
      </c>
      <c r="N270" s="59">
        <f>IF(M270="","",IF(N(J270)=0,1,J270))</f>
        <v/>
      </c>
    </row>
    <row r="271">
      <c r="A271" s="53" t="n">
        <v>251</v>
      </c>
      <c r="B271" s="67" t="n"/>
      <c r="C271" s="55" t="n"/>
      <c r="D271" s="68" t="n"/>
      <c r="E271" s="68" t="n"/>
      <c r="F271" s="59">
        <f>IF(OR(E271="",D271=""),"",MAX(E271-D271,0))</f>
        <v/>
      </c>
      <c r="G271" s="59">
        <f>IF(F271="","",IF(N(C271)=0,1,C271))</f>
        <v/>
      </c>
      <c r="H271" s="53" t="n">
        <v>251</v>
      </c>
      <c r="I271" s="67" t="n"/>
      <c r="J271" s="55" t="n"/>
      <c r="K271" s="68" t="n"/>
      <c r="L271" s="68" t="n"/>
      <c r="M271" s="59">
        <f>IF(OR(L271="",K271=""),"",MAX(L271-K271,0))</f>
        <v/>
      </c>
      <c r="N271" s="59">
        <f>IF(M271="","",IF(N(J271)=0,1,J271))</f>
        <v/>
      </c>
    </row>
    <row r="272">
      <c r="A272" s="53" t="n">
        <v>252</v>
      </c>
      <c r="B272" s="67" t="n"/>
      <c r="C272" s="55" t="n"/>
      <c r="D272" s="68" t="n"/>
      <c r="E272" s="68" t="n"/>
      <c r="F272" s="59">
        <f>IF(OR(E272="",D272=""),"",MAX(E272-D272,0))</f>
        <v/>
      </c>
      <c r="G272" s="59">
        <f>IF(F272="","",IF(N(C272)=0,1,C272))</f>
        <v/>
      </c>
      <c r="H272" s="53" t="n">
        <v>252</v>
      </c>
      <c r="I272" s="67" t="n"/>
      <c r="J272" s="55" t="n"/>
      <c r="K272" s="68" t="n"/>
      <c r="L272" s="68" t="n"/>
      <c r="M272" s="59">
        <f>IF(OR(L272="",K272=""),"",MAX(L272-K272,0))</f>
        <v/>
      </c>
      <c r="N272" s="59">
        <f>IF(M272="","",IF(N(J272)=0,1,J272))</f>
        <v/>
      </c>
    </row>
    <row r="273">
      <c r="A273" s="53" t="n">
        <v>253</v>
      </c>
      <c r="B273" s="67" t="n"/>
      <c r="C273" s="55" t="n"/>
      <c r="D273" s="68" t="n"/>
      <c r="E273" s="68" t="n"/>
      <c r="F273" s="59">
        <f>IF(OR(E273="",D273=""),"",MAX(E273-D273,0))</f>
        <v/>
      </c>
      <c r="G273" s="59">
        <f>IF(F273="","",IF(N(C273)=0,1,C273))</f>
        <v/>
      </c>
      <c r="H273" s="53" t="n">
        <v>253</v>
      </c>
      <c r="I273" s="67" t="n"/>
      <c r="J273" s="55" t="n"/>
      <c r="K273" s="68" t="n"/>
      <c r="L273" s="68" t="n"/>
      <c r="M273" s="59">
        <f>IF(OR(L273="",K273=""),"",MAX(L273-K273,0))</f>
        <v/>
      </c>
      <c r="N273" s="59">
        <f>IF(M273="","",IF(N(J273)=0,1,J273))</f>
        <v/>
      </c>
    </row>
    <row r="274">
      <c r="A274" s="53" t="n">
        <v>254</v>
      </c>
      <c r="B274" s="67" t="n"/>
      <c r="C274" s="55" t="n"/>
      <c r="D274" s="68" t="n"/>
      <c r="E274" s="68" t="n"/>
      <c r="F274" s="59">
        <f>IF(OR(E274="",D274=""),"",MAX(E274-D274,0))</f>
        <v/>
      </c>
      <c r="G274" s="59">
        <f>IF(F274="","",IF(N(C274)=0,1,C274))</f>
        <v/>
      </c>
      <c r="H274" s="53" t="n">
        <v>254</v>
      </c>
      <c r="I274" s="67" t="n"/>
      <c r="J274" s="55" t="n"/>
      <c r="K274" s="68" t="n"/>
      <c r="L274" s="68" t="n"/>
      <c r="M274" s="59">
        <f>IF(OR(L274="",K274=""),"",MAX(L274-K274,0))</f>
        <v/>
      </c>
      <c r="N274" s="59">
        <f>IF(M274="","",IF(N(J274)=0,1,J274))</f>
        <v/>
      </c>
    </row>
    <row r="275">
      <c r="A275" s="53" t="n">
        <v>255</v>
      </c>
      <c r="B275" s="67" t="n"/>
      <c r="C275" s="55" t="n"/>
      <c r="D275" s="68" t="n"/>
      <c r="E275" s="68" t="n"/>
      <c r="F275" s="59">
        <f>IF(OR(E275="",D275=""),"",MAX(E275-D275,0))</f>
        <v/>
      </c>
      <c r="G275" s="59">
        <f>IF(F275="","",IF(N(C275)=0,1,C275))</f>
        <v/>
      </c>
      <c r="H275" s="53" t="n">
        <v>255</v>
      </c>
      <c r="I275" s="67" t="n"/>
      <c r="J275" s="55" t="n"/>
      <c r="K275" s="68" t="n"/>
      <c r="L275" s="68" t="n"/>
      <c r="M275" s="59">
        <f>IF(OR(L275="",K275=""),"",MAX(L275-K275,0))</f>
        <v/>
      </c>
      <c r="N275" s="59">
        <f>IF(M275="","",IF(N(J275)=0,1,J275))</f>
        <v/>
      </c>
    </row>
    <row r="276">
      <c r="A276" s="53" t="n">
        <v>256</v>
      </c>
      <c r="B276" s="67" t="n"/>
      <c r="C276" s="55" t="n"/>
      <c r="D276" s="68" t="n"/>
      <c r="E276" s="68" t="n"/>
      <c r="F276" s="59">
        <f>IF(OR(E276="",D276=""),"",MAX(E276-D276,0))</f>
        <v/>
      </c>
      <c r="G276" s="59">
        <f>IF(F276="","",IF(N(C276)=0,1,C276))</f>
        <v/>
      </c>
      <c r="H276" s="53" t="n">
        <v>256</v>
      </c>
      <c r="I276" s="67" t="n"/>
      <c r="J276" s="55" t="n"/>
      <c r="K276" s="68" t="n"/>
      <c r="L276" s="68" t="n"/>
      <c r="M276" s="59">
        <f>IF(OR(L276="",K276=""),"",MAX(L276-K276,0))</f>
        <v/>
      </c>
      <c r="N276" s="59">
        <f>IF(M276="","",IF(N(J276)=0,1,J276))</f>
        <v/>
      </c>
    </row>
    <row r="277">
      <c r="A277" s="53" t="n">
        <v>257</v>
      </c>
      <c r="B277" s="67" t="n"/>
      <c r="C277" s="55" t="n"/>
      <c r="D277" s="68" t="n"/>
      <c r="E277" s="68" t="n"/>
      <c r="F277" s="59">
        <f>IF(OR(E277="",D277=""),"",MAX(E277-D277,0))</f>
        <v/>
      </c>
      <c r="G277" s="59">
        <f>IF(F277="","",IF(N(C277)=0,1,C277))</f>
        <v/>
      </c>
      <c r="H277" s="53" t="n">
        <v>257</v>
      </c>
      <c r="I277" s="67" t="n"/>
      <c r="J277" s="55" t="n"/>
      <c r="K277" s="68" t="n"/>
      <c r="L277" s="68" t="n"/>
      <c r="M277" s="59">
        <f>IF(OR(L277="",K277=""),"",MAX(L277-K277,0))</f>
        <v/>
      </c>
      <c r="N277" s="59">
        <f>IF(M277="","",IF(N(J277)=0,1,J277))</f>
        <v/>
      </c>
    </row>
    <row r="278">
      <c r="A278" s="53" t="n">
        <v>258</v>
      </c>
      <c r="B278" s="67" t="n"/>
      <c r="C278" s="55" t="n"/>
      <c r="D278" s="68" t="n"/>
      <c r="E278" s="68" t="n"/>
      <c r="F278" s="59">
        <f>IF(OR(E278="",D278=""),"",MAX(E278-D278,0))</f>
        <v/>
      </c>
      <c r="G278" s="59">
        <f>IF(F278="","",IF(N(C278)=0,1,C278))</f>
        <v/>
      </c>
      <c r="H278" s="53" t="n">
        <v>258</v>
      </c>
      <c r="I278" s="67" t="n"/>
      <c r="J278" s="55" t="n"/>
      <c r="K278" s="68" t="n"/>
      <c r="L278" s="68" t="n"/>
      <c r="M278" s="59">
        <f>IF(OR(L278="",K278=""),"",MAX(L278-K278,0))</f>
        <v/>
      </c>
      <c r="N278" s="59">
        <f>IF(M278="","",IF(N(J278)=0,1,J278))</f>
        <v/>
      </c>
    </row>
    <row r="279">
      <c r="A279" s="53" t="n">
        <v>259</v>
      </c>
      <c r="B279" s="67" t="n"/>
      <c r="C279" s="55" t="n"/>
      <c r="D279" s="68" t="n"/>
      <c r="E279" s="68" t="n"/>
      <c r="F279" s="59">
        <f>IF(OR(E279="",D279=""),"",MAX(E279-D279,0))</f>
        <v/>
      </c>
      <c r="G279" s="59">
        <f>IF(F279="","",IF(N(C279)=0,1,C279))</f>
        <v/>
      </c>
      <c r="H279" s="53" t="n">
        <v>259</v>
      </c>
      <c r="I279" s="67" t="n"/>
      <c r="J279" s="55" t="n"/>
      <c r="K279" s="68" t="n"/>
      <c r="L279" s="68" t="n"/>
      <c r="M279" s="59">
        <f>IF(OR(L279="",K279=""),"",MAX(L279-K279,0))</f>
        <v/>
      </c>
      <c r="N279" s="59">
        <f>IF(M279="","",IF(N(J279)=0,1,J279))</f>
        <v/>
      </c>
    </row>
    <row r="280">
      <c r="A280" s="53" t="n">
        <v>260</v>
      </c>
      <c r="B280" s="67" t="n"/>
      <c r="C280" s="55" t="n"/>
      <c r="D280" s="68" t="n"/>
      <c r="E280" s="68" t="n"/>
      <c r="F280" s="59">
        <f>IF(OR(E280="",D280=""),"",MAX(E280-D280,0))</f>
        <v/>
      </c>
      <c r="G280" s="59">
        <f>IF(F280="","",IF(N(C280)=0,1,C280))</f>
        <v/>
      </c>
      <c r="H280" s="53" t="n">
        <v>260</v>
      </c>
      <c r="I280" s="67" t="n"/>
      <c r="J280" s="55" t="n"/>
      <c r="K280" s="68" t="n"/>
      <c r="L280" s="68" t="n"/>
      <c r="M280" s="59">
        <f>IF(OR(L280="",K280=""),"",MAX(L280-K280,0))</f>
        <v/>
      </c>
      <c r="N280" s="59">
        <f>IF(M280="","",IF(N(J280)=0,1,J280))</f>
        <v/>
      </c>
    </row>
    <row r="281">
      <c r="A281" s="53" t="n">
        <v>261</v>
      </c>
      <c r="B281" s="67" t="n"/>
      <c r="C281" s="55" t="n"/>
      <c r="D281" s="68" t="n"/>
      <c r="E281" s="68" t="n"/>
      <c r="F281" s="59">
        <f>IF(OR(E281="",D281=""),"",MAX(E281-D281,0))</f>
        <v/>
      </c>
      <c r="G281" s="59">
        <f>IF(F281="","",IF(N(C281)=0,1,C281))</f>
        <v/>
      </c>
      <c r="H281" s="53" t="n">
        <v>261</v>
      </c>
      <c r="I281" s="67" t="n"/>
      <c r="J281" s="55" t="n"/>
      <c r="K281" s="68" t="n"/>
      <c r="L281" s="68" t="n"/>
      <c r="M281" s="59">
        <f>IF(OR(L281="",K281=""),"",MAX(L281-K281,0))</f>
        <v/>
      </c>
      <c r="N281" s="59">
        <f>IF(M281="","",IF(N(J281)=0,1,J281))</f>
        <v/>
      </c>
    </row>
    <row r="282">
      <c r="A282" s="53" t="n">
        <v>262</v>
      </c>
      <c r="B282" s="67" t="n"/>
      <c r="C282" s="55" t="n"/>
      <c r="D282" s="68" t="n"/>
      <c r="E282" s="68" t="n"/>
      <c r="F282" s="59">
        <f>IF(OR(E282="",D282=""),"",MAX(E282-D282,0))</f>
        <v/>
      </c>
      <c r="G282" s="59">
        <f>IF(F282="","",IF(N(C282)=0,1,C282))</f>
        <v/>
      </c>
      <c r="H282" s="53" t="n">
        <v>262</v>
      </c>
      <c r="I282" s="67" t="n"/>
      <c r="J282" s="55" t="n"/>
      <c r="K282" s="68" t="n"/>
      <c r="L282" s="68" t="n"/>
      <c r="M282" s="59">
        <f>IF(OR(L282="",K282=""),"",MAX(L282-K282,0))</f>
        <v/>
      </c>
      <c r="N282" s="59">
        <f>IF(M282="","",IF(N(J282)=0,1,J282))</f>
        <v/>
      </c>
    </row>
    <row r="283">
      <c r="A283" s="53" t="n">
        <v>263</v>
      </c>
      <c r="B283" s="67" t="n"/>
      <c r="C283" s="55" t="n"/>
      <c r="D283" s="68" t="n"/>
      <c r="E283" s="68" t="n"/>
      <c r="F283" s="59">
        <f>IF(OR(E283="",D283=""),"",MAX(E283-D283,0))</f>
        <v/>
      </c>
      <c r="G283" s="59">
        <f>IF(F283="","",IF(N(C283)=0,1,C283))</f>
        <v/>
      </c>
      <c r="H283" s="53" t="n">
        <v>263</v>
      </c>
      <c r="I283" s="67" t="n"/>
      <c r="J283" s="55" t="n"/>
      <c r="K283" s="68" t="n"/>
      <c r="L283" s="68" t="n"/>
      <c r="M283" s="59">
        <f>IF(OR(L283="",K283=""),"",MAX(L283-K283,0))</f>
        <v/>
      </c>
      <c r="N283" s="59">
        <f>IF(M283="","",IF(N(J283)=0,1,J283))</f>
        <v/>
      </c>
    </row>
    <row r="284">
      <c r="A284" s="53" t="n">
        <v>264</v>
      </c>
      <c r="B284" s="67" t="n"/>
      <c r="C284" s="55" t="n"/>
      <c r="D284" s="68" t="n"/>
      <c r="E284" s="68" t="n"/>
      <c r="F284" s="59">
        <f>IF(OR(E284="",D284=""),"",MAX(E284-D284,0))</f>
        <v/>
      </c>
      <c r="G284" s="59">
        <f>IF(F284="","",IF(N(C284)=0,1,C284))</f>
        <v/>
      </c>
      <c r="H284" s="53" t="n">
        <v>264</v>
      </c>
      <c r="I284" s="67" t="n"/>
      <c r="J284" s="55" t="n"/>
      <c r="K284" s="68" t="n"/>
      <c r="L284" s="68" t="n"/>
      <c r="M284" s="59">
        <f>IF(OR(L284="",K284=""),"",MAX(L284-K284,0))</f>
        <v/>
      </c>
      <c r="N284" s="59">
        <f>IF(M284="","",IF(N(J284)=0,1,J284))</f>
        <v/>
      </c>
    </row>
    <row r="285">
      <c r="A285" s="53" t="n">
        <v>265</v>
      </c>
      <c r="B285" s="67" t="n"/>
      <c r="C285" s="55" t="n"/>
      <c r="D285" s="68" t="n"/>
      <c r="E285" s="68" t="n"/>
      <c r="F285" s="59">
        <f>IF(OR(E285="",D285=""),"",MAX(E285-D285,0))</f>
        <v/>
      </c>
      <c r="G285" s="59">
        <f>IF(F285="","",IF(N(C285)=0,1,C285))</f>
        <v/>
      </c>
      <c r="H285" s="53" t="n">
        <v>265</v>
      </c>
      <c r="I285" s="67" t="n"/>
      <c r="J285" s="55" t="n"/>
      <c r="K285" s="68" t="n"/>
      <c r="L285" s="68" t="n"/>
      <c r="M285" s="59">
        <f>IF(OR(L285="",K285=""),"",MAX(L285-K285,0))</f>
        <v/>
      </c>
      <c r="N285" s="59">
        <f>IF(M285="","",IF(N(J285)=0,1,J285))</f>
        <v/>
      </c>
    </row>
    <row r="286">
      <c r="A286" s="53" t="n">
        <v>266</v>
      </c>
      <c r="B286" s="67" t="n"/>
      <c r="C286" s="55" t="n"/>
      <c r="D286" s="68" t="n"/>
      <c r="E286" s="68" t="n"/>
      <c r="F286" s="59">
        <f>IF(OR(E286="",D286=""),"",MAX(E286-D286,0))</f>
        <v/>
      </c>
      <c r="G286" s="59">
        <f>IF(F286="","",IF(N(C286)=0,1,C286))</f>
        <v/>
      </c>
      <c r="H286" s="53" t="n">
        <v>266</v>
      </c>
      <c r="I286" s="67" t="n"/>
      <c r="J286" s="55" t="n"/>
      <c r="K286" s="68" t="n"/>
      <c r="L286" s="68" t="n"/>
      <c r="M286" s="59">
        <f>IF(OR(L286="",K286=""),"",MAX(L286-K286,0))</f>
        <v/>
      </c>
      <c r="N286" s="59">
        <f>IF(M286="","",IF(N(J286)=0,1,J286))</f>
        <v/>
      </c>
    </row>
    <row r="287">
      <c r="A287" s="53" t="n">
        <v>267</v>
      </c>
      <c r="B287" s="67" t="n"/>
      <c r="C287" s="55" t="n"/>
      <c r="D287" s="68" t="n"/>
      <c r="E287" s="68" t="n"/>
      <c r="F287" s="59">
        <f>IF(OR(E287="",D287=""),"",MAX(E287-D287,0))</f>
        <v/>
      </c>
      <c r="G287" s="59">
        <f>IF(F287="","",IF(N(C287)=0,1,C287))</f>
        <v/>
      </c>
      <c r="H287" s="53" t="n">
        <v>267</v>
      </c>
      <c r="I287" s="67" t="n"/>
      <c r="J287" s="55" t="n"/>
      <c r="K287" s="68" t="n"/>
      <c r="L287" s="68" t="n"/>
      <c r="M287" s="59">
        <f>IF(OR(L287="",K287=""),"",MAX(L287-K287,0))</f>
        <v/>
      </c>
      <c r="N287" s="59">
        <f>IF(M287="","",IF(N(J287)=0,1,J287))</f>
        <v/>
      </c>
    </row>
    <row r="288">
      <c r="A288" s="53" t="n">
        <v>268</v>
      </c>
      <c r="B288" s="67" t="n"/>
      <c r="C288" s="55" t="n"/>
      <c r="D288" s="68" t="n"/>
      <c r="E288" s="68" t="n"/>
      <c r="F288" s="59">
        <f>IF(OR(E288="",D288=""),"",MAX(E288-D288,0))</f>
        <v/>
      </c>
      <c r="G288" s="59">
        <f>IF(F288="","",IF(N(C288)=0,1,C288))</f>
        <v/>
      </c>
      <c r="H288" s="53" t="n">
        <v>268</v>
      </c>
      <c r="I288" s="67" t="n"/>
      <c r="J288" s="55" t="n"/>
      <c r="K288" s="68" t="n"/>
      <c r="L288" s="68" t="n"/>
      <c r="M288" s="59">
        <f>IF(OR(L288="",K288=""),"",MAX(L288-K288,0))</f>
        <v/>
      </c>
      <c r="N288" s="59">
        <f>IF(M288="","",IF(N(J288)=0,1,J288))</f>
        <v/>
      </c>
    </row>
    <row r="289">
      <c r="A289" s="53" t="n">
        <v>269</v>
      </c>
      <c r="B289" s="67" t="n"/>
      <c r="C289" s="55" t="n"/>
      <c r="D289" s="68" t="n"/>
      <c r="E289" s="68" t="n"/>
      <c r="F289" s="59">
        <f>IF(OR(E289="",D289=""),"",MAX(E289-D289,0))</f>
        <v/>
      </c>
      <c r="G289" s="59">
        <f>IF(F289="","",IF(N(C289)=0,1,C289))</f>
        <v/>
      </c>
      <c r="H289" s="53" t="n">
        <v>269</v>
      </c>
      <c r="I289" s="67" t="n"/>
      <c r="J289" s="55" t="n"/>
      <c r="K289" s="68" t="n"/>
      <c r="L289" s="68" t="n"/>
      <c r="M289" s="59">
        <f>IF(OR(L289="",K289=""),"",MAX(L289-K289,0))</f>
        <v/>
      </c>
      <c r="N289" s="59">
        <f>IF(M289="","",IF(N(J289)=0,1,J289))</f>
        <v/>
      </c>
    </row>
    <row r="290">
      <c r="A290" s="53" t="n">
        <v>270</v>
      </c>
      <c r="B290" s="67" t="n"/>
      <c r="C290" s="55" t="n"/>
      <c r="D290" s="68" t="n"/>
      <c r="E290" s="68" t="n"/>
      <c r="F290" s="59">
        <f>IF(OR(E290="",D290=""),"",MAX(E290-D290,0))</f>
        <v/>
      </c>
      <c r="G290" s="59">
        <f>IF(F290="","",IF(N(C290)=0,1,C290))</f>
        <v/>
      </c>
      <c r="H290" s="53" t="n">
        <v>270</v>
      </c>
      <c r="I290" s="67" t="n"/>
      <c r="J290" s="55" t="n"/>
      <c r="K290" s="68" t="n"/>
      <c r="L290" s="68" t="n"/>
      <c r="M290" s="59">
        <f>IF(OR(L290="",K290=""),"",MAX(L290-K290,0))</f>
        <v/>
      </c>
      <c r="N290" s="59">
        <f>IF(M290="","",IF(N(J290)=0,1,J290))</f>
        <v/>
      </c>
    </row>
    <row r="291">
      <c r="A291" s="53" t="n">
        <v>271</v>
      </c>
      <c r="B291" s="67" t="n"/>
      <c r="C291" s="55" t="n"/>
      <c r="D291" s="68" t="n"/>
      <c r="E291" s="68" t="n"/>
      <c r="F291" s="59">
        <f>IF(OR(E291="",D291=""),"",MAX(E291-D291,0))</f>
        <v/>
      </c>
      <c r="G291" s="59">
        <f>IF(F291="","",IF(N(C291)=0,1,C291))</f>
        <v/>
      </c>
      <c r="H291" s="53" t="n">
        <v>271</v>
      </c>
      <c r="I291" s="67" t="n"/>
      <c r="J291" s="55" t="n"/>
      <c r="K291" s="68" t="n"/>
      <c r="L291" s="68" t="n"/>
      <c r="M291" s="59">
        <f>IF(OR(L291="",K291=""),"",MAX(L291-K291,0))</f>
        <v/>
      </c>
      <c r="N291" s="59">
        <f>IF(M291="","",IF(N(J291)=0,1,J291))</f>
        <v/>
      </c>
    </row>
    <row r="292">
      <c r="A292" s="53" t="n">
        <v>272</v>
      </c>
      <c r="B292" s="67" t="n"/>
      <c r="C292" s="55" t="n"/>
      <c r="D292" s="68" t="n"/>
      <c r="E292" s="68" t="n"/>
      <c r="F292" s="59">
        <f>IF(OR(E292="",D292=""),"",MAX(E292-D292,0))</f>
        <v/>
      </c>
      <c r="G292" s="59">
        <f>IF(F292="","",IF(N(C292)=0,1,C292))</f>
        <v/>
      </c>
      <c r="H292" s="53" t="n">
        <v>272</v>
      </c>
      <c r="I292" s="67" t="n"/>
      <c r="J292" s="55" t="n"/>
      <c r="K292" s="68" t="n"/>
      <c r="L292" s="68" t="n"/>
      <c r="M292" s="59">
        <f>IF(OR(L292="",K292=""),"",MAX(L292-K292,0))</f>
        <v/>
      </c>
      <c r="N292" s="59">
        <f>IF(M292="","",IF(N(J292)=0,1,J292))</f>
        <v/>
      </c>
    </row>
    <row r="293">
      <c r="A293" s="53" t="n">
        <v>273</v>
      </c>
      <c r="B293" s="67" t="n"/>
      <c r="C293" s="55" t="n"/>
      <c r="D293" s="68" t="n"/>
      <c r="E293" s="68" t="n"/>
      <c r="F293" s="59">
        <f>IF(OR(E293="",D293=""),"",MAX(E293-D293,0))</f>
        <v/>
      </c>
      <c r="G293" s="59">
        <f>IF(F293="","",IF(N(C293)=0,1,C293))</f>
        <v/>
      </c>
      <c r="H293" s="53" t="n">
        <v>273</v>
      </c>
      <c r="I293" s="67" t="n"/>
      <c r="J293" s="55" t="n"/>
      <c r="K293" s="68" t="n"/>
      <c r="L293" s="68" t="n"/>
      <c r="M293" s="59">
        <f>IF(OR(L293="",K293=""),"",MAX(L293-K293,0))</f>
        <v/>
      </c>
      <c r="N293" s="59">
        <f>IF(M293="","",IF(N(J293)=0,1,J293))</f>
        <v/>
      </c>
    </row>
    <row r="294">
      <c r="A294" s="53" t="n">
        <v>274</v>
      </c>
      <c r="B294" s="67" t="n"/>
      <c r="C294" s="55" t="n"/>
      <c r="D294" s="68" t="n"/>
      <c r="E294" s="68" t="n"/>
      <c r="F294" s="59">
        <f>IF(OR(E294="",D294=""),"",MAX(E294-D294,0))</f>
        <v/>
      </c>
      <c r="G294" s="59">
        <f>IF(F294="","",IF(N(C294)=0,1,C294))</f>
        <v/>
      </c>
      <c r="H294" s="53" t="n">
        <v>274</v>
      </c>
      <c r="I294" s="67" t="n"/>
      <c r="J294" s="55" t="n"/>
      <c r="K294" s="68" t="n"/>
      <c r="L294" s="68" t="n"/>
      <c r="M294" s="59">
        <f>IF(OR(L294="",K294=""),"",MAX(L294-K294,0))</f>
        <v/>
      </c>
      <c r="N294" s="59">
        <f>IF(M294="","",IF(N(J294)=0,1,J294))</f>
        <v/>
      </c>
    </row>
    <row r="295">
      <c r="A295" s="53" t="n">
        <v>275</v>
      </c>
      <c r="B295" s="67" t="n"/>
      <c r="C295" s="55" t="n"/>
      <c r="D295" s="68" t="n"/>
      <c r="E295" s="68" t="n"/>
      <c r="F295" s="59">
        <f>IF(OR(E295="",D295=""),"",MAX(E295-D295,0))</f>
        <v/>
      </c>
      <c r="G295" s="59">
        <f>IF(F295="","",IF(N(C295)=0,1,C295))</f>
        <v/>
      </c>
      <c r="H295" s="53" t="n">
        <v>275</v>
      </c>
      <c r="I295" s="67" t="n"/>
      <c r="J295" s="55" t="n"/>
      <c r="K295" s="68" t="n"/>
      <c r="L295" s="68" t="n"/>
      <c r="M295" s="59">
        <f>IF(OR(L295="",K295=""),"",MAX(L295-K295,0))</f>
        <v/>
      </c>
      <c r="N295" s="59">
        <f>IF(M295="","",IF(N(J295)=0,1,J295))</f>
        <v/>
      </c>
    </row>
    <row r="296">
      <c r="A296" s="53" t="n">
        <v>276</v>
      </c>
      <c r="B296" s="67" t="n"/>
      <c r="C296" s="55" t="n"/>
      <c r="D296" s="68" t="n"/>
      <c r="E296" s="68" t="n"/>
      <c r="F296" s="59">
        <f>IF(OR(E296="",D296=""),"",MAX(E296-D296,0))</f>
        <v/>
      </c>
      <c r="G296" s="59">
        <f>IF(F296="","",IF(N(C296)=0,1,C296))</f>
        <v/>
      </c>
      <c r="H296" s="53" t="n">
        <v>276</v>
      </c>
      <c r="I296" s="67" t="n"/>
      <c r="J296" s="55" t="n"/>
      <c r="K296" s="68" t="n"/>
      <c r="L296" s="68" t="n"/>
      <c r="M296" s="59">
        <f>IF(OR(L296="",K296=""),"",MAX(L296-K296,0))</f>
        <v/>
      </c>
      <c r="N296" s="59">
        <f>IF(M296="","",IF(N(J296)=0,1,J296))</f>
        <v/>
      </c>
    </row>
    <row r="297">
      <c r="A297" s="53" t="n">
        <v>277</v>
      </c>
      <c r="B297" s="67" t="n"/>
      <c r="C297" s="55" t="n"/>
      <c r="D297" s="68" t="n"/>
      <c r="E297" s="68" t="n"/>
      <c r="F297" s="59">
        <f>IF(OR(E297="",D297=""),"",MAX(E297-D297,0))</f>
        <v/>
      </c>
      <c r="G297" s="59">
        <f>IF(F297="","",IF(N(C297)=0,1,C297))</f>
        <v/>
      </c>
      <c r="H297" s="53" t="n">
        <v>277</v>
      </c>
      <c r="I297" s="67" t="n"/>
      <c r="J297" s="55" t="n"/>
      <c r="K297" s="68" t="n"/>
      <c r="L297" s="68" t="n"/>
      <c r="M297" s="59">
        <f>IF(OR(L297="",K297=""),"",MAX(L297-K297,0))</f>
        <v/>
      </c>
      <c r="N297" s="59">
        <f>IF(M297="","",IF(N(J297)=0,1,J297))</f>
        <v/>
      </c>
    </row>
    <row r="298">
      <c r="A298" s="53" t="n">
        <v>278</v>
      </c>
      <c r="B298" s="67" t="n"/>
      <c r="C298" s="55" t="n"/>
      <c r="D298" s="68" t="n"/>
      <c r="E298" s="68" t="n"/>
      <c r="F298" s="59">
        <f>IF(OR(E298="",D298=""),"",MAX(E298-D298,0))</f>
        <v/>
      </c>
      <c r="G298" s="59">
        <f>IF(F298="","",IF(N(C298)=0,1,C298))</f>
        <v/>
      </c>
      <c r="H298" s="53" t="n">
        <v>278</v>
      </c>
      <c r="I298" s="67" t="n"/>
      <c r="J298" s="55" t="n"/>
      <c r="K298" s="68" t="n"/>
      <c r="L298" s="68" t="n"/>
      <c r="M298" s="59">
        <f>IF(OR(L298="",K298=""),"",MAX(L298-K298,0))</f>
        <v/>
      </c>
      <c r="N298" s="59">
        <f>IF(M298="","",IF(N(J298)=0,1,J298))</f>
        <v/>
      </c>
    </row>
    <row r="299">
      <c r="A299" s="53" t="n">
        <v>279</v>
      </c>
      <c r="B299" s="67" t="n"/>
      <c r="C299" s="55" t="n"/>
      <c r="D299" s="68" t="n"/>
      <c r="E299" s="68" t="n"/>
      <c r="F299" s="59">
        <f>IF(OR(E299="",D299=""),"",MAX(E299-D299,0))</f>
        <v/>
      </c>
      <c r="G299" s="59">
        <f>IF(F299="","",IF(N(C299)=0,1,C299))</f>
        <v/>
      </c>
      <c r="H299" s="53" t="n">
        <v>279</v>
      </c>
      <c r="I299" s="67" t="n"/>
      <c r="J299" s="55" t="n"/>
      <c r="K299" s="68" t="n"/>
      <c r="L299" s="68" t="n"/>
      <c r="M299" s="59">
        <f>IF(OR(L299="",K299=""),"",MAX(L299-K299,0))</f>
        <v/>
      </c>
      <c r="N299" s="59">
        <f>IF(M299="","",IF(N(J299)=0,1,J299))</f>
        <v/>
      </c>
    </row>
    <row r="300">
      <c r="A300" s="53" t="n">
        <v>280</v>
      </c>
      <c r="B300" s="67" t="n"/>
      <c r="C300" s="55" t="n"/>
      <c r="D300" s="68" t="n"/>
      <c r="E300" s="68" t="n"/>
      <c r="F300" s="59">
        <f>IF(OR(E300="",D300=""),"",MAX(E300-D300,0))</f>
        <v/>
      </c>
      <c r="G300" s="59">
        <f>IF(F300="","",IF(N(C300)=0,1,C300))</f>
        <v/>
      </c>
      <c r="H300" s="53" t="n">
        <v>280</v>
      </c>
      <c r="I300" s="67" t="n"/>
      <c r="J300" s="55" t="n"/>
      <c r="K300" s="68" t="n"/>
      <c r="L300" s="68" t="n"/>
      <c r="M300" s="59">
        <f>IF(OR(L300="",K300=""),"",MAX(L300-K300,0))</f>
        <v/>
      </c>
      <c r="N300" s="59">
        <f>IF(M300="","",IF(N(J300)=0,1,J300))</f>
        <v/>
      </c>
    </row>
    <row r="301">
      <c r="A301" s="53" t="n">
        <v>281</v>
      </c>
      <c r="B301" s="67" t="n"/>
      <c r="C301" s="55" t="n"/>
      <c r="D301" s="68" t="n"/>
      <c r="E301" s="68" t="n"/>
      <c r="F301" s="59">
        <f>IF(OR(E301="",D301=""),"",MAX(E301-D301,0))</f>
        <v/>
      </c>
      <c r="G301" s="59">
        <f>IF(F301="","",IF(N(C301)=0,1,C301))</f>
        <v/>
      </c>
      <c r="H301" s="53" t="n">
        <v>281</v>
      </c>
      <c r="I301" s="67" t="n"/>
      <c r="J301" s="55" t="n"/>
      <c r="K301" s="68" t="n"/>
      <c r="L301" s="68" t="n"/>
      <c r="M301" s="59">
        <f>IF(OR(L301="",K301=""),"",MAX(L301-K301,0))</f>
        <v/>
      </c>
      <c r="N301" s="59">
        <f>IF(M301="","",IF(N(J301)=0,1,J301))</f>
        <v/>
      </c>
    </row>
    <row r="302">
      <c r="A302" s="53" t="n">
        <v>282</v>
      </c>
      <c r="B302" s="67" t="n"/>
      <c r="C302" s="55" t="n"/>
      <c r="D302" s="68" t="n"/>
      <c r="E302" s="68" t="n"/>
      <c r="F302" s="59">
        <f>IF(OR(E302="",D302=""),"",MAX(E302-D302,0))</f>
        <v/>
      </c>
      <c r="G302" s="59">
        <f>IF(F302="","",IF(N(C302)=0,1,C302))</f>
        <v/>
      </c>
      <c r="H302" s="53" t="n">
        <v>282</v>
      </c>
      <c r="I302" s="67" t="n"/>
      <c r="J302" s="55" t="n"/>
      <c r="K302" s="68" t="n"/>
      <c r="L302" s="68" t="n"/>
      <c r="M302" s="59">
        <f>IF(OR(L302="",K302=""),"",MAX(L302-K302,0))</f>
        <v/>
      </c>
      <c r="N302" s="59">
        <f>IF(M302="","",IF(N(J302)=0,1,J302))</f>
        <v/>
      </c>
    </row>
    <row r="303">
      <c r="A303" s="53" t="n">
        <v>283</v>
      </c>
      <c r="B303" s="67" t="n"/>
      <c r="C303" s="55" t="n"/>
      <c r="D303" s="68" t="n"/>
      <c r="E303" s="68" t="n"/>
      <c r="F303" s="59">
        <f>IF(OR(E303="",D303=""),"",MAX(E303-D303,0))</f>
        <v/>
      </c>
      <c r="G303" s="59">
        <f>IF(F303="","",IF(N(C303)=0,1,C303))</f>
        <v/>
      </c>
      <c r="H303" s="53" t="n">
        <v>283</v>
      </c>
      <c r="I303" s="67" t="n"/>
      <c r="J303" s="55" t="n"/>
      <c r="K303" s="68" t="n"/>
      <c r="L303" s="68" t="n"/>
      <c r="M303" s="59">
        <f>IF(OR(L303="",K303=""),"",MAX(L303-K303,0))</f>
        <v/>
      </c>
      <c r="N303" s="59">
        <f>IF(M303="","",IF(N(J303)=0,1,J303))</f>
        <v/>
      </c>
    </row>
    <row r="304">
      <c r="A304" s="53" t="n">
        <v>284</v>
      </c>
      <c r="B304" s="67" t="n"/>
      <c r="C304" s="55" t="n"/>
      <c r="D304" s="68" t="n"/>
      <c r="E304" s="68" t="n"/>
      <c r="F304" s="59">
        <f>IF(OR(E304="",D304=""),"",MAX(E304-D304,0))</f>
        <v/>
      </c>
      <c r="G304" s="59">
        <f>IF(F304="","",IF(N(C304)=0,1,C304))</f>
        <v/>
      </c>
      <c r="H304" s="53" t="n">
        <v>284</v>
      </c>
      <c r="I304" s="67" t="n"/>
      <c r="J304" s="55" t="n"/>
      <c r="K304" s="68" t="n"/>
      <c r="L304" s="68" t="n"/>
      <c r="M304" s="59">
        <f>IF(OR(L304="",K304=""),"",MAX(L304-K304,0))</f>
        <v/>
      </c>
      <c r="N304" s="59">
        <f>IF(M304="","",IF(N(J304)=0,1,J304))</f>
        <v/>
      </c>
    </row>
    <row r="305">
      <c r="A305" s="53" t="n">
        <v>285</v>
      </c>
      <c r="B305" s="67" t="n"/>
      <c r="C305" s="55" t="n"/>
      <c r="D305" s="68" t="n"/>
      <c r="E305" s="68" t="n"/>
      <c r="F305" s="59">
        <f>IF(OR(E305="",D305=""),"",MAX(E305-D305,0))</f>
        <v/>
      </c>
      <c r="G305" s="59">
        <f>IF(F305="","",IF(N(C305)=0,1,C305))</f>
        <v/>
      </c>
      <c r="H305" s="53" t="n">
        <v>285</v>
      </c>
      <c r="I305" s="67" t="n"/>
      <c r="J305" s="55" t="n"/>
      <c r="K305" s="68" t="n"/>
      <c r="L305" s="68" t="n"/>
      <c r="M305" s="59">
        <f>IF(OR(L305="",K305=""),"",MAX(L305-K305,0))</f>
        <v/>
      </c>
      <c r="N305" s="59">
        <f>IF(M305="","",IF(N(J305)=0,1,J305))</f>
        <v/>
      </c>
    </row>
    <row r="306">
      <c r="A306" s="53" t="n">
        <v>286</v>
      </c>
      <c r="B306" s="67" t="n"/>
      <c r="C306" s="55" t="n"/>
      <c r="D306" s="68" t="n"/>
      <c r="E306" s="68" t="n"/>
      <c r="F306" s="59">
        <f>IF(OR(E306="",D306=""),"",MAX(E306-D306,0))</f>
        <v/>
      </c>
      <c r="G306" s="59">
        <f>IF(F306="","",IF(N(C306)=0,1,C306))</f>
        <v/>
      </c>
      <c r="H306" s="53" t="n">
        <v>286</v>
      </c>
      <c r="I306" s="67" t="n"/>
      <c r="J306" s="55" t="n"/>
      <c r="K306" s="68" t="n"/>
      <c r="L306" s="68" t="n"/>
      <c r="M306" s="59">
        <f>IF(OR(L306="",K306=""),"",MAX(L306-K306,0))</f>
        <v/>
      </c>
      <c r="N306" s="59">
        <f>IF(M306="","",IF(N(J306)=0,1,J306))</f>
        <v/>
      </c>
    </row>
    <row r="307">
      <c r="A307" s="53" t="n">
        <v>287</v>
      </c>
      <c r="B307" s="67" t="n"/>
      <c r="C307" s="55" t="n"/>
      <c r="D307" s="68" t="n"/>
      <c r="E307" s="68" t="n"/>
      <c r="F307" s="59">
        <f>IF(OR(E307="",D307=""),"",MAX(E307-D307,0))</f>
        <v/>
      </c>
      <c r="G307" s="59">
        <f>IF(F307="","",IF(N(C307)=0,1,C307))</f>
        <v/>
      </c>
      <c r="H307" s="53" t="n">
        <v>287</v>
      </c>
      <c r="I307" s="67" t="n"/>
      <c r="J307" s="55" t="n"/>
      <c r="K307" s="68" t="n"/>
      <c r="L307" s="68" t="n"/>
      <c r="M307" s="59">
        <f>IF(OR(L307="",K307=""),"",MAX(L307-K307,0))</f>
        <v/>
      </c>
      <c r="N307" s="59">
        <f>IF(M307="","",IF(N(J307)=0,1,J307))</f>
        <v/>
      </c>
    </row>
    <row r="308">
      <c r="A308" s="53" t="n">
        <v>288</v>
      </c>
      <c r="B308" s="67" t="n"/>
      <c r="C308" s="55" t="n"/>
      <c r="D308" s="68" t="n"/>
      <c r="E308" s="68" t="n"/>
      <c r="F308" s="59">
        <f>IF(OR(E308="",D308=""),"",MAX(E308-D308,0))</f>
        <v/>
      </c>
      <c r="G308" s="59">
        <f>IF(F308="","",IF(N(C308)=0,1,C308))</f>
        <v/>
      </c>
      <c r="H308" s="53" t="n">
        <v>288</v>
      </c>
      <c r="I308" s="67" t="n"/>
      <c r="J308" s="55" t="n"/>
      <c r="K308" s="68" t="n"/>
      <c r="L308" s="68" t="n"/>
      <c r="M308" s="59">
        <f>IF(OR(L308="",K308=""),"",MAX(L308-K308,0))</f>
        <v/>
      </c>
      <c r="N308" s="59">
        <f>IF(M308="","",IF(N(J308)=0,1,J308))</f>
        <v/>
      </c>
    </row>
    <row r="309">
      <c r="A309" s="53" t="n">
        <v>289</v>
      </c>
      <c r="B309" s="67" t="n"/>
      <c r="C309" s="55" t="n"/>
      <c r="D309" s="68" t="n"/>
      <c r="E309" s="68" t="n"/>
      <c r="F309" s="59">
        <f>IF(OR(E309="",D309=""),"",MAX(E309-D309,0))</f>
        <v/>
      </c>
      <c r="G309" s="59">
        <f>IF(F309="","",IF(N(C309)=0,1,C309))</f>
        <v/>
      </c>
      <c r="H309" s="53" t="n">
        <v>289</v>
      </c>
      <c r="I309" s="67" t="n"/>
      <c r="J309" s="55" t="n"/>
      <c r="K309" s="68" t="n"/>
      <c r="L309" s="68" t="n"/>
      <c r="M309" s="59">
        <f>IF(OR(L309="",K309=""),"",MAX(L309-K309,0))</f>
        <v/>
      </c>
      <c r="N309" s="59">
        <f>IF(M309="","",IF(N(J309)=0,1,J309))</f>
        <v/>
      </c>
    </row>
    <row r="310">
      <c r="A310" s="53" t="n">
        <v>290</v>
      </c>
      <c r="B310" s="67" t="n"/>
      <c r="C310" s="55" t="n"/>
      <c r="D310" s="68" t="n"/>
      <c r="E310" s="68" t="n"/>
      <c r="F310" s="59">
        <f>IF(OR(E310="",D310=""),"",MAX(E310-D310,0))</f>
        <v/>
      </c>
      <c r="G310" s="59">
        <f>IF(F310="","",IF(N(C310)=0,1,C310))</f>
        <v/>
      </c>
      <c r="H310" s="53" t="n">
        <v>290</v>
      </c>
      <c r="I310" s="67" t="n"/>
      <c r="J310" s="55" t="n"/>
      <c r="K310" s="68" t="n"/>
      <c r="L310" s="68" t="n"/>
      <c r="M310" s="59">
        <f>IF(OR(L310="",K310=""),"",MAX(L310-K310,0))</f>
        <v/>
      </c>
      <c r="N310" s="59">
        <f>IF(M310="","",IF(N(J310)=0,1,J310))</f>
        <v/>
      </c>
    </row>
    <row r="311">
      <c r="A311" s="53" t="n">
        <v>291</v>
      </c>
      <c r="B311" s="67" t="n"/>
      <c r="C311" s="55" t="n"/>
      <c r="D311" s="68" t="n"/>
      <c r="E311" s="68" t="n"/>
      <c r="F311" s="59">
        <f>IF(OR(E311="",D311=""),"",MAX(E311-D311,0))</f>
        <v/>
      </c>
      <c r="G311" s="59">
        <f>IF(F311="","",IF(N(C311)=0,1,C311))</f>
        <v/>
      </c>
      <c r="H311" s="53" t="n">
        <v>291</v>
      </c>
      <c r="I311" s="67" t="n"/>
      <c r="J311" s="55" t="n"/>
      <c r="K311" s="68" t="n"/>
      <c r="L311" s="68" t="n"/>
      <c r="M311" s="59">
        <f>IF(OR(L311="",K311=""),"",MAX(L311-K311,0))</f>
        <v/>
      </c>
      <c r="N311" s="59">
        <f>IF(M311="","",IF(N(J311)=0,1,J311))</f>
        <v/>
      </c>
    </row>
    <row r="312">
      <c r="A312" s="53" t="n">
        <v>292</v>
      </c>
      <c r="B312" s="67" t="n"/>
      <c r="C312" s="55" t="n"/>
      <c r="D312" s="68" t="n"/>
      <c r="E312" s="68" t="n"/>
      <c r="F312" s="59">
        <f>IF(OR(E312="",D312=""),"",MAX(E312-D312,0))</f>
        <v/>
      </c>
      <c r="G312" s="59">
        <f>IF(F312="","",IF(N(C312)=0,1,C312))</f>
        <v/>
      </c>
      <c r="H312" s="53" t="n">
        <v>292</v>
      </c>
      <c r="I312" s="67" t="n"/>
      <c r="J312" s="55" t="n"/>
      <c r="K312" s="68" t="n"/>
      <c r="L312" s="68" t="n"/>
      <c r="M312" s="59">
        <f>IF(OR(L312="",K312=""),"",MAX(L312-K312,0))</f>
        <v/>
      </c>
      <c r="N312" s="59">
        <f>IF(M312="","",IF(N(J312)=0,1,J312))</f>
        <v/>
      </c>
    </row>
    <row r="313">
      <c r="A313" s="53" t="n">
        <v>293</v>
      </c>
      <c r="B313" s="67" t="n"/>
      <c r="C313" s="55" t="n"/>
      <c r="D313" s="68" t="n"/>
      <c r="E313" s="68" t="n"/>
      <c r="F313" s="59">
        <f>IF(OR(E313="",D313=""),"",MAX(E313-D313,0))</f>
        <v/>
      </c>
      <c r="G313" s="59">
        <f>IF(F313="","",IF(N(C313)=0,1,C313))</f>
        <v/>
      </c>
      <c r="H313" s="53" t="n">
        <v>293</v>
      </c>
      <c r="I313" s="67" t="n"/>
      <c r="J313" s="55" t="n"/>
      <c r="K313" s="68" t="n"/>
      <c r="L313" s="68" t="n"/>
      <c r="M313" s="59">
        <f>IF(OR(L313="",K313=""),"",MAX(L313-K313,0))</f>
        <v/>
      </c>
      <c r="N313" s="59">
        <f>IF(M313="","",IF(N(J313)=0,1,J313))</f>
        <v/>
      </c>
    </row>
    <row r="314">
      <c r="A314" s="53" t="n">
        <v>294</v>
      </c>
      <c r="B314" s="67" t="n"/>
      <c r="C314" s="55" t="n"/>
      <c r="D314" s="68" t="n"/>
      <c r="E314" s="68" t="n"/>
      <c r="F314" s="59">
        <f>IF(OR(E314="",D314=""),"",MAX(E314-D314,0))</f>
        <v/>
      </c>
      <c r="G314" s="59">
        <f>IF(F314="","",IF(N(C314)=0,1,C314))</f>
        <v/>
      </c>
      <c r="H314" s="53" t="n">
        <v>294</v>
      </c>
      <c r="I314" s="67" t="n"/>
      <c r="J314" s="55" t="n"/>
      <c r="K314" s="68" t="n"/>
      <c r="L314" s="68" t="n"/>
      <c r="M314" s="59">
        <f>IF(OR(L314="",K314=""),"",MAX(L314-K314,0))</f>
        <v/>
      </c>
      <c r="N314" s="59">
        <f>IF(M314="","",IF(N(J314)=0,1,J314))</f>
        <v/>
      </c>
    </row>
    <row r="315">
      <c r="A315" s="53" t="n">
        <v>295</v>
      </c>
      <c r="B315" s="67" t="n"/>
      <c r="C315" s="55" t="n"/>
      <c r="D315" s="68" t="n"/>
      <c r="E315" s="68" t="n"/>
      <c r="F315" s="59">
        <f>IF(OR(E315="",D315=""),"",MAX(E315-D315,0))</f>
        <v/>
      </c>
      <c r="G315" s="59">
        <f>IF(F315="","",IF(N(C315)=0,1,C315))</f>
        <v/>
      </c>
      <c r="H315" s="53" t="n">
        <v>295</v>
      </c>
      <c r="I315" s="67" t="n"/>
      <c r="J315" s="55" t="n"/>
      <c r="K315" s="68" t="n"/>
      <c r="L315" s="68" t="n"/>
      <c r="M315" s="59">
        <f>IF(OR(L315="",K315=""),"",MAX(L315-K315,0))</f>
        <v/>
      </c>
      <c r="N315" s="59">
        <f>IF(M315="","",IF(N(J315)=0,1,J315))</f>
        <v/>
      </c>
    </row>
    <row r="316">
      <c r="A316" s="53" t="n">
        <v>296</v>
      </c>
      <c r="B316" s="67" t="n"/>
      <c r="C316" s="55" t="n"/>
      <c r="D316" s="68" t="n"/>
      <c r="E316" s="68" t="n"/>
      <c r="F316" s="59">
        <f>IF(OR(E316="",D316=""),"",MAX(E316-D316,0))</f>
        <v/>
      </c>
      <c r="G316" s="59">
        <f>IF(F316="","",IF(N(C316)=0,1,C316))</f>
        <v/>
      </c>
      <c r="H316" s="53" t="n">
        <v>296</v>
      </c>
      <c r="I316" s="67" t="n"/>
      <c r="J316" s="55" t="n"/>
      <c r="K316" s="68" t="n"/>
      <c r="L316" s="68" t="n"/>
      <c r="M316" s="59">
        <f>IF(OR(L316="",K316=""),"",MAX(L316-K316,0))</f>
        <v/>
      </c>
      <c r="N316" s="59">
        <f>IF(M316="","",IF(N(J316)=0,1,J316))</f>
        <v/>
      </c>
    </row>
    <row r="317">
      <c r="A317" s="53" t="n">
        <v>297</v>
      </c>
      <c r="B317" s="67" t="n"/>
      <c r="C317" s="55" t="n"/>
      <c r="D317" s="68" t="n"/>
      <c r="E317" s="68" t="n"/>
      <c r="F317" s="59">
        <f>IF(OR(E317="",D317=""),"",MAX(E317-D317,0))</f>
        <v/>
      </c>
      <c r="G317" s="59">
        <f>IF(F317="","",IF(N(C317)=0,1,C317))</f>
        <v/>
      </c>
      <c r="H317" s="53" t="n">
        <v>297</v>
      </c>
      <c r="I317" s="67" t="n"/>
      <c r="J317" s="55" t="n"/>
      <c r="K317" s="68" t="n"/>
      <c r="L317" s="68" t="n"/>
      <c r="M317" s="59">
        <f>IF(OR(L317="",K317=""),"",MAX(L317-K317,0))</f>
        <v/>
      </c>
      <c r="N317" s="59">
        <f>IF(M317="","",IF(N(J317)=0,1,J317))</f>
        <v/>
      </c>
    </row>
    <row r="318">
      <c r="A318" s="53" t="n">
        <v>298</v>
      </c>
      <c r="B318" s="67" t="n"/>
      <c r="C318" s="55" t="n"/>
      <c r="D318" s="68" t="n"/>
      <c r="E318" s="68" t="n"/>
      <c r="F318" s="59">
        <f>IF(OR(E318="",D318=""),"",MAX(E318-D318,0))</f>
        <v/>
      </c>
      <c r="G318" s="59">
        <f>IF(F318="","",IF(N(C318)=0,1,C318))</f>
        <v/>
      </c>
      <c r="H318" s="53" t="n">
        <v>298</v>
      </c>
      <c r="I318" s="67" t="n"/>
      <c r="J318" s="55" t="n"/>
      <c r="K318" s="68" t="n"/>
      <c r="L318" s="68" t="n"/>
      <c r="M318" s="59">
        <f>IF(OR(L318="",K318=""),"",MAX(L318-K318,0))</f>
        <v/>
      </c>
      <c r="N318" s="59">
        <f>IF(M318="","",IF(N(J318)=0,1,J318))</f>
        <v/>
      </c>
    </row>
    <row r="319">
      <c r="A319" s="53" t="n">
        <v>299</v>
      </c>
      <c r="B319" s="67" t="n"/>
      <c r="C319" s="55" t="n"/>
      <c r="D319" s="68" t="n"/>
      <c r="E319" s="68" t="n"/>
      <c r="F319" s="59">
        <f>IF(OR(E319="",D319=""),"",MAX(E319-D319,0))</f>
        <v/>
      </c>
      <c r="G319" s="59">
        <f>IF(F319="","",IF(N(C319)=0,1,C319))</f>
        <v/>
      </c>
      <c r="H319" s="53" t="n">
        <v>299</v>
      </c>
      <c r="I319" s="67" t="n"/>
      <c r="J319" s="55" t="n"/>
      <c r="K319" s="68" t="n"/>
      <c r="L319" s="68" t="n"/>
      <c r="M319" s="59">
        <f>IF(OR(L319="",K319=""),"",MAX(L319-K319,0))</f>
        <v/>
      </c>
      <c r="N319" s="59">
        <f>IF(M319="","",IF(N(J319)=0,1,J319))</f>
        <v/>
      </c>
    </row>
    <row r="320">
      <c r="A320" s="53" t="n">
        <v>300</v>
      </c>
      <c r="B320" s="67" t="n"/>
      <c r="C320" s="55" t="n"/>
      <c r="D320" s="68" t="n"/>
      <c r="E320" s="68" t="n"/>
      <c r="F320" s="59">
        <f>IF(OR(E320="",D320=""),"",MAX(E320-D320,0))</f>
        <v/>
      </c>
      <c r="G320" s="59">
        <f>IF(F320="","",IF(N(C320)=0,1,C320))</f>
        <v/>
      </c>
      <c r="H320" s="53" t="n">
        <v>300</v>
      </c>
      <c r="I320" s="67" t="n"/>
      <c r="J320" s="55" t="n"/>
      <c r="K320" s="68" t="n"/>
      <c r="L320" s="68" t="n"/>
      <c r="M320" s="59">
        <f>IF(OR(L320="",K320=""),"",MAX(L320-K320,0))</f>
        <v/>
      </c>
      <c r="N320" s="59">
        <f>IF(M320="","",IF(N(J320)=0,1,J320))</f>
        <v/>
      </c>
    </row>
    <row r="321">
      <c r="A321" s="53" t="n">
        <v>301</v>
      </c>
      <c r="B321" s="67" t="n"/>
      <c r="C321" s="55" t="n"/>
      <c r="D321" s="68" t="n"/>
      <c r="E321" s="68" t="n"/>
      <c r="F321" s="59">
        <f>IF(OR(E321="",D321=""),"",MAX(E321-D321,0))</f>
        <v/>
      </c>
      <c r="G321" s="59">
        <f>IF(F321="","",IF(N(C321)=0,1,C321))</f>
        <v/>
      </c>
      <c r="H321" s="53" t="n">
        <v>301</v>
      </c>
      <c r="I321" s="67" t="n"/>
      <c r="J321" s="55" t="n"/>
      <c r="K321" s="68" t="n"/>
      <c r="L321" s="68" t="n"/>
      <c r="M321" s="59">
        <f>IF(OR(L321="",K321=""),"",MAX(L321-K321,0))</f>
        <v/>
      </c>
      <c r="N321" s="59">
        <f>IF(M321="","",IF(N(J321)=0,1,J321))</f>
        <v/>
      </c>
    </row>
    <row r="322">
      <c r="A322" s="53" t="n">
        <v>302</v>
      </c>
      <c r="B322" s="67" t="n"/>
      <c r="C322" s="55" t="n"/>
      <c r="D322" s="68" t="n"/>
      <c r="E322" s="68" t="n"/>
      <c r="F322" s="59">
        <f>IF(OR(E322="",D322=""),"",MAX(E322-D322,0))</f>
        <v/>
      </c>
      <c r="G322" s="59">
        <f>IF(F322="","",IF(N(C322)=0,1,C322))</f>
        <v/>
      </c>
      <c r="H322" s="53" t="n">
        <v>302</v>
      </c>
      <c r="I322" s="67" t="n"/>
      <c r="J322" s="55" t="n"/>
      <c r="K322" s="68" t="n"/>
      <c r="L322" s="68" t="n"/>
      <c r="M322" s="59">
        <f>IF(OR(L322="",K322=""),"",MAX(L322-K322,0))</f>
        <v/>
      </c>
      <c r="N322" s="59">
        <f>IF(M322="","",IF(N(J322)=0,1,J322))</f>
        <v/>
      </c>
    </row>
    <row r="323">
      <c r="A323" s="53" t="n">
        <v>303</v>
      </c>
      <c r="B323" s="67" t="n"/>
      <c r="C323" s="55" t="n"/>
      <c r="D323" s="68" t="n"/>
      <c r="E323" s="68" t="n"/>
      <c r="F323" s="59">
        <f>IF(OR(E323="",D323=""),"",MAX(E323-D323,0))</f>
        <v/>
      </c>
      <c r="G323" s="59">
        <f>IF(F323="","",IF(N(C323)=0,1,C323))</f>
        <v/>
      </c>
      <c r="H323" s="53" t="n">
        <v>303</v>
      </c>
      <c r="I323" s="67" t="n"/>
      <c r="J323" s="55" t="n"/>
      <c r="K323" s="68" t="n"/>
      <c r="L323" s="68" t="n"/>
      <c r="M323" s="59">
        <f>IF(OR(L323="",K323=""),"",MAX(L323-K323,0))</f>
        <v/>
      </c>
      <c r="N323" s="59">
        <f>IF(M323="","",IF(N(J323)=0,1,J323))</f>
        <v/>
      </c>
    </row>
    <row r="324">
      <c r="A324" s="53" t="n">
        <v>304</v>
      </c>
      <c r="B324" s="67" t="n"/>
      <c r="C324" s="55" t="n"/>
      <c r="D324" s="68" t="n"/>
      <c r="E324" s="68" t="n"/>
      <c r="F324" s="59">
        <f>IF(OR(E324="",D324=""),"",MAX(E324-D324,0))</f>
        <v/>
      </c>
      <c r="G324" s="59">
        <f>IF(F324="","",IF(N(C324)=0,1,C324))</f>
        <v/>
      </c>
      <c r="H324" s="53" t="n">
        <v>304</v>
      </c>
      <c r="I324" s="67" t="n"/>
      <c r="J324" s="55" t="n"/>
      <c r="K324" s="68" t="n"/>
      <c r="L324" s="68" t="n"/>
      <c r="M324" s="59">
        <f>IF(OR(L324="",K324=""),"",MAX(L324-K324,0))</f>
        <v/>
      </c>
      <c r="N324" s="59">
        <f>IF(M324="","",IF(N(J324)=0,1,J324))</f>
        <v/>
      </c>
    </row>
    <row r="325">
      <c r="A325" s="53" t="n">
        <v>305</v>
      </c>
      <c r="B325" s="67" t="n"/>
      <c r="C325" s="55" t="n"/>
      <c r="D325" s="68" t="n"/>
      <c r="E325" s="68" t="n"/>
      <c r="F325" s="59">
        <f>IF(OR(E325="",D325=""),"",MAX(E325-D325,0))</f>
        <v/>
      </c>
      <c r="G325" s="59">
        <f>IF(F325="","",IF(N(C325)=0,1,C325))</f>
        <v/>
      </c>
      <c r="H325" s="53" t="n">
        <v>305</v>
      </c>
      <c r="I325" s="67" t="n"/>
      <c r="J325" s="55" t="n"/>
      <c r="K325" s="68" t="n"/>
      <c r="L325" s="68" t="n"/>
      <c r="M325" s="59">
        <f>IF(OR(L325="",K325=""),"",MAX(L325-K325,0))</f>
        <v/>
      </c>
      <c r="N325" s="59">
        <f>IF(M325="","",IF(N(J325)=0,1,J325))</f>
        <v/>
      </c>
    </row>
    <row r="326">
      <c r="A326" s="53" t="n">
        <v>306</v>
      </c>
      <c r="B326" s="67" t="n"/>
      <c r="C326" s="55" t="n"/>
      <c r="D326" s="68" t="n"/>
      <c r="E326" s="68" t="n"/>
      <c r="F326" s="59">
        <f>IF(OR(E326="",D326=""),"",MAX(E326-D326,0))</f>
        <v/>
      </c>
      <c r="G326" s="59">
        <f>IF(F326="","",IF(N(C326)=0,1,C326))</f>
        <v/>
      </c>
      <c r="H326" s="53" t="n">
        <v>306</v>
      </c>
      <c r="I326" s="67" t="n"/>
      <c r="J326" s="55" t="n"/>
      <c r="K326" s="68" t="n"/>
      <c r="L326" s="68" t="n"/>
      <c r="M326" s="59">
        <f>IF(OR(L326="",K326=""),"",MAX(L326-K326,0))</f>
        <v/>
      </c>
      <c r="N326" s="59">
        <f>IF(M326="","",IF(N(J326)=0,1,J326))</f>
        <v/>
      </c>
    </row>
    <row r="327">
      <c r="A327" s="53" t="n">
        <v>307</v>
      </c>
      <c r="B327" s="67" t="n"/>
      <c r="C327" s="55" t="n"/>
      <c r="D327" s="68" t="n"/>
      <c r="E327" s="68" t="n"/>
      <c r="F327" s="59">
        <f>IF(OR(E327="",D327=""),"",MAX(E327-D327,0))</f>
        <v/>
      </c>
      <c r="G327" s="59">
        <f>IF(F327="","",IF(N(C327)=0,1,C327))</f>
        <v/>
      </c>
      <c r="H327" s="53" t="n">
        <v>307</v>
      </c>
      <c r="I327" s="67" t="n"/>
      <c r="J327" s="55" t="n"/>
      <c r="K327" s="68" t="n"/>
      <c r="L327" s="68" t="n"/>
      <c r="M327" s="59">
        <f>IF(OR(L327="",K327=""),"",MAX(L327-K327,0))</f>
        <v/>
      </c>
      <c r="N327" s="59">
        <f>IF(M327="","",IF(N(J327)=0,1,J327))</f>
        <v/>
      </c>
    </row>
    <row r="328">
      <c r="A328" s="53" t="n">
        <v>308</v>
      </c>
      <c r="B328" s="67" t="n"/>
      <c r="C328" s="55" t="n"/>
      <c r="D328" s="68" t="n"/>
      <c r="E328" s="68" t="n"/>
      <c r="F328" s="59">
        <f>IF(OR(E328="",D328=""),"",MAX(E328-D328,0))</f>
        <v/>
      </c>
      <c r="G328" s="59">
        <f>IF(F328="","",IF(N(C328)=0,1,C328))</f>
        <v/>
      </c>
      <c r="H328" s="53" t="n">
        <v>308</v>
      </c>
      <c r="I328" s="67" t="n"/>
      <c r="J328" s="55" t="n"/>
      <c r="K328" s="68" t="n"/>
      <c r="L328" s="68" t="n"/>
      <c r="M328" s="59">
        <f>IF(OR(L328="",K328=""),"",MAX(L328-K328,0))</f>
        <v/>
      </c>
      <c r="N328" s="59">
        <f>IF(M328="","",IF(N(J328)=0,1,J328))</f>
        <v/>
      </c>
    </row>
    <row r="329">
      <c r="A329" s="53" t="n">
        <v>309</v>
      </c>
      <c r="B329" s="67" t="n"/>
      <c r="C329" s="55" t="n"/>
      <c r="D329" s="68" t="n"/>
      <c r="E329" s="68" t="n"/>
      <c r="F329" s="59">
        <f>IF(OR(E329="",D329=""),"",MAX(E329-D329,0))</f>
        <v/>
      </c>
      <c r="G329" s="59">
        <f>IF(F329="","",IF(N(C329)=0,1,C329))</f>
        <v/>
      </c>
      <c r="H329" s="53" t="n">
        <v>309</v>
      </c>
      <c r="I329" s="67" t="n"/>
      <c r="J329" s="55" t="n"/>
      <c r="K329" s="68" t="n"/>
      <c r="L329" s="68" t="n"/>
      <c r="M329" s="59">
        <f>IF(OR(L329="",K329=""),"",MAX(L329-K329,0))</f>
        <v/>
      </c>
      <c r="N329" s="59">
        <f>IF(M329="","",IF(N(J329)=0,1,J329))</f>
        <v/>
      </c>
    </row>
    <row r="330">
      <c r="A330" s="53" t="n">
        <v>310</v>
      </c>
      <c r="B330" s="67" t="n"/>
      <c r="C330" s="55" t="n"/>
      <c r="D330" s="68" t="n"/>
      <c r="E330" s="68" t="n"/>
      <c r="F330" s="59">
        <f>IF(OR(E330="",D330=""),"",MAX(E330-D330,0))</f>
        <v/>
      </c>
      <c r="G330" s="59">
        <f>IF(F330="","",IF(N(C330)=0,1,C330))</f>
        <v/>
      </c>
      <c r="H330" s="53" t="n">
        <v>310</v>
      </c>
      <c r="I330" s="67" t="n"/>
      <c r="J330" s="55" t="n"/>
      <c r="K330" s="68" t="n"/>
      <c r="L330" s="68" t="n"/>
      <c r="M330" s="59">
        <f>IF(OR(L330="",K330=""),"",MAX(L330-K330,0))</f>
        <v/>
      </c>
      <c r="N330" s="59">
        <f>IF(M330="","",IF(N(J330)=0,1,J330))</f>
        <v/>
      </c>
    </row>
    <row r="331">
      <c r="A331" s="53" t="n">
        <v>311</v>
      </c>
      <c r="B331" s="67" t="n"/>
      <c r="C331" s="55" t="n"/>
      <c r="D331" s="68" t="n"/>
      <c r="E331" s="68" t="n"/>
      <c r="F331" s="59">
        <f>IF(OR(E331="",D331=""),"",MAX(E331-D331,0))</f>
        <v/>
      </c>
      <c r="G331" s="59">
        <f>IF(F331="","",IF(N(C331)=0,1,C331))</f>
        <v/>
      </c>
      <c r="H331" s="53" t="n">
        <v>311</v>
      </c>
      <c r="I331" s="67" t="n"/>
      <c r="J331" s="55" t="n"/>
      <c r="K331" s="68" t="n"/>
      <c r="L331" s="68" t="n"/>
      <c r="M331" s="59">
        <f>IF(OR(L331="",K331=""),"",MAX(L331-K331,0))</f>
        <v/>
      </c>
      <c r="N331" s="59">
        <f>IF(M331="","",IF(N(J331)=0,1,J331))</f>
        <v/>
      </c>
    </row>
    <row r="332">
      <c r="A332" s="53" t="n">
        <v>312</v>
      </c>
      <c r="B332" s="67" t="n"/>
      <c r="C332" s="55" t="n"/>
      <c r="D332" s="68" t="n"/>
      <c r="E332" s="68" t="n"/>
      <c r="F332" s="59">
        <f>IF(OR(E332="",D332=""),"",MAX(E332-D332,0))</f>
        <v/>
      </c>
      <c r="G332" s="59">
        <f>IF(F332="","",IF(N(C332)=0,1,C332))</f>
        <v/>
      </c>
      <c r="H332" s="53" t="n">
        <v>312</v>
      </c>
      <c r="I332" s="67" t="n"/>
      <c r="J332" s="55" t="n"/>
      <c r="K332" s="68" t="n"/>
      <c r="L332" s="68" t="n"/>
      <c r="M332" s="59">
        <f>IF(OR(L332="",K332=""),"",MAX(L332-K332,0))</f>
        <v/>
      </c>
      <c r="N332" s="59">
        <f>IF(M332="","",IF(N(J332)=0,1,J332))</f>
        <v/>
      </c>
    </row>
    <row r="333">
      <c r="A333" s="53" t="n">
        <v>313</v>
      </c>
      <c r="B333" s="67" t="n"/>
      <c r="C333" s="55" t="n"/>
      <c r="D333" s="68" t="n"/>
      <c r="E333" s="68" t="n"/>
      <c r="F333" s="59">
        <f>IF(OR(E333="",D333=""),"",MAX(E333-D333,0))</f>
        <v/>
      </c>
      <c r="G333" s="59">
        <f>IF(F333="","",IF(N(C333)=0,1,C333))</f>
        <v/>
      </c>
      <c r="H333" s="53" t="n">
        <v>313</v>
      </c>
      <c r="I333" s="67" t="n"/>
      <c r="J333" s="55" t="n"/>
      <c r="K333" s="68" t="n"/>
      <c r="L333" s="68" t="n"/>
      <c r="M333" s="59">
        <f>IF(OR(L333="",K333=""),"",MAX(L333-K333,0))</f>
        <v/>
      </c>
      <c r="N333" s="59">
        <f>IF(M333="","",IF(N(J333)=0,1,J333))</f>
        <v/>
      </c>
    </row>
    <row r="334">
      <c r="A334" s="53" t="n">
        <v>314</v>
      </c>
      <c r="B334" s="67" t="n"/>
      <c r="C334" s="55" t="n"/>
      <c r="D334" s="68" t="n"/>
      <c r="E334" s="68" t="n"/>
      <c r="F334" s="59">
        <f>IF(OR(E334="",D334=""),"",MAX(E334-D334,0))</f>
        <v/>
      </c>
      <c r="G334" s="59">
        <f>IF(F334="","",IF(N(C334)=0,1,C334))</f>
        <v/>
      </c>
      <c r="H334" s="53" t="n">
        <v>314</v>
      </c>
      <c r="I334" s="67" t="n"/>
      <c r="J334" s="55" t="n"/>
      <c r="K334" s="68" t="n"/>
      <c r="L334" s="68" t="n"/>
      <c r="M334" s="59">
        <f>IF(OR(L334="",K334=""),"",MAX(L334-K334,0))</f>
        <v/>
      </c>
      <c r="N334" s="59">
        <f>IF(M334="","",IF(N(J334)=0,1,J334))</f>
        <v/>
      </c>
    </row>
    <row r="335">
      <c r="A335" s="53" t="n">
        <v>315</v>
      </c>
      <c r="B335" s="67" t="n"/>
      <c r="C335" s="55" t="n"/>
      <c r="D335" s="68" t="n"/>
      <c r="E335" s="68" t="n"/>
      <c r="F335" s="59">
        <f>IF(OR(E335="",D335=""),"",MAX(E335-D335,0))</f>
        <v/>
      </c>
      <c r="G335" s="59">
        <f>IF(F335="","",IF(N(C335)=0,1,C335))</f>
        <v/>
      </c>
      <c r="H335" s="53" t="n">
        <v>315</v>
      </c>
      <c r="I335" s="67" t="n"/>
      <c r="J335" s="55" t="n"/>
      <c r="K335" s="68" t="n"/>
      <c r="L335" s="68" t="n"/>
      <c r="M335" s="59">
        <f>IF(OR(L335="",K335=""),"",MAX(L335-K335,0))</f>
        <v/>
      </c>
      <c r="N335" s="59">
        <f>IF(M335="","",IF(N(J335)=0,1,J335))</f>
        <v/>
      </c>
    </row>
    <row r="336">
      <c r="A336" s="53" t="n">
        <v>316</v>
      </c>
      <c r="B336" s="67" t="n"/>
      <c r="C336" s="55" t="n"/>
      <c r="D336" s="68" t="n"/>
      <c r="E336" s="68" t="n"/>
      <c r="F336" s="59">
        <f>IF(OR(E336="",D336=""),"",MAX(E336-D336,0))</f>
        <v/>
      </c>
      <c r="G336" s="59">
        <f>IF(F336="","",IF(N(C336)=0,1,C336))</f>
        <v/>
      </c>
      <c r="H336" s="53" t="n">
        <v>316</v>
      </c>
      <c r="I336" s="67" t="n"/>
      <c r="J336" s="55" t="n"/>
      <c r="K336" s="68" t="n"/>
      <c r="L336" s="68" t="n"/>
      <c r="M336" s="59">
        <f>IF(OR(L336="",K336=""),"",MAX(L336-K336,0))</f>
        <v/>
      </c>
      <c r="N336" s="59">
        <f>IF(M336="","",IF(N(J336)=0,1,J336))</f>
        <v/>
      </c>
    </row>
    <row r="337">
      <c r="A337" s="53" t="n">
        <v>317</v>
      </c>
      <c r="B337" s="67" t="n"/>
      <c r="C337" s="55" t="n"/>
      <c r="D337" s="68" t="n"/>
      <c r="E337" s="68" t="n"/>
      <c r="F337" s="59">
        <f>IF(OR(E337="",D337=""),"",MAX(E337-D337,0))</f>
        <v/>
      </c>
      <c r="G337" s="59">
        <f>IF(F337="","",IF(N(C337)=0,1,C337))</f>
        <v/>
      </c>
      <c r="H337" s="53" t="n">
        <v>317</v>
      </c>
      <c r="I337" s="67" t="n"/>
      <c r="J337" s="55" t="n"/>
      <c r="K337" s="68" t="n"/>
      <c r="L337" s="68" t="n"/>
      <c r="M337" s="59">
        <f>IF(OR(L337="",K337=""),"",MAX(L337-K337,0))</f>
        <v/>
      </c>
      <c r="N337" s="59">
        <f>IF(M337="","",IF(N(J337)=0,1,J337))</f>
        <v/>
      </c>
    </row>
    <row r="338">
      <c r="A338" s="53" t="n">
        <v>318</v>
      </c>
      <c r="B338" s="67" t="n"/>
      <c r="C338" s="55" t="n"/>
      <c r="D338" s="68" t="n"/>
      <c r="E338" s="68" t="n"/>
      <c r="F338" s="59">
        <f>IF(OR(E338="",D338=""),"",MAX(E338-D338,0))</f>
        <v/>
      </c>
      <c r="G338" s="59">
        <f>IF(F338="","",IF(N(C338)=0,1,C338))</f>
        <v/>
      </c>
      <c r="H338" s="53" t="n">
        <v>318</v>
      </c>
      <c r="I338" s="67" t="n"/>
      <c r="J338" s="55" t="n"/>
      <c r="K338" s="68" t="n"/>
      <c r="L338" s="68" t="n"/>
      <c r="M338" s="59">
        <f>IF(OR(L338="",K338=""),"",MAX(L338-K338,0))</f>
        <v/>
      </c>
      <c r="N338" s="59">
        <f>IF(M338="","",IF(N(J338)=0,1,J338))</f>
        <v/>
      </c>
    </row>
    <row r="339">
      <c r="A339" s="53" t="n">
        <v>319</v>
      </c>
      <c r="B339" s="67" t="n"/>
      <c r="C339" s="55" t="n"/>
      <c r="D339" s="68" t="n"/>
      <c r="E339" s="68" t="n"/>
      <c r="F339" s="59">
        <f>IF(OR(E339="",D339=""),"",MAX(E339-D339,0))</f>
        <v/>
      </c>
      <c r="G339" s="59">
        <f>IF(F339="","",IF(N(C339)=0,1,C339))</f>
        <v/>
      </c>
      <c r="H339" s="53" t="n">
        <v>319</v>
      </c>
      <c r="I339" s="67" t="n"/>
      <c r="J339" s="55" t="n"/>
      <c r="K339" s="68" t="n"/>
      <c r="L339" s="68" t="n"/>
      <c r="M339" s="59">
        <f>IF(OR(L339="",K339=""),"",MAX(L339-K339,0))</f>
        <v/>
      </c>
      <c r="N339" s="59">
        <f>IF(M339="","",IF(N(J339)=0,1,J339))</f>
        <v/>
      </c>
    </row>
    <row r="340">
      <c r="A340" s="53" t="n">
        <v>320</v>
      </c>
      <c r="B340" s="67" t="n"/>
      <c r="C340" s="55" t="n"/>
      <c r="D340" s="68" t="n"/>
      <c r="E340" s="68" t="n"/>
      <c r="F340" s="59">
        <f>IF(OR(E340="",D340=""),"",MAX(E340-D340,0))</f>
        <v/>
      </c>
      <c r="G340" s="59">
        <f>IF(F340="","",IF(N(C340)=0,1,C340))</f>
        <v/>
      </c>
      <c r="H340" s="53" t="n">
        <v>320</v>
      </c>
      <c r="I340" s="67" t="n"/>
      <c r="J340" s="55" t="n"/>
      <c r="K340" s="68" t="n"/>
      <c r="L340" s="68" t="n"/>
      <c r="M340" s="59">
        <f>IF(OR(L340="",K340=""),"",MAX(L340-K340,0))</f>
        <v/>
      </c>
      <c r="N340" s="59">
        <f>IF(M340="","",IF(N(J340)=0,1,J340))</f>
        <v/>
      </c>
    </row>
    <row r="341">
      <c r="A341" s="53" t="n">
        <v>321</v>
      </c>
      <c r="B341" s="67" t="n"/>
      <c r="C341" s="55" t="n"/>
      <c r="D341" s="68" t="n"/>
      <c r="E341" s="68" t="n"/>
      <c r="F341" s="59">
        <f>IF(OR(E341="",D341=""),"",MAX(E341-D341,0))</f>
        <v/>
      </c>
      <c r="G341" s="59">
        <f>IF(F341="","",IF(N(C341)=0,1,C341))</f>
        <v/>
      </c>
      <c r="H341" s="53" t="n">
        <v>321</v>
      </c>
      <c r="I341" s="67" t="n"/>
      <c r="J341" s="55" t="n"/>
      <c r="K341" s="68" t="n"/>
      <c r="L341" s="68" t="n"/>
      <c r="M341" s="59">
        <f>IF(OR(L341="",K341=""),"",MAX(L341-K341,0))</f>
        <v/>
      </c>
      <c r="N341" s="59">
        <f>IF(M341="","",IF(N(J341)=0,1,J341))</f>
        <v/>
      </c>
    </row>
    <row r="342">
      <c r="A342" s="53" t="n">
        <v>322</v>
      </c>
      <c r="B342" s="67" t="n"/>
      <c r="C342" s="55" t="n"/>
      <c r="D342" s="68" t="n"/>
      <c r="E342" s="68" t="n"/>
      <c r="F342" s="59">
        <f>IF(OR(E342="",D342=""),"",MAX(E342-D342,0))</f>
        <v/>
      </c>
      <c r="G342" s="59">
        <f>IF(F342="","",IF(N(C342)=0,1,C342))</f>
        <v/>
      </c>
      <c r="H342" s="53" t="n">
        <v>322</v>
      </c>
      <c r="I342" s="67" t="n"/>
      <c r="J342" s="55" t="n"/>
      <c r="K342" s="68" t="n"/>
      <c r="L342" s="68" t="n"/>
      <c r="M342" s="59">
        <f>IF(OR(L342="",K342=""),"",MAX(L342-K342,0))</f>
        <v/>
      </c>
      <c r="N342" s="59">
        <f>IF(M342="","",IF(N(J342)=0,1,J342))</f>
        <v/>
      </c>
    </row>
    <row r="343">
      <c r="A343" s="53" t="n">
        <v>323</v>
      </c>
      <c r="B343" s="67" t="n"/>
      <c r="C343" s="55" t="n"/>
      <c r="D343" s="68" t="n"/>
      <c r="E343" s="68" t="n"/>
      <c r="F343" s="59">
        <f>IF(OR(E343="",D343=""),"",MAX(E343-D343,0))</f>
        <v/>
      </c>
      <c r="G343" s="59">
        <f>IF(F343="","",IF(N(C343)=0,1,C343))</f>
        <v/>
      </c>
      <c r="H343" s="53" t="n">
        <v>323</v>
      </c>
      <c r="I343" s="67" t="n"/>
      <c r="J343" s="55" t="n"/>
      <c r="K343" s="68" t="n"/>
      <c r="L343" s="68" t="n"/>
      <c r="M343" s="59">
        <f>IF(OR(L343="",K343=""),"",MAX(L343-K343,0))</f>
        <v/>
      </c>
      <c r="N343" s="59">
        <f>IF(M343="","",IF(N(J343)=0,1,J343))</f>
        <v/>
      </c>
    </row>
    <row r="344">
      <c r="A344" s="53" t="n">
        <v>324</v>
      </c>
      <c r="B344" s="67" t="n"/>
      <c r="C344" s="55" t="n"/>
      <c r="D344" s="68" t="n"/>
      <c r="E344" s="68" t="n"/>
      <c r="F344" s="59">
        <f>IF(OR(E344="",D344=""),"",MAX(E344-D344,0))</f>
        <v/>
      </c>
      <c r="G344" s="59">
        <f>IF(F344="","",IF(N(C344)=0,1,C344))</f>
        <v/>
      </c>
      <c r="H344" s="53" t="n">
        <v>324</v>
      </c>
      <c r="I344" s="67" t="n"/>
      <c r="J344" s="55" t="n"/>
      <c r="K344" s="68" t="n"/>
      <c r="L344" s="68" t="n"/>
      <c r="M344" s="59">
        <f>IF(OR(L344="",K344=""),"",MAX(L344-K344,0))</f>
        <v/>
      </c>
      <c r="N344" s="59">
        <f>IF(M344="","",IF(N(J344)=0,1,J344))</f>
        <v/>
      </c>
    </row>
    <row r="345">
      <c r="A345" s="53" t="n">
        <v>325</v>
      </c>
      <c r="B345" s="67" t="n"/>
      <c r="C345" s="55" t="n"/>
      <c r="D345" s="68" t="n"/>
      <c r="E345" s="68" t="n"/>
      <c r="F345" s="59">
        <f>IF(OR(E345="",D345=""),"",MAX(E345-D345,0))</f>
        <v/>
      </c>
      <c r="G345" s="59">
        <f>IF(F345="","",IF(N(C345)=0,1,C345))</f>
        <v/>
      </c>
      <c r="H345" s="53" t="n">
        <v>325</v>
      </c>
      <c r="I345" s="67" t="n"/>
      <c r="J345" s="55" t="n"/>
      <c r="K345" s="68" t="n"/>
      <c r="L345" s="68" t="n"/>
      <c r="M345" s="59">
        <f>IF(OR(L345="",K345=""),"",MAX(L345-K345,0))</f>
        <v/>
      </c>
      <c r="N345" s="59">
        <f>IF(M345="","",IF(N(J345)=0,1,J345))</f>
        <v/>
      </c>
    </row>
    <row r="346">
      <c r="A346" s="53" t="n">
        <v>326</v>
      </c>
      <c r="B346" s="67" t="n"/>
      <c r="C346" s="55" t="n"/>
      <c r="D346" s="68" t="n"/>
      <c r="E346" s="68" t="n"/>
      <c r="F346" s="59">
        <f>IF(OR(E346="",D346=""),"",MAX(E346-D346,0))</f>
        <v/>
      </c>
      <c r="G346" s="59">
        <f>IF(F346="","",IF(N(C346)=0,1,C346))</f>
        <v/>
      </c>
      <c r="H346" s="53" t="n">
        <v>326</v>
      </c>
      <c r="I346" s="67" t="n"/>
      <c r="J346" s="55" t="n"/>
      <c r="K346" s="68" t="n"/>
      <c r="L346" s="68" t="n"/>
      <c r="M346" s="59">
        <f>IF(OR(L346="",K346=""),"",MAX(L346-K346,0))</f>
        <v/>
      </c>
      <c r="N346" s="59">
        <f>IF(M346="","",IF(N(J346)=0,1,J346))</f>
        <v/>
      </c>
    </row>
    <row r="347">
      <c r="A347" s="53" t="n">
        <v>327</v>
      </c>
      <c r="B347" s="67" t="n"/>
      <c r="C347" s="55" t="n"/>
      <c r="D347" s="68" t="n"/>
      <c r="E347" s="68" t="n"/>
      <c r="F347" s="59">
        <f>IF(OR(E347="",D347=""),"",MAX(E347-D347,0))</f>
        <v/>
      </c>
      <c r="G347" s="59">
        <f>IF(F347="","",IF(N(C347)=0,1,C347))</f>
        <v/>
      </c>
      <c r="H347" s="53" t="n">
        <v>327</v>
      </c>
      <c r="I347" s="67" t="n"/>
      <c r="J347" s="55" t="n"/>
      <c r="K347" s="68" t="n"/>
      <c r="L347" s="68" t="n"/>
      <c r="M347" s="59">
        <f>IF(OR(L347="",K347=""),"",MAX(L347-K347,0))</f>
        <v/>
      </c>
      <c r="N347" s="59">
        <f>IF(M347="","",IF(N(J347)=0,1,J347))</f>
        <v/>
      </c>
    </row>
    <row r="348">
      <c r="A348" s="53" t="n">
        <v>328</v>
      </c>
      <c r="B348" s="67" t="n"/>
      <c r="C348" s="55" t="n"/>
      <c r="D348" s="68" t="n"/>
      <c r="E348" s="68" t="n"/>
      <c r="F348" s="59">
        <f>IF(OR(E348="",D348=""),"",MAX(E348-D348,0))</f>
        <v/>
      </c>
      <c r="G348" s="59">
        <f>IF(F348="","",IF(N(C348)=0,1,C348))</f>
        <v/>
      </c>
      <c r="H348" s="53" t="n">
        <v>328</v>
      </c>
      <c r="I348" s="67" t="n"/>
      <c r="J348" s="55" t="n"/>
      <c r="K348" s="68" t="n"/>
      <c r="L348" s="68" t="n"/>
      <c r="M348" s="59">
        <f>IF(OR(L348="",K348=""),"",MAX(L348-K348,0))</f>
        <v/>
      </c>
      <c r="N348" s="59">
        <f>IF(M348="","",IF(N(J348)=0,1,J348))</f>
        <v/>
      </c>
    </row>
    <row r="349">
      <c r="A349" s="53" t="n">
        <v>329</v>
      </c>
      <c r="B349" s="67" t="n"/>
      <c r="C349" s="55" t="n"/>
      <c r="D349" s="68" t="n"/>
      <c r="E349" s="68" t="n"/>
      <c r="F349" s="59">
        <f>IF(OR(E349="",D349=""),"",MAX(E349-D349,0))</f>
        <v/>
      </c>
      <c r="G349" s="59">
        <f>IF(F349="","",IF(N(C349)=0,1,C349))</f>
        <v/>
      </c>
      <c r="H349" s="53" t="n">
        <v>329</v>
      </c>
      <c r="I349" s="67" t="n"/>
      <c r="J349" s="55" t="n"/>
      <c r="K349" s="68" t="n"/>
      <c r="L349" s="68" t="n"/>
      <c r="M349" s="59">
        <f>IF(OR(L349="",K349=""),"",MAX(L349-K349,0))</f>
        <v/>
      </c>
      <c r="N349" s="59">
        <f>IF(M349="","",IF(N(J349)=0,1,J349))</f>
        <v/>
      </c>
    </row>
    <row r="350">
      <c r="A350" s="53" t="n">
        <v>330</v>
      </c>
      <c r="B350" s="67" t="n"/>
      <c r="C350" s="55" t="n"/>
      <c r="D350" s="68" t="n"/>
      <c r="E350" s="68" t="n"/>
      <c r="F350" s="59">
        <f>IF(OR(E350="",D350=""),"",MAX(E350-D350,0))</f>
        <v/>
      </c>
      <c r="G350" s="59">
        <f>IF(F350="","",IF(N(C350)=0,1,C350))</f>
        <v/>
      </c>
      <c r="H350" s="53" t="n">
        <v>330</v>
      </c>
      <c r="I350" s="67" t="n"/>
      <c r="J350" s="55" t="n"/>
      <c r="K350" s="68" t="n"/>
      <c r="L350" s="68" t="n"/>
      <c r="M350" s="59">
        <f>IF(OR(L350="",K350=""),"",MAX(L350-K350,0))</f>
        <v/>
      </c>
      <c r="N350" s="59">
        <f>IF(M350="","",IF(N(J350)=0,1,J350))</f>
        <v/>
      </c>
    </row>
    <row r="351">
      <c r="A351" s="53" t="n">
        <v>331</v>
      </c>
      <c r="B351" s="67" t="n"/>
      <c r="C351" s="55" t="n"/>
      <c r="D351" s="68" t="n"/>
      <c r="E351" s="68" t="n"/>
      <c r="F351" s="59">
        <f>IF(OR(E351="",D351=""),"",MAX(E351-D351,0))</f>
        <v/>
      </c>
      <c r="G351" s="59">
        <f>IF(F351="","",IF(N(C351)=0,1,C351))</f>
        <v/>
      </c>
      <c r="H351" s="53" t="n">
        <v>331</v>
      </c>
      <c r="I351" s="67" t="n"/>
      <c r="J351" s="55" t="n"/>
      <c r="K351" s="68" t="n"/>
      <c r="L351" s="68" t="n"/>
      <c r="M351" s="59">
        <f>IF(OR(L351="",K351=""),"",MAX(L351-K351,0))</f>
        <v/>
      </c>
      <c r="N351" s="59">
        <f>IF(M351="","",IF(N(J351)=0,1,J351))</f>
        <v/>
      </c>
    </row>
    <row r="352">
      <c r="A352" s="53" t="n">
        <v>332</v>
      </c>
      <c r="B352" s="67" t="n"/>
      <c r="C352" s="55" t="n"/>
      <c r="D352" s="68" t="n"/>
      <c r="E352" s="68" t="n"/>
      <c r="F352" s="59">
        <f>IF(OR(E352="",D352=""),"",MAX(E352-D352,0))</f>
        <v/>
      </c>
      <c r="G352" s="59">
        <f>IF(F352="","",IF(N(C352)=0,1,C352))</f>
        <v/>
      </c>
      <c r="H352" s="53" t="n">
        <v>332</v>
      </c>
      <c r="I352" s="67" t="n"/>
      <c r="J352" s="55" t="n"/>
      <c r="K352" s="68" t="n"/>
      <c r="L352" s="68" t="n"/>
      <c r="M352" s="59">
        <f>IF(OR(L352="",K352=""),"",MAX(L352-K352,0))</f>
        <v/>
      </c>
      <c r="N352" s="59">
        <f>IF(M352="","",IF(N(J352)=0,1,J352))</f>
        <v/>
      </c>
    </row>
    <row r="353">
      <c r="A353" s="53" t="n">
        <v>333</v>
      </c>
      <c r="B353" s="67" t="n"/>
      <c r="C353" s="55" t="n"/>
      <c r="D353" s="68" t="n"/>
      <c r="E353" s="68" t="n"/>
      <c r="F353" s="59">
        <f>IF(OR(E353="",D353=""),"",MAX(E353-D353,0))</f>
        <v/>
      </c>
      <c r="G353" s="59">
        <f>IF(F353="","",IF(N(C353)=0,1,C353))</f>
        <v/>
      </c>
      <c r="H353" s="53" t="n">
        <v>333</v>
      </c>
      <c r="I353" s="67" t="n"/>
      <c r="J353" s="55" t="n"/>
      <c r="K353" s="68" t="n"/>
      <c r="L353" s="68" t="n"/>
      <c r="M353" s="59">
        <f>IF(OR(L353="",K353=""),"",MAX(L353-K353,0))</f>
        <v/>
      </c>
      <c r="N353" s="59">
        <f>IF(M353="","",IF(N(J353)=0,1,J353))</f>
        <v/>
      </c>
    </row>
    <row r="354">
      <c r="A354" s="53" t="n">
        <v>334</v>
      </c>
      <c r="B354" s="67" t="n"/>
      <c r="C354" s="55" t="n"/>
      <c r="D354" s="68" t="n"/>
      <c r="E354" s="68" t="n"/>
      <c r="F354" s="59">
        <f>IF(OR(E354="",D354=""),"",MAX(E354-D354,0))</f>
        <v/>
      </c>
      <c r="G354" s="59">
        <f>IF(F354="","",IF(N(C354)=0,1,C354))</f>
        <v/>
      </c>
      <c r="H354" s="53" t="n">
        <v>334</v>
      </c>
      <c r="I354" s="67" t="n"/>
      <c r="J354" s="55" t="n"/>
      <c r="K354" s="68" t="n"/>
      <c r="L354" s="68" t="n"/>
      <c r="M354" s="59">
        <f>IF(OR(L354="",K354=""),"",MAX(L354-K354,0))</f>
        <v/>
      </c>
      <c r="N354" s="59">
        <f>IF(M354="","",IF(N(J354)=0,1,J354))</f>
        <v/>
      </c>
    </row>
    <row r="355">
      <c r="A355" s="53" t="n">
        <v>335</v>
      </c>
      <c r="B355" s="67" t="n"/>
      <c r="C355" s="55" t="n"/>
      <c r="D355" s="68" t="n"/>
      <c r="E355" s="68" t="n"/>
      <c r="F355" s="59">
        <f>IF(OR(E355="",D355=""),"",MAX(E355-D355,0))</f>
        <v/>
      </c>
      <c r="G355" s="59">
        <f>IF(F355="","",IF(N(C355)=0,1,C355))</f>
        <v/>
      </c>
      <c r="H355" s="53" t="n">
        <v>335</v>
      </c>
      <c r="I355" s="67" t="n"/>
      <c r="J355" s="55" t="n"/>
      <c r="K355" s="68" t="n"/>
      <c r="L355" s="68" t="n"/>
      <c r="M355" s="59">
        <f>IF(OR(L355="",K355=""),"",MAX(L355-K355,0))</f>
        <v/>
      </c>
      <c r="N355" s="59">
        <f>IF(M355="","",IF(N(J355)=0,1,J355))</f>
        <v/>
      </c>
    </row>
    <row r="356">
      <c r="A356" s="53" t="n">
        <v>336</v>
      </c>
      <c r="B356" s="67" t="n"/>
      <c r="C356" s="55" t="n"/>
      <c r="D356" s="68" t="n"/>
      <c r="E356" s="68" t="n"/>
      <c r="F356" s="59">
        <f>IF(OR(E356="",D356=""),"",MAX(E356-D356,0))</f>
        <v/>
      </c>
      <c r="G356" s="59">
        <f>IF(F356="","",IF(N(C356)=0,1,C356))</f>
        <v/>
      </c>
      <c r="H356" s="53" t="n">
        <v>336</v>
      </c>
      <c r="I356" s="67" t="n"/>
      <c r="J356" s="55" t="n"/>
      <c r="K356" s="68" t="n"/>
      <c r="L356" s="68" t="n"/>
      <c r="M356" s="59">
        <f>IF(OR(L356="",K356=""),"",MAX(L356-K356,0))</f>
        <v/>
      </c>
      <c r="N356" s="59">
        <f>IF(M356="","",IF(N(J356)=0,1,J356))</f>
        <v/>
      </c>
    </row>
    <row r="357">
      <c r="A357" s="53" t="n">
        <v>337</v>
      </c>
      <c r="B357" s="67" t="n"/>
      <c r="C357" s="55" t="n"/>
      <c r="D357" s="68" t="n"/>
      <c r="E357" s="68" t="n"/>
      <c r="F357" s="59">
        <f>IF(OR(E357="",D357=""),"",MAX(E357-D357,0))</f>
        <v/>
      </c>
      <c r="G357" s="59">
        <f>IF(F357="","",IF(N(C357)=0,1,C357))</f>
        <v/>
      </c>
      <c r="H357" s="53" t="n">
        <v>337</v>
      </c>
      <c r="I357" s="67" t="n"/>
      <c r="J357" s="55" t="n"/>
      <c r="K357" s="68" t="n"/>
      <c r="L357" s="68" t="n"/>
      <c r="M357" s="59">
        <f>IF(OR(L357="",K357=""),"",MAX(L357-K357,0))</f>
        <v/>
      </c>
      <c r="N357" s="59">
        <f>IF(M357="","",IF(N(J357)=0,1,J357))</f>
        <v/>
      </c>
    </row>
    <row r="358">
      <c r="A358" s="53" t="n">
        <v>338</v>
      </c>
      <c r="B358" s="67" t="n"/>
      <c r="C358" s="55" t="n"/>
      <c r="D358" s="68" t="n"/>
      <c r="E358" s="68" t="n"/>
      <c r="F358" s="59">
        <f>IF(OR(E358="",D358=""),"",MAX(E358-D358,0))</f>
        <v/>
      </c>
      <c r="G358" s="59">
        <f>IF(F358="","",IF(N(C358)=0,1,C358))</f>
        <v/>
      </c>
      <c r="H358" s="53" t="n">
        <v>338</v>
      </c>
      <c r="I358" s="67" t="n"/>
      <c r="J358" s="55" t="n"/>
      <c r="K358" s="68" t="n"/>
      <c r="L358" s="68" t="n"/>
      <c r="M358" s="59">
        <f>IF(OR(L358="",K358=""),"",MAX(L358-K358,0))</f>
        <v/>
      </c>
      <c r="N358" s="59">
        <f>IF(M358="","",IF(N(J358)=0,1,J358))</f>
        <v/>
      </c>
    </row>
    <row r="359">
      <c r="A359" s="53" t="n">
        <v>339</v>
      </c>
      <c r="B359" s="67" t="n"/>
      <c r="C359" s="55" t="n"/>
      <c r="D359" s="68" t="n"/>
      <c r="E359" s="68" t="n"/>
      <c r="F359" s="59">
        <f>IF(OR(E359="",D359=""),"",MAX(E359-D359,0))</f>
        <v/>
      </c>
      <c r="G359" s="59">
        <f>IF(F359="","",IF(N(C359)=0,1,C359))</f>
        <v/>
      </c>
      <c r="H359" s="53" t="n">
        <v>339</v>
      </c>
      <c r="I359" s="67" t="n"/>
      <c r="J359" s="55" t="n"/>
      <c r="K359" s="68" t="n"/>
      <c r="L359" s="68" t="n"/>
      <c r="M359" s="59">
        <f>IF(OR(L359="",K359=""),"",MAX(L359-K359,0))</f>
        <v/>
      </c>
      <c r="N359" s="59">
        <f>IF(M359="","",IF(N(J359)=0,1,J359))</f>
        <v/>
      </c>
    </row>
    <row r="360">
      <c r="A360" s="53" t="n">
        <v>340</v>
      </c>
      <c r="B360" s="67" t="n"/>
      <c r="C360" s="55" t="n"/>
      <c r="D360" s="68" t="n"/>
      <c r="E360" s="68" t="n"/>
      <c r="F360" s="59">
        <f>IF(OR(E360="",D360=""),"",MAX(E360-D360,0))</f>
        <v/>
      </c>
      <c r="G360" s="59">
        <f>IF(F360="","",IF(N(C360)=0,1,C360))</f>
        <v/>
      </c>
      <c r="H360" s="53" t="n">
        <v>340</v>
      </c>
      <c r="I360" s="67" t="n"/>
      <c r="J360" s="55" t="n"/>
      <c r="K360" s="68" t="n"/>
      <c r="L360" s="68" t="n"/>
      <c r="M360" s="59">
        <f>IF(OR(L360="",K360=""),"",MAX(L360-K360,0))</f>
        <v/>
      </c>
      <c r="N360" s="59">
        <f>IF(M360="","",IF(N(J360)=0,1,J360))</f>
        <v/>
      </c>
    </row>
    <row r="361">
      <c r="A361" s="53" t="n">
        <v>341</v>
      </c>
      <c r="B361" s="67" t="n"/>
      <c r="C361" s="55" t="n"/>
      <c r="D361" s="68" t="n"/>
      <c r="E361" s="68" t="n"/>
      <c r="F361" s="59">
        <f>IF(OR(E361="",D361=""),"",MAX(E361-D361,0))</f>
        <v/>
      </c>
      <c r="G361" s="59">
        <f>IF(F361="","",IF(N(C361)=0,1,C361))</f>
        <v/>
      </c>
      <c r="H361" s="53" t="n">
        <v>341</v>
      </c>
      <c r="I361" s="67" t="n"/>
      <c r="J361" s="55" t="n"/>
      <c r="K361" s="68" t="n"/>
      <c r="L361" s="68" t="n"/>
      <c r="M361" s="59">
        <f>IF(OR(L361="",K361=""),"",MAX(L361-K361,0))</f>
        <v/>
      </c>
      <c r="N361" s="59">
        <f>IF(M361="","",IF(N(J361)=0,1,J361))</f>
        <v/>
      </c>
    </row>
    <row r="362">
      <c r="A362" s="53" t="n">
        <v>342</v>
      </c>
      <c r="B362" s="67" t="n"/>
      <c r="C362" s="55" t="n"/>
      <c r="D362" s="68" t="n"/>
      <c r="E362" s="68" t="n"/>
      <c r="F362" s="59">
        <f>IF(OR(E362="",D362=""),"",MAX(E362-D362,0))</f>
        <v/>
      </c>
      <c r="G362" s="59">
        <f>IF(F362="","",IF(N(C362)=0,1,C362))</f>
        <v/>
      </c>
      <c r="H362" s="53" t="n">
        <v>342</v>
      </c>
      <c r="I362" s="67" t="n"/>
      <c r="J362" s="55" t="n"/>
      <c r="K362" s="68" t="n"/>
      <c r="L362" s="68" t="n"/>
      <c r="M362" s="59">
        <f>IF(OR(L362="",K362=""),"",MAX(L362-K362,0))</f>
        <v/>
      </c>
      <c r="N362" s="59">
        <f>IF(M362="","",IF(N(J362)=0,1,J362))</f>
        <v/>
      </c>
    </row>
    <row r="363">
      <c r="A363" s="53" t="n">
        <v>343</v>
      </c>
      <c r="B363" s="67" t="n"/>
      <c r="C363" s="55" t="n"/>
      <c r="D363" s="68" t="n"/>
      <c r="E363" s="68" t="n"/>
      <c r="F363" s="59">
        <f>IF(OR(E363="",D363=""),"",MAX(E363-D363,0))</f>
        <v/>
      </c>
      <c r="G363" s="59">
        <f>IF(F363="","",IF(N(C363)=0,1,C363))</f>
        <v/>
      </c>
      <c r="H363" s="53" t="n">
        <v>343</v>
      </c>
      <c r="I363" s="67" t="n"/>
      <c r="J363" s="55" t="n"/>
      <c r="K363" s="68" t="n"/>
      <c r="L363" s="68" t="n"/>
      <c r="M363" s="59">
        <f>IF(OR(L363="",K363=""),"",MAX(L363-K363,0))</f>
        <v/>
      </c>
      <c r="N363" s="59">
        <f>IF(M363="","",IF(N(J363)=0,1,J363))</f>
        <v/>
      </c>
    </row>
    <row r="364">
      <c r="A364" s="53" t="n">
        <v>344</v>
      </c>
      <c r="B364" s="67" t="n"/>
      <c r="C364" s="55" t="n"/>
      <c r="D364" s="68" t="n"/>
      <c r="E364" s="68" t="n"/>
      <c r="F364" s="59">
        <f>IF(OR(E364="",D364=""),"",MAX(E364-D364,0))</f>
        <v/>
      </c>
      <c r="G364" s="59">
        <f>IF(F364="","",IF(N(C364)=0,1,C364))</f>
        <v/>
      </c>
      <c r="H364" s="53" t="n">
        <v>344</v>
      </c>
      <c r="I364" s="67" t="n"/>
      <c r="J364" s="55" t="n"/>
      <c r="K364" s="68" t="n"/>
      <c r="L364" s="68" t="n"/>
      <c r="M364" s="59">
        <f>IF(OR(L364="",K364=""),"",MAX(L364-K364,0))</f>
        <v/>
      </c>
      <c r="N364" s="59">
        <f>IF(M364="","",IF(N(J364)=0,1,J364))</f>
        <v/>
      </c>
    </row>
    <row r="365">
      <c r="A365" s="53" t="n">
        <v>345</v>
      </c>
      <c r="B365" s="67" t="n"/>
      <c r="C365" s="55" t="n"/>
      <c r="D365" s="68" t="n"/>
      <c r="E365" s="68" t="n"/>
      <c r="F365" s="59">
        <f>IF(OR(E365="",D365=""),"",MAX(E365-D365,0))</f>
        <v/>
      </c>
      <c r="G365" s="59">
        <f>IF(F365="","",IF(N(C365)=0,1,C365))</f>
        <v/>
      </c>
      <c r="H365" s="53" t="n">
        <v>345</v>
      </c>
      <c r="I365" s="67" t="n"/>
      <c r="J365" s="55" t="n"/>
      <c r="K365" s="68" t="n"/>
      <c r="L365" s="68" t="n"/>
      <c r="M365" s="59">
        <f>IF(OR(L365="",K365=""),"",MAX(L365-K365,0))</f>
        <v/>
      </c>
      <c r="N365" s="59">
        <f>IF(M365="","",IF(N(J365)=0,1,J365))</f>
        <v/>
      </c>
    </row>
    <row r="366">
      <c r="A366" s="53" t="n">
        <v>346</v>
      </c>
      <c r="B366" s="67" t="n"/>
      <c r="C366" s="55" t="n"/>
      <c r="D366" s="68" t="n"/>
      <c r="E366" s="68" t="n"/>
      <c r="F366" s="59">
        <f>IF(OR(E366="",D366=""),"",MAX(E366-D366,0))</f>
        <v/>
      </c>
      <c r="G366" s="59">
        <f>IF(F366="","",IF(N(C366)=0,1,C366))</f>
        <v/>
      </c>
      <c r="H366" s="53" t="n">
        <v>346</v>
      </c>
      <c r="I366" s="67" t="n"/>
      <c r="J366" s="55" t="n"/>
      <c r="K366" s="68" t="n"/>
      <c r="L366" s="68" t="n"/>
      <c r="M366" s="59">
        <f>IF(OR(L366="",K366=""),"",MAX(L366-K366,0))</f>
        <v/>
      </c>
      <c r="N366" s="59">
        <f>IF(M366="","",IF(N(J366)=0,1,J366))</f>
        <v/>
      </c>
    </row>
    <row r="367">
      <c r="A367" s="53" t="n">
        <v>347</v>
      </c>
      <c r="B367" s="67" t="n"/>
      <c r="C367" s="55" t="n"/>
      <c r="D367" s="68" t="n"/>
      <c r="E367" s="68" t="n"/>
      <c r="F367" s="59">
        <f>IF(OR(E367="",D367=""),"",MAX(E367-D367,0))</f>
        <v/>
      </c>
      <c r="G367" s="59">
        <f>IF(F367="","",IF(N(C367)=0,1,C367))</f>
        <v/>
      </c>
      <c r="H367" s="53" t="n">
        <v>347</v>
      </c>
      <c r="I367" s="67" t="n"/>
      <c r="J367" s="55" t="n"/>
      <c r="K367" s="68" t="n"/>
      <c r="L367" s="68" t="n"/>
      <c r="M367" s="59">
        <f>IF(OR(L367="",K367=""),"",MAX(L367-K367,0))</f>
        <v/>
      </c>
      <c r="N367" s="59">
        <f>IF(M367="","",IF(N(J367)=0,1,J367))</f>
        <v/>
      </c>
    </row>
    <row r="368">
      <c r="A368" s="53" t="n">
        <v>348</v>
      </c>
      <c r="B368" s="67" t="n"/>
      <c r="C368" s="55" t="n"/>
      <c r="D368" s="68" t="n"/>
      <c r="E368" s="68" t="n"/>
      <c r="F368" s="59">
        <f>IF(OR(E368="",D368=""),"",MAX(E368-D368,0))</f>
        <v/>
      </c>
      <c r="G368" s="59">
        <f>IF(F368="","",IF(N(C368)=0,1,C368))</f>
        <v/>
      </c>
      <c r="H368" s="53" t="n">
        <v>348</v>
      </c>
      <c r="I368" s="67" t="n"/>
      <c r="J368" s="55" t="n"/>
      <c r="K368" s="68" t="n"/>
      <c r="L368" s="68" t="n"/>
      <c r="M368" s="59">
        <f>IF(OR(L368="",K368=""),"",MAX(L368-K368,0))</f>
        <v/>
      </c>
      <c r="N368" s="59">
        <f>IF(M368="","",IF(N(J368)=0,1,J368))</f>
        <v/>
      </c>
    </row>
    <row r="369">
      <c r="A369" s="53" t="n">
        <v>349</v>
      </c>
      <c r="B369" s="67" t="n"/>
      <c r="C369" s="55" t="n"/>
      <c r="D369" s="68" t="n"/>
      <c r="E369" s="68" t="n"/>
      <c r="F369" s="59">
        <f>IF(OR(E369="",D369=""),"",MAX(E369-D369,0))</f>
        <v/>
      </c>
      <c r="G369" s="59">
        <f>IF(F369="","",IF(N(C369)=0,1,C369))</f>
        <v/>
      </c>
      <c r="H369" s="53" t="n">
        <v>349</v>
      </c>
      <c r="I369" s="67" t="n"/>
      <c r="J369" s="55" t="n"/>
      <c r="K369" s="68" t="n"/>
      <c r="L369" s="68" t="n"/>
      <c r="M369" s="59">
        <f>IF(OR(L369="",K369=""),"",MAX(L369-K369,0))</f>
        <v/>
      </c>
      <c r="N369" s="59">
        <f>IF(M369="","",IF(N(J369)=0,1,J369))</f>
        <v/>
      </c>
    </row>
    <row r="370">
      <c r="A370" s="53" t="n">
        <v>350</v>
      </c>
      <c r="B370" s="67" t="n"/>
      <c r="C370" s="55" t="n"/>
      <c r="D370" s="68" t="n"/>
      <c r="E370" s="68" t="n"/>
      <c r="F370" s="59">
        <f>IF(OR(E370="",D370=""),"",MAX(E370-D370,0))</f>
        <v/>
      </c>
      <c r="G370" s="59">
        <f>IF(F370="","",IF(N(C370)=0,1,C370))</f>
        <v/>
      </c>
      <c r="H370" s="53" t="n">
        <v>350</v>
      </c>
      <c r="I370" s="67" t="n"/>
      <c r="J370" s="55" t="n"/>
      <c r="K370" s="68" t="n"/>
      <c r="L370" s="68" t="n"/>
      <c r="M370" s="59">
        <f>IF(OR(L370="",K370=""),"",MAX(L370-K370,0))</f>
        <v/>
      </c>
      <c r="N370" s="59">
        <f>IF(M370="","",IF(N(J370)=0,1,J370))</f>
        <v/>
      </c>
    </row>
    <row r="371">
      <c r="A371" s="53" t="n">
        <v>351</v>
      </c>
      <c r="B371" s="67" t="n"/>
      <c r="C371" s="55" t="n"/>
      <c r="D371" s="68" t="n"/>
      <c r="E371" s="68" t="n"/>
      <c r="F371" s="59">
        <f>IF(OR(E371="",D371=""),"",MAX(E371-D371,0))</f>
        <v/>
      </c>
      <c r="G371" s="59">
        <f>IF(F371="","",IF(N(C371)=0,1,C371))</f>
        <v/>
      </c>
      <c r="H371" s="53" t="n">
        <v>351</v>
      </c>
      <c r="I371" s="67" t="n"/>
      <c r="J371" s="55" t="n"/>
      <c r="K371" s="68" t="n"/>
      <c r="L371" s="68" t="n"/>
      <c r="M371" s="59">
        <f>IF(OR(L371="",K371=""),"",MAX(L371-K371,0))</f>
        <v/>
      </c>
      <c r="N371" s="59">
        <f>IF(M371="","",IF(N(J371)=0,1,J371))</f>
        <v/>
      </c>
    </row>
    <row r="372">
      <c r="A372" s="53" t="n">
        <v>352</v>
      </c>
      <c r="B372" s="67" t="n"/>
      <c r="C372" s="55" t="n"/>
      <c r="D372" s="68" t="n"/>
      <c r="E372" s="68" t="n"/>
      <c r="F372" s="59">
        <f>IF(OR(E372="",D372=""),"",MAX(E372-D372,0))</f>
        <v/>
      </c>
      <c r="G372" s="59">
        <f>IF(F372="","",IF(N(C372)=0,1,C372))</f>
        <v/>
      </c>
      <c r="H372" s="53" t="n">
        <v>352</v>
      </c>
      <c r="I372" s="67" t="n"/>
      <c r="J372" s="55" t="n"/>
      <c r="K372" s="68" t="n"/>
      <c r="L372" s="68" t="n"/>
      <c r="M372" s="59">
        <f>IF(OR(L372="",K372=""),"",MAX(L372-K372,0))</f>
        <v/>
      </c>
      <c r="N372" s="59">
        <f>IF(M372="","",IF(N(J372)=0,1,J372))</f>
        <v/>
      </c>
    </row>
    <row r="373">
      <c r="A373" s="53" t="n">
        <v>353</v>
      </c>
      <c r="B373" s="67" t="n"/>
      <c r="C373" s="55" t="n"/>
      <c r="D373" s="68" t="n"/>
      <c r="E373" s="68" t="n"/>
      <c r="F373" s="59">
        <f>IF(OR(E373="",D373=""),"",MAX(E373-D373,0))</f>
        <v/>
      </c>
      <c r="G373" s="59">
        <f>IF(F373="","",IF(N(C373)=0,1,C373))</f>
        <v/>
      </c>
      <c r="H373" s="53" t="n">
        <v>353</v>
      </c>
      <c r="I373" s="67" t="n"/>
      <c r="J373" s="55" t="n"/>
      <c r="K373" s="68" t="n"/>
      <c r="L373" s="68" t="n"/>
      <c r="M373" s="59">
        <f>IF(OR(L373="",K373=""),"",MAX(L373-K373,0))</f>
        <v/>
      </c>
      <c r="N373" s="59">
        <f>IF(M373="","",IF(N(J373)=0,1,J373))</f>
        <v/>
      </c>
    </row>
    <row r="374">
      <c r="A374" s="53" t="n">
        <v>354</v>
      </c>
      <c r="B374" s="67" t="n"/>
      <c r="C374" s="55" t="n"/>
      <c r="D374" s="68" t="n"/>
      <c r="E374" s="68" t="n"/>
      <c r="F374" s="59">
        <f>IF(OR(E374="",D374=""),"",MAX(E374-D374,0))</f>
        <v/>
      </c>
      <c r="G374" s="59">
        <f>IF(F374="","",IF(N(C374)=0,1,C374))</f>
        <v/>
      </c>
      <c r="H374" s="53" t="n">
        <v>354</v>
      </c>
      <c r="I374" s="67" t="n"/>
      <c r="J374" s="55" t="n"/>
      <c r="K374" s="68" t="n"/>
      <c r="L374" s="68" t="n"/>
      <c r="M374" s="59">
        <f>IF(OR(L374="",K374=""),"",MAX(L374-K374,0))</f>
        <v/>
      </c>
      <c r="N374" s="59">
        <f>IF(M374="","",IF(N(J374)=0,1,J374))</f>
        <v/>
      </c>
    </row>
    <row r="375">
      <c r="A375" s="53" t="n">
        <v>355</v>
      </c>
      <c r="B375" s="67" t="n"/>
      <c r="C375" s="55" t="n"/>
      <c r="D375" s="68" t="n"/>
      <c r="E375" s="68" t="n"/>
      <c r="F375" s="59">
        <f>IF(OR(E375="",D375=""),"",MAX(E375-D375,0))</f>
        <v/>
      </c>
      <c r="G375" s="59">
        <f>IF(F375="","",IF(N(C375)=0,1,C375))</f>
        <v/>
      </c>
      <c r="H375" s="53" t="n">
        <v>355</v>
      </c>
      <c r="I375" s="67" t="n"/>
      <c r="J375" s="55" t="n"/>
      <c r="K375" s="68" t="n"/>
      <c r="L375" s="68" t="n"/>
      <c r="M375" s="59">
        <f>IF(OR(L375="",K375=""),"",MAX(L375-K375,0))</f>
        <v/>
      </c>
      <c r="N375" s="59">
        <f>IF(M375="","",IF(N(J375)=0,1,J375))</f>
        <v/>
      </c>
    </row>
    <row r="376">
      <c r="A376" s="53" t="n">
        <v>356</v>
      </c>
      <c r="B376" s="67" t="n"/>
      <c r="C376" s="55" t="n"/>
      <c r="D376" s="68" t="n"/>
      <c r="E376" s="68" t="n"/>
      <c r="F376" s="59">
        <f>IF(OR(E376="",D376=""),"",MAX(E376-D376,0))</f>
        <v/>
      </c>
      <c r="G376" s="59">
        <f>IF(F376="","",IF(N(C376)=0,1,C376))</f>
        <v/>
      </c>
      <c r="H376" s="53" t="n">
        <v>356</v>
      </c>
      <c r="I376" s="67" t="n"/>
      <c r="J376" s="55" t="n"/>
      <c r="K376" s="68" t="n"/>
      <c r="L376" s="68" t="n"/>
      <c r="M376" s="59">
        <f>IF(OR(L376="",K376=""),"",MAX(L376-K376,0))</f>
        <v/>
      </c>
      <c r="N376" s="59">
        <f>IF(M376="","",IF(N(J376)=0,1,J376))</f>
        <v/>
      </c>
    </row>
    <row r="377">
      <c r="A377" s="53" t="n">
        <v>357</v>
      </c>
      <c r="B377" s="67" t="n"/>
      <c r="C377" s="55" t="n"/>
      <c r="D377" s="68" t="n"/>
      <c r="E377" s="68" t="n"/>
      <c r="F377" s="59">
        <f>IF(OR(E377="",D377=""),"",MAX(E377-D377,0))</f>
        <v/>
      </c>
      <c r="G377" s="59">
        <f>IF(F377="","",IF(N(C377)=0,1,C377))</f>
        <v/>
      </c>
      <c r="H377" s="53" t="n">
        <v>357</v>
      </c>
      <c r="I377" s="67" t="n"/>
      <c r="J377" s="55" t="n"/>
      <c r="K377" s="68" t="n"/>
      <c r="L377" s="68" t="n"/>
      <c r="M377" s="59">
        <f>IF(OR(L377="",K377=""),"",MAX(L377-K377,0))</f>
        <v/>
      </c>
      <c r="N377" s="59">
        <f>IF(M377="","",IF(N(J377)=0,1,J377))</f>
        <v/>
      </c>
    </row>
    <row r="378">
      <c r="A378" s="53" t="n">
        <v>358</v>
      </c>
      <c r="B378" s="67" t="n"/>
      <c r="C378" s="55" t="n"/>
      <c r="D378" s="68" t="n"/>
      <c r="E378" s="68" t="n"/>
      <c r="F378" s="59">
        <f>IF(OR(E378="",D378=""),"",MAX(E378-D378,0))</f>
        <v/>
      </c>
      <c r="G378" s="59">
        <f>IF(F378="","",IF(N(C378)=0,1,C378))</f>
        <v/>
      </c>
      <c r="H378" s="53" t="n">
        <v>358</v>
      </c>
      <c r="I378" s="67" t="n"/>
      <c r="J378" s="55" t="n"/>
      <c r="K378" s="68" t="n"/>
      <c r="L378" s="68" t="n"/>
      <c r="M378" s="59">
        <f>IF(OR(L378="",K378=""),"",MAX(L378-K378,0))</f>
        <v/>
      </c>
      <c r="N378" s="59">
        <f>IF(M378="","",IF(N(J378)=0,1,J378))</f>
        <v/>
      </c>
    </row>
    <row r="379">
      <c r="A379" s="53" t="n">
        <v>359</v>
      </c>
      <c r="B379" s="67" t="n"/>
      <c r="C379" s="55" t="n"/>
      <c r="D379" s="68" t="n"/>
      <c r="E379" s="68" t="n"/>
      <c r="F379" s="59">
        <f>IF(OR(E379="",D379=""),"",MAX(E379-D379,0))</f>
        <v/>
      </c>
      <c r="G379" s="59">
        <f>IF(F379="","",IF(N(C379)=0,1,C379))</f>
        <v/>
      </c>
      <c r="H379" s="53" t="n">
        <v>359</v>
      </c>
      <c r="I379" s="67" t="n"/>
      <c r="J379" s="55" t="n"/>
      <c r="K379" s="68" t="n"/>
      <c r="L379" s="68" t="n"/>
      <c r="M379" s="59">
        <f>IF(OR(L379="",K379=""),"",MAX(L379-K379,0))</f>
        <v/>
      </c>
      <c r="N379" s="59">
        <f>IF(M379="","",IF(N(J379)=0,1,J379))</f>
        <v/>
      </c>
    </row>
    <row r="380">
      <c r="A380" s="53" t="n">
        <v>360</v>
      </c>
      <c r="B380" s="67" t="n"/>
      <c r="C380" s="55" t="n"/>
      <c r="D380" s="68" t="n"/>
      <c r="E380" s="68" t="n"/>
      <c r="F380" s="59">
        <f>IF(OR(E380="",D380=""),"",MAX(E380-D380,0))</f>
        <v/>
      </c>
      <c r="G380" s="59">
        <f>IF(F380="","",IF(N(C380)=0,1,C380))</f>
        <v/>
      </c>
      <c r="H380" s="53" t="n">
        <v>360</v>
      </c>
      <c r="I380" s="67" t="n"/>
      <c r="J380" s="55" t="n"/>
      <c r="K380" s="68" t="n"/>
      <c r="L380" s="68" t="n"/>
      <c r="M380" s="59">
        <f>IF(OR(L380="",K380=""),"",MAX(L380-K380,0))</f>
        <v/>
      </c>
      <c r="N380" s="59">
        <f>IF(M380="","",IF(N(J380)=0,1,J380))</f>
        <v/>
      </c>
    </row>
    <row r="381">
      <c r="A381" s="53" t="n">
        <v>361</v>
      </c>
      <c r="B381" s="67" t="n"/>
      <c r="C381" s="55" t="n"/>
      <c r="D381" s="68" t="n"/>
      <c r="E381" s="68" t="n"/>
      <c r="F381" s="59">
        <f>IF(OR(E381="",D381=""),"",MAX(E381-D381,0))</f>
        <v/>
      </c>
      <c r="G381" s="59">
        <f>IF(F381="","",IF(N(C381)=0,1,C381))</f>
        <v/>
      </c>
      <c r="H381" s="53" t="n">
        <v>361</v>
      </c>
      <c r="I381" s="67" t="n"/>
      <c r="J381" s="55" t="n"/>
      <c r="K381" s="68" t="n"/>
      <c r="L381" s="68" t="n"/>
      <c r="M381" s="59">
        <f>IF(OR(L381="",K381=""),"",MAX(L381-K381,0))</f>
        <v/>
      </c>
      <c r="N381" s="59">
        <f>IF(M381="","",IF(N(J381)=0,1,J381))</f>
        <v/>
      </c>
    </row>
    <row r="382">
      <c r="A382" s="53" t="n">
        <v>362</v>
      </c>
      <c r="B382" s="67" t="n"/>
      <c r="C382" s="55" t="n"/>
      <c r="D382" s="68" t="n"/>
      <c r="E382" s="68" t="n"/>
      <c r="F382" s="59">
        <f>IF(OR(E382="",D382=""),"",MAX(E382-D382,0))</f>
        <v/>
      </c>
      <c r="G382" s="59">
        <f>IF(F382="","",IF(N(C382)=0,1,C382))</f>
        <v/>
      </c>
      <c r="H382" s="53" t="n">
        <v>362</v>
      </c>
      <c r="I382" s="67" t="n"/>
      <c r="J382" s="55" t="n"/>
      <c r="K382" s="68" t="n"/>
      <c r="L382" s="68" t="n"/>
      <c r="M382" s="59">
        <f>IF(OR(L382="",K382=""),"",MAX(L382-K382,0))</f>
        <v/>
      </c>
      <c r="N382" s="59">
        <f>IF(M382="","",IF(N(J382)=0,1,J382))</f>
        <v/>
      </c>
    </row>
    <row r="383">
      <c r="A383" s="53" t="n">
        <v>363</v>
      </c>
      <c r="B383" s="67" t="n"/>
      <c r="C383" s="55" t="n"/>
      <c r="D383" s="68" t="n"/>
      <c r="E383" s="68" t="n"/>
      <c r="F383" s="59">
        <f>IF(OR(E383="",D383=""),"",MAX(E383-D383,0))</f>
        <v/>
      </c>
      <c r="G383" s="59">
        <f>IF(F383="","",IF(N(C383)=0,1,C383))</f>
        <v/>
      </c>
      <c r="H383" s="53" t="n">
        <v>363</v>
      </c>
      <c r="I383" s="67" t="n"/>
      <c r="J383" s="55" t="n"/>
      <c r="K383" s="68" t="n"/>
      <c r="L383" s="68" t="n"/>
      <c r="M383" s="59">
        <f>IF(OR(L383="",K383=""),"",MAX(L383-K383,0))</f>
        <v/>
      </c>
      <c r="N383" s="59">
        <f>IF(M383="","",IF(N(J383)=0,1,J383))</f>
        <v/>
      </c>
    </row>
    <row r="384">
      <c r="A384" s="53" t="n">
        <v>364</v>
      </c>
      <c r="B384" s="67" t="n"/>
      <c r="C384" s="55" t="n"/>
      <c r="D384" s="68" t="n"/>
      <c r="E384" s="68" t="n"/>
      <c r="F384" s="59">
        <f>IF(OR(E384="",D384=""),"",MAX(E384-D384,0))</f>
        <v/>
      </c>
      <c r="G384" s="59">
        <f>IF(F384="","",IF(N(C384)=0,1,C384))</f>
        <v/>
      </c>
      <c r="H384" s="53" t="n">
        <v>364</v>
      </c>
      <c r="I384" s="67" t="n"/>
      <c r="J384" s="55" t="n"/>
      <c r="K384" s="68" t="n"/>
      <c r="L384" s="68" t="n"/>
      <c r="M384" s="59">
        <f>IF(OR(L384="",K384=""),"",MAX(L384-K384,0))</f>
        <v/>
      </c>
      <c r="N384" s="59">
        <f>IF(M384="","",IF(N(J384)=0,1,J384))</f>
        <v/>
      </c>
    </row>
    <row r="385">
      <c r="A385" s="53" t="n">
        <v>365</v>
      </c>
      <c r="B385" s="67" t="n"/>
      <c r="C385" s="55" t="n"/>
      <c r="D385" s="68" t="n"/>
      <c r="E385" s="68" t="n"/>
      <c r="F385" s="59">
        <f>IF(OR(E385="",D385=""),"",MAX(E385-D385,0))</f>
        <v/>
      </c>
      <c r="G385" s="59">
        <f>IF(F385="","",IF(N(C385)=0,1,C385))</f>
        <v/>
      </c>
      <c r="H385" s="53" t="n">
        <v>365</v>
      </c>
      <c r="I385" s="67" t="n"/>
      <c r="J385" s="55" t="n"/>
      <c r="K385" s="68" t="n"/>
      <c r="L385" s="68" t="n"/>
      <c r="M385" s="59">
        <f>IF(OR(L385="",K385=""),"",MAX(L385-K385,0))</f>
        <v/>
      </c>
      <c r="N385" s="59">
        <f>IF(M385="","",IF(N(J385)=0,1,J385))</f>
        <v/>
      </c>
    </row>
    <row r="386">
      <c r="A386" s="53" t="n">
        <v>366</v>
      </c>
      <c r="B386" s="67" t="n"/>
      <c r="C386" s="55" t="n"/>
      <c r="D386" s="68" t="n"/>
      <c r="E386" s="68" t="n"/>
      <c r="F386" s="59">
        <f>IF(OR(E386="",D386=""),"",MAX(E386-D386,0))</f>
        <v/>
      </c>
      <c r="G386" s="59">
        <f>IF(F386="","",IF(N(C386)=0,1,C386))</f>
        <v/>
      </c>
      <c r="H386" s="53" t="n">
        <v>366</v>
      </c>
      <c r="I386" s="67" t="n"/>
      <c r="J386" s="55" t="n"/>
      <c r="K386" s="68" t="n"/>
      <c r="L386" s="68" t="n"/>
      <c r="M386" s="59">
        <f>IF(OR(L386="",K386=""),"",MAX(L386-K386,0))</f>
        <v/>
      </c>
      <c r="N386" s="59">
        <f>IF(M386="","",IF(N(J386)=0,1,J386))</f>
        <v/>
      </c>
    </row>
    <row r="387">
      <c r="A387" s="53" t="n">
        <v>367</v>
      </c>
      <c r="B387" s="67" t="n"/>
      <c r="C387" s="55" t="n"/>
      <c r="D387" s="68" t="n"/>
      <c r="E387" s="68" t="n"/>
      <c r="F387" s="59">
        <f>IF(OR(E387="",D387=""),"",MAX(E387-D387,0))</f>
        <v/>
      </c>
      <c r="G387" s="59">
        <f>IF(F387="","",IF(N(C387)=0,1,C387))</f>
        <v/>
      </c>
      <c r="H387" s="53" t="n">
        <v>367</v>
      </c>
      <c r="I387" s="67" t="n"/>
      <c r="J387" s="55" t="n"/>
      <c r="K387" s="68" t="n"/>
      <c r="L387" s="68" t="n"/>
      <c r="M387" s="59">
        <f>IF(OR(L387="",K387=""),"",MAX(L387-K387,0))</f>
        <v/>
      </c>
      <c r="N387" s="59">
        <f>IF(M387="","",IF(N(J387)=0,1,J387))</f>
        <v/>
      </c>
    </row>
    <row r="388">
      <c r="A388" s="53" t="n">
        <v>368</v>
      </c>
      <c r="B388" s="67" t="n"/>
      <c r="C388" s="55" t="n"/>
      <c r="D388" s="68" t="n"/>
      <c r="E388" s="68" t="n"/>
      <c r="F388" s="59">
        <f>IF(OR(E388="",D388=""),"",MAX(E388-D388,0))</f>
        <v/>
      </c>
      <c r="G388" s="59">
        <f>IF(F388="","",IF(N(C388)=0,1,C388))</f>
        <v/>
      </c>
      <c r="H388" s="53" t="n">
        <v>368</v>
      </c>
      <c r="I388" s="67" t="n"/>
      <c r="J388" s="55" t="n"/>
      <c r="K388" s="68" t="n"/>
      <c r="L388" s="68" t="n"/>
      <c r="M388" s="59">
        <f>IF(OR(L388="",K388=""),"",MAX(L388-K388,0))</f>
        <v/>
      </c>
      <c r="N388" s="59">
        <f>IF(M388="","",IF(N(J388)=0,1,J388))</f>
        <v/>
      </c>
    </row>
    <row r="389">
      <c r="A389" s="53" t="n">
        <v>369</v>
      </c>
      <c r="B389" s="67" t="n"/>
      <c r="C389" s="55" t="n"/>
      <c r="D389" s="68" t="n"/>
      <c r="E389" s="68" t="n"/>
      <c r="F389" s="59">
        <f>IF(OR(E389="",D389=""),"",MAX(E389-D389,0))</f>
        <v/>
      </c>
      <c r="G389" s="59">
        <f>IF(F389="","",IF(N(C389)=0,1,C389))</f>
        <v/>
      </c>
      <c r="H389" s="53" t="n">
        <v>369</v>
      </c>
      <c r="I389" s="67" t="n"/>
      <c r="J389" s="55" t="n"/>
      <c r="K389" s="68" t="n"/>
      <c r="L389" s="68" t="n"/>
      <c r="M389" s="59">
        <f>IF(OR(L389="",K389=""),"",MAX(L389-K389,0))</f>
        <v/>
      </c>
      <c r="N389" s="59">
        <f>IF(M389="","",IF(N(J389)=0,1,J389))</f>
        <v/>
      </c>
    </row>
    <row r="390">
      <c r="A390" s="53" t="n">
        <v>370</v>
      </c>
      <c r="B390" s="67" t="n"/>
      <c r="C390" s="55" t="n"/>
      <c r="D390" s="68" t="n"/>
      <c r="E390" s="68" t="n"/>
      <c r="F390" s="59">
        <f>IF(OR(E390="",D390=""),"",MAX(E390-D390,0))</f>
        <v/>
      </c>
      <c r="G390" s="59">
        <f>IF(F390="","",IF(N(C390)=0,1,C390))</f>
        <v/>
      </c>
      <c r="H390" s="53" t="n">
        <v>370</v>
      </c>
      <c r="I390" s="67" t="n"/>
      <c r="J390" s="55" t="n"/>
      <c r="K390" s="68" t="n"/>
      <c r="L390" s="68" t="n"/>
      <c r="M390" s="59">
        <f>IF(OR(L390="",K390=""),"",MAX(L390-K390,0))</f>
        <v/>
      </c>
      <c r="N390" s="59">
        <f>IF(M390="","",IF(N(J390)=0,1,J390))</f>
        <v/>
      </c>
    </row>
    <row r="391">
      <c r="A391" s="53" t="n">
        <v>371</v>
      </c>
      <c r="B391" s="67" t="n"/>
      <c r="C391" s="55" t="n"/>
      <c r="D391" s="68" t="n"/>
      <c r="E391" s="68" t="n"/>
      <c r="F391" s="59">
        <f>IF(OR(E391="",D391=""),"",MAX(E391-D391,0))</f>
        <v/>
      </c>
      <c r="G391" s="59">
        <f>IF(F391="","",IF(N(C391)=0,1,C391))</f>
        <v/>
      </c>
      <c r="H391" s="53" t="n">
        <v>371</v>
      </c>
      <c r="I391" s="67" t="n"/>
      <c r="J391" s="55" t="n"/>
      <c r="K391" s="68" t="n"/>
      <c r="L391" s="68" t="n"/>
      <c r="M391" s="59">
        <f>IF(OR(L391="",K391=""),"",MAX(L391-K391,0))</f>
        <v/>
      </c>
      <c r="N391" s="59">
        <f>IF(M391="","",IF(N(J391)=0,1,J391))</f>
        <v/>
      </c>
    </row>
    <row r="392">
      <c r="A392" s="53" t="n">
        <v>372</v>
      </c>
      <c r="B392" s="67" t="n"/>
      <c r="C392" s="55" t="n"/>
      <c r="D392" s="68" t="n"/>
      <c r="E392" s="68" t="n"/>
      <c r="F392" s="59">
        <f>IF(OR(E392="",D392=""),"",MAX(E392-D392,0))</f>
        <v/>
      </c>
      <c r="G392" s="59">
        <f>IF(F392="","",IF(N(C392)=0,1,C392))</f>
        <v/>
      </c>
      <c r="H392" s="53" t="n">
        <v>372</v>
      </c>
      <c r="I392" s="67" t="n"/>
      <c r="J392" s="55" t="n"/>
      <c r="K392" s="68" t="n"/>
      <c r="L392" s="68" t="n"/>
      <c r="M392" s="59">
        <f>IF(OR(L392="",K392=""),"",MAX(L392-K392,0))</f>
        <v/>
      </c>
      <c r="N392" s="59">
        <f>IF(M392="","",IF(N(J392)=0,1,J392))</f>
        <v/>
      </c>
    </row>
    <row r="393">
      <c r="A393" s="53" t="n">
        <v>373</v>
      </c>
      <c r="B393" s="67" t="n"/>
      <c r="C393" s="55" t="n"/>
      <c r="D393" s="68" t="n"/>
      <c r="E393" s="68" t="n"/>
      <c r="F393" s="59">
        <f>IF(OR(E393="",D393=""),"",MAX(E393-D393,0))</f>
        <v/>
      </c>
      <c r="G393" s="59">
        <f>IF(F393="","",IF(N(C393)=0,1,C393))</f>
        <v/>
      </c>
      <c r="H393" s="53" t="n">
        <v>373</v>
      </c>
      <c r="I393" s="67" t="n"/>
      <c r="J393" s="55" t="n"/>
      <c r="K393" s="68" t="n"/>
      <c r="L393" s="68" t="n"/>
      <c r="M393" s="59">
        <f>IF(OR(L393="",K393=""),"",MAX(L393-K393,0))</f>
        <v/>
      </c>
      <c r="N393" s="59">
        <f>IF(M393="","",IF(N(J393)=0,1,J393))</f>
        <v/>
      </c>
    </row>
    <row r="394">
      <c r="A394" s="53" t="n">
        <v>374</v>
      </c>
      <c r="B394" s="67" t="n"/>
      <c r="C394" s="55" t="n"/>
      <c r="D394" s="68" t="n"/>
      <c r="E394" s="68" t="n"/>
      <c r="F394" s="59">
        <f>IF(OR(E394="",D394=""),"",MAX(E394-D394,0))</f>
        <v/>
      </c>
      <c r="G394" s="59">
        <f>IF(F394="","",IF(N(C394)=0,1,C394))</f>
        <v/>
      </c>
      <c r="H394" s="53" t="n">
        <v>374</v>
      </c>
      <c r="I394" s="67" t="n"/>
      <c r="J394" s="55" t="n"/>
      <c r="K394" s="68" t="n"/>
      <c r="L394" s="68" t="n"/>
      <c r="M394" s="59">
        <f>IF(OR(L394="",K394=""),"",MAX(L394-K394,0))</f>
        <v/>
      </c>
      <c r="N394" s="59">
        <f>IF(M394="","",IF(N(J394)=0,1,J394))</f>
        <v/>
      </c>
    </row>
    <row r="395">
      <c r="A395" s="53" t="n">
        <v>375</v>
      </c>
      <c r="B395" s="67" t="n"/>
      <c r="C395" s="55" t="n"/>
      <c r="D395" s="68" t="n"/>
      <c r="E395" s="68" t="n"/>
      <c r="F395" s="59">
        <f>IF(OR(E395="",D395=""),"",MAX(E395-D395,0))</f>
        <v/>
      </c>
      <c r="G395" s="59">
        <f>IF(F395="","",IF(N(C395)=0,1,C395))</f>
        <v/>
      </c>
      <c r="H395" s="53" t="n">
        <v>375</v>
      </c>
      <c r="I395" s="67" t="n"/>
      <c r="J395" s="55" t="n"/>
      <c r="K395" s="68" t="n"/>
      <c r="L395" s="68" t="n"/>
      <c r="M395" s="59">
        <f>IF(OR(L395="",K395=""),"",MAX(L395-K395,0))</f>
        <v/>
      </c>
      <c r="N395" s="59">
        <f>IF(M395="","",IF(N(J395)=0,1,J395))</f>
        <v/>
      </c>
    </row>
    <row r="396">
      <c r="A396" s="53" t="n">
        <v>376</v>
      </c>
      <c r="B396" s="67" t="n"/>
      <c r="C396" s="55" t="n"/>
      <c r="D396" s="68" t="n"/>
      <c r="E396" s="68" t="n"/>
      <c r="F396" s="59">
        <f>IF(OR(E396="",D396=""),"",MAX(E396-D396,0))</f>
        <v/>
      </c>
      <c r="G396" s="59">
        <f>IF(F396="","",IF(N(C396)=0,1,C396))</f>
        <v/>
      </c>
      <c r="H396" s="53" t="n">
        <v>376</v>
      </c>
      <c r="I396" s="67" t="n"/>
      <c r="J396" s="55" t="n"/>
      <c r="K396" s="68" t="n"/>
      <c r="L396" s="68" t="n"/>
      <c r="M396" s="59">
        <f>IF(OR(L396="",K396=""),"",MAX(L396-K396,0))</f>
        <v/>
      </c>
      <c r="N396" s="59">
        <f>IF(M396="","",IF(N(J396)=0,1,J396))</f>
        <v/>
      </c>
    </row>
    <row r="397">
      <c r="A397" s="53" t="n">
        <v>377</v>
      </c>
      <c r="B397" s="67" t="n"/>
      <c r="C397" s="55" t="n"/>
      <c r="D397" s="68" t="n"/>
      <c r="E397" s="68" t="n"/>
      <c r="F397" s="59">
        <f>IF(OR(E397="",D397=""),"",MAX(E397-D397,0))</f>
        <v/>
      </c>
      <c r="G397" s="59">
        <f>IF(F397="","",IF(N(C397)=0,1,C397))</f>
        <v/>
      </c>
      <c r="H397" s="53" t="n">
        <v>377</v>
      </c>
      <c r="I397" s="67" t="n"/>
      <c r="J397" s="55" t="n"/>
      <c r="K397" s="68" t="n"/>
      <c r="L397" s="68" t="n"/>
      <c r="M397" s="59">
        <f>IF(OR(L397="",K397=""),"",MAX(L397-K397,0))</f>
        <v/>
      </c>
      <c r="N397" s="59">
        <f>IF(M397="","",IF(N(J397)=0,1,J397))</f>
        <v/>
      </c>
    </row>
    <row r="398">
      <c r="A398" s="53" t="n">
        <v>378</v>
      </c>
      <c r="B398" s="67" t="n"/>
      <c r="C398" s="55" t="n"/>
      <c r="D398" s="68" t="n"/>
      <c r="E398" s="68" t="n"/>
      <c r="F398" s="59">
        <f>IF(OR(E398="",D398=""),"",MAX(E398-D398,0))</f>
        <v/>
      </c>
      <c r="G398" s="59">
        <f>IF(F398="","",IF(N(C398)=0,1,C398))</f>
        <v/>
      </c>
      <c r="H398" s="53" t="n">
        <v>378</v>
      </c>
      <c r="I398" s="67" t="n"/>
      <c r="J398" s="55" t="n"/>
      <c r="K398" s="68" t="n"/>
      <c r="L398" s="68" t="n"/>
      <c r="M398" s="59">
        <f>IF(OR(L398="",K398=""),"",MAX(L398-K398,0))</f>
        <v/>
      </c>
      <c r="N398" s="59">
        <f>IF(M398="","",IF(N(J398)=0,1,J398))</f>
        <v/>
      </c>
    </row>
    <row r="399">
      <c r="A399" s="53" t="n">
        <v>379</v>
      </c>
      <c r="B399" s="67" t="n"/>
      <c r="C399" s="55" t="n"/>
      <c r="D399" s="68" t="n"/>
      <c r="E399" s="68" t="n"/>
      <c r="F399" s="59">
        <f>IF(OR(E399="",D399=""),"",MAX(E399-D399,0))</f>
        <v/>
      </c>
      <c r="G399" s="59">
        <f>IF(F399="","",IF(N(C399)=0,1,C399))</f>
        <v/>
      </c>
      <c r="H399" s="53" t="n">
        <v>379</v>
      </c>
      <c r="I399" s="67" t="n"/>
      <c r="J399" s="55" t="n"/>
      <c r="K399" s="68" t="n"/>
      <c r="L399" s="68" t="n"/>
      <c r="M399" s="59">
        <f>IF(OR(L399="",K399=""),"",MAX(L399-K399,0))</f>
        <v/>
      </c>
      <c r="N399" s="59">
        <f>IF(M399="","",IF(N(J399)=0,1,J399))</f>
        <v/>
      </c>
    </row>
    <row r="400">
      <c r="A400" s="53" t="n">
        <v>380</v>
      </c>
      <c r="B400" s="67" t="n"/>
      <c r="C400" s="55" t="n"/>
      <c r="D400" s="68" t="n"/>
      <c r="E400" s="68" t="n"/>
      <c r="F400" s="59">
        <f>IF(OR(E400="",D400=""),"",MAX(E400-D400,0))</f>
        <v/>
      </c>
      <c r="G400" s="59">
        <f>IF(F400="","",IF(N(C400)=0,1,C400))</f>
        <v/>
      </c>
      <c r="H400" s="53" t="n">
        <v>380</v>
      </c>
      <c r="I400" s="67" t="n"/>
      <c r="J400" s="55" t="n"/>
      <c r="K400" s="68" t="n"/>
      <c r="L400" s="68" t="n"/>
      <c r="M400" s="59">
        <f>IF(OR(L400="",K400=""),"",MAX(L400-K400,0))</f>
        <v/>
      </c>
      <c r="N400" s="59">
        <f>IF(M400="","",IF(N(J400)=0,1,J400))</f>
        <v/>
      </c>
    </row>
    <row r="401">
      <c r="A401" s="53" t="n">
        <v>381</v>
      </c>
      <c r="B401" s="67" t="n"/>
      <c r="C401" s="55" t="n"/>
      <c r="D401" s="68" t="n"/>
      <c r="E401" s="68" t="n"/>
      <c r="F401" s="59">
        <f>IF(OR(E401="",D401=""),"",MAX(E401-D401,0))</f>
        <v/>
      </c>
      <c r="G401" s="59">
        <f>IF(F401="","",IF(N(C401)=0,1,C401))</f>
        <v/>
      </c>
      <c r="H401" s="53" t="n">
        <v>381</v>
      </c>
      <c r="I401" s="67" t="n"/>
      <c r="J401" s="55" t="n"/>
      <c r="K401" s="68" t="n"/>
      <c r="L401" s="68" t="n"/>
      <c r="M401" s="59">
        <f>IF(OR(L401="",K401=""),"",MAX(L401-K401,0))</f>
        <v/>
      </c>
      <c r="N401" s="59">
        <f>IF(M401="","",IF(N(J401)=0,1,J401))</f>
        <v/>
      </c>
    </row>
    <row r="402">
      <c r="A402" s="53" t="n">
        <v>382</v>
      </c>
      <c r="B402" s="67" t="n"/>
      <c r="C402" s="55" t="n"/>
      <c r="D402" s="68" t="n"/>
      <c r="E402" s="68" t="n"/>
      <c r="F402" s="59">
        <f>IF(OR(E402="",D402=""),"",MAX(E402-D402,0))</f>
        <v/>
      </c>
      <c r="G402" s="59">
        <f>IF(F402="","",IF(N(C402)=0,1,C402))</f>
        <v/>
      </c>
      <c r="H402" s="53" t="n">
        <v>382</v>
      </c>
      <c r="I402" s="67" t="n"/>
      <c r="J402" s="55" t="n"/>
      <c r="K402" s="68" t="n"/>
      <c r="L402" s="68" t="n"/>
      <c r="M402" s="59">
        <f>IF(OR(L402="",K402=""),"",MAX(L402-K402,0))</f>
        <v/>
      </c>
      <c r="N402" s="59">
        <f>IF(M402="","",IF(N(J402)=0,1,J402))</f>
        <v/>
      </c>
    </row>
    <row r="403">
      <c r="A403" s="53" t="n">
        <v>383</v>
      </c>
      <c r="B403" s="67" t="n"/>
      <c r="C403" s="55" t="n"/>
      <c r="D403" s="68" t="n"/>
      <c r="E403" s="68" t="n"/>
      <c r="F403" s="59">
        <f>IF(OR(E403="",D403=""),"",MAX(E403-D403,0))</f>
        <v/>
      </c>
      <c r="G403" s="59">
        <f>IF(F403="","",IF(N(C403)=0,1,C403))</f>
        <v/>
      </c>
      <c r="H403" s="53" t="n">
        <v>383</v>
      </c>
      <c r="I403" s="67" t="n"/>
      <c r="J403" s="55" t="n"/>
      <c r="K403" s="68" t="n"/>
      <c r="L403" s="68" t="n"/>
      <c r="M403" s="59">
        <f>IF(OR(L403="",K403=""),"",MAX(L403-K403,0))</f>
        <v/>
      </c>
      <c r="N403" s="59">
        <f>IF(M403="","",IF(N(J403)=0,1,J403))</f>
        <v/>
      </c>
    </row>
    <row r="404">
      <c r="A404" s="53" t="n">
        <v>384</v>
      </c>
      <c r="B404" s="67" t="n"/>
      <c r="C404" s="55" t="n"/>
      <c r="D404" s="68" t="n"/>
      <c r="E404" s="68" t="n"/>
      <c r="F404" s="59">
        <f>IF(OR(E404="",D404=""),"",MAX(E404-D404,0))</f>
        <v/>
      </c>
      <c r="G404" s="59">
        <f>IF(F404="","",IF(N(C404)=0,1,C404))</f>
        <v/>
      </c>
      <c r="H404" s="53" t="n">
        <v>384</v>
      </c>
      <c r="I404" s="67" t="n"/>
      <c r="J404" s="55" t="n"/>
      <c r="K404" s="68" t="n"/>
      <c r="L404" s="68" t="n"/>
      <c r="M404" s="59">
        <f>IF(OR(L404="",K404=""),"",MAX(L404-K404,0))</f>
        <v/>
      </c>
      <c r="N404" s="59">
        <f>IF(M404="","",IF(N(J404)=0,1,J404))</f>
        <v/>
      </c>
    </row>
    <row r="405">
      <c r="A405" s="53" t="n">
        <v>385</v>
      </c>
      <c r="B405" s="67" t="n"/>
      <c r="C405" s="55" t="n"/>
      <c r="D405" s="68" t="n"/>
      <c r="E405" s="68" t="n"/>
      <c r="F405" s="59">
        <f>IF(OR(E405="",D405=""),"",MAX(E405-D405,0))</f>
        <v/>
      </c>
      <c r="G405" s="59">
        <f>IF(F405="","",IF(N(C405)=0,1,C405))</f>
        <v/>
      </c>
      <c r="H405" s="53" t="n">
        <v>385</v>
      </c>
      <c r="I405" s="67" t="n"/>
      <c r="J405" s="55" t="n"/>
      <c r="K405" s="68" t="n"/>
      <c r="L405" s="68" t="n"/>
      <c r="M405" s="59">
        <f>IF(OR(L405="",K405=""),"",MAX(L405-K405,0))</f>
        <v/>
      </c>
      <c r="N405" s="59">
        <f>IF(M405="","",IF(N(J405)=0,1,J405))</f>
        <v/>
      </c>
    </row>
    <row r="406">
      <c r="A406" s="53" t="n">
        <v>386</v>
      </c>
      <c r="B406" s="67" t="n"/>
      <c r="C406" s="55" t="n"/>
      <c r="D406" s="68" t="n"/>
      <c r="E406" s="68" t="n"/>
      <c r="F406" s="59">
        <f>IF(OR(E406="",D406=""),"",MAX(E406-D406,0))</f>
        <v/>
      </c>
      <c r="G406" s="59">
        <f>IF(F406="","",IF(N(C406)=0,1,C406))</f>
        <v/>
      </c>
      <c r="H406" s="53" t="n">
        <v>386</v>
      </c>
      <c r="I406" s="67" t="n"/>
      <c r="J406" s="55" t="n"/>
      <c r="K406" s="68" t="n"/>
      <c r="L406" s="68" t="n"/>
      <c r="M406" s="59">
        <f>IF(OR(L406="",K406=""),"",MAX(L406-K406,0))</f>
        <v/>
      </c>
      <c r="N406" s="59">
        <f>IF(M406="","",IF(N(J406)=0,1,J406))</f>
        <v/>
      </c>
    </row>
    <row r="407">
      <c r="A407" s="53" t="n">
        <v>387</v>
      </c>
      <c r="B407" s="67" t="n"/>
      <c r="C407" s="55" t="n"/>
      <c r="D407" s="68" t="n"/>
      <c r="E407" s="68" t="n"/>
      <c r="F407" s="59">
        <f>IF(OR(E407="",D407=""),"",MAX(E407-D407,0))</f>
        <v/>
      </c>
      <c r="G407" s="59">
        <f>IF(F407="","",IF(N(C407)=0,1,C407))</f>
        <v/>
      </c>
      <c r="H407" s="53" t="n">
        <v>387</v>
      </c>
      <c r="I407" s="67" t="n"/>
      <c r="J407" s="55" t="n"/>
      <c r="K407" s="68" t="n"/>
      <c r="L407" s="68" t="n"/>
      <c r="M407" s="59">
        <f>IF(OR(L407="",K407=""),"",MAX(L407-K407,0))</f>
        <v/>
      </c>
      <c r="N407" s="59">
        <f>IF(M407="","",IF(N(J407)=0,1,J407))</f>
        <v/>
      </c>
    </row>
    <row r="408">
      <c r="A408" s="53" t="n">
        <v>388</v>
      </c>
      <c r="B408" s="67" t="n"/>
      <c r="C408" s="55" t="n"/>
      <c r="D408" s="68" t="n"/>
      <c r="E408" s="68" t="n"/>
      <c r="F408" s="59">
        <f>IF(OR(E408="",D408=""),"",MAX(E408-D408,0))</f>
        <v/>
      </c>
      <c r="G408" s="59">
        <f>IF(F408="","",IF(N(C408)=0,1,C408))</f>
        <v/>
      </c>
      <c r="H408" s="53" t="n">
        <v>388</v>
      </c>
      <c r="I408" s="67" t="n"/>
      <c r="J408" s="55" t="n"/>
      <c r="K408" s="68" t="n"/>
      <c r="L408" s="68" t="n"/>
      <c r="M408" s="59">
        <f>IF(OR(L408="",K408=""),"",MAX(L408-K408,0))</f>
        <v/>
      </c>
      <c r="N408" s="59">
        <f>IF(M408="","",IF(N(J408)=0,1,J408))</f>
        <v/>
      </c>
    </row>
    <row r="409">
      <c r="A409" s="53" t="n">
        <v>389</v>
      </c>
      <c r="B409" s="67" t="n"/>
      <c r="C409" s="55" t="n"/>
      <c r="D409" s="68" t="n"/>
      <c r="E409" s="68" t="n"/>
      <c r="F409" s="59">
        <f>IF(OR(E409="",D409=""),"",MAX(E409-D409,0))</f>
        <v/>
      </c>
      <c r="G409" s="59">
        <f>IF(F409="","",IF(N(C409)=0,1,C409))</f>
        <v/>
      </c>
      <c r="H409" s="53" t="n">
        <v>389</v>
      </c>
      <c r="I409" s="67" t="n"/>
      <c r="J409" s="55" t="n"/>
      <c r="K409" s="68" t="n"/>
      <c r="L409" s="68" t="n"/>
      <c r="M409" s="59">
        <f>IF(OR(L409="",K409=""),"",MAX(L409-K409,0))</f>
        <v/>
      </c>
      <c r="N409" s="59">
        <f>IF(M409="","",IF(N(J409)=0,1,J409))</f>
        <v/>
      </c>
    </row>
    <row r="410">
      <c r="A410" s="53" t="n">
        <v>390</v>
      </c>
      <c r="B410" s="67" t="n"/>
      <c r="C410" s="55" t="n"/>
      <c r="D410" s="68" t="n"/>
      <c r="E410" s="68" t="n"/>
      <c r="F410" s="59">
        <f>IF(OR(E410="",D410=""),"",MAX(E410-D410,0))</f>
        <v/>
      </c>
      <c r="G410" s="59">
        <f>IF(F410="","",IF(N(C410)=0,1,C410))</f>
        <v/>
      </c>
      <c r="H410" s="53" t="n">
        <v>390</v>
      </c>
      <c r="I410" s="67" t="n"/>
      <c r="J410" s="55" t="n"/>
      <c r="K410" s="68" t="n"/>
      <c r="L410" s="68" t="n"/>
      <c r="M410" s="59">
        <f>IF(OR(L410="",K410=""),"",MAX(L410-K410,0))</f>
        <v/>
      </c>
      <c r="N410" s="59">
        <f>IF(M410="","",IF(N(J410)=0,1,J410))</f>
        <v/>
      </c>
    </row>
    <row r="411">
      <c r="A411" s="60" t="n"/>
      <c r="B411" s="61" t="inlineStr">
        <is>
          <t>Total</t>
        </is>
      </c>
      <c r="C411" s="65">
        <f>SUM(C21:C410)</f>
        <v/>
      </c>
      <c r="D411" s="60" t="n"/>
      <c r="E411" s="60" t="n"/>
      <c r="F411" s="62">
        <f>IF(N(G411)=0,"",SUMPRODUCT(F21:F410,G21:G410)/G411)</f>
        <v/>
      </c>
      <c r="G411" s="65">
        <f>SUM(G21:G410)</f>
        <v/>
      </c>
      <c r="H411" s="60" t="n"/>
      <c r="I411" s="61" t="inlineStr">
        <is>
          <t>Total</t>
        </is>
      </c>
      <c r="J411" s="65">
        <f>SUM(J21:J410)</f>
        <v/>
      </c>
      <c r="K411" s="60" t="n"/>
      <c r="L411" s="60" t="n"/>
      <c r="M411" s="62">
        <f>IF(N(N411)=0,"",SUMPRODUCT(M21:M410,N21:N410)/N411)</f>
        <v/>
      </c>
      <c r="N411" s="65">
        <f>SUM(N21:N410)</f>
        <v/>
      </c>
    </row>
    <row r="412">
      <c r="B41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41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410" showDropDown="0" showInputMessage="0" showErrorMessage="1" allowBlank="1" error="No. of Posts must be a whole number &gt;= 1." type="whole" operator="greaterThanOrEqual">
      <formula1>1</formula1>
    </dataValidation>
    <dataValidation sqref="K21:L41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41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Caracas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IF(OCT!$I$5="","",OCT!$I$5)</f>
        <v/>
      </c>
      <c r="D4" s="55" t="n"/>
      <c r="E4" s="56">
        <f>IF(OCT!$I$43="","",OCT!$I$43)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IF(OCT!$I$44="","",OCT!$I$44)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IF(NOV!$I$5="","",NOV!$I$5)</f>
        <v/>
      </c>
      <c r="D5" s="55" t="n"/>
      <c r="E5" s="56">
        <f>IF(NOV!$I$43="","",NOV!$I$43)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IF(NOV!$I$44="","",NOV!$I$44)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IF(DEC!$I$5="","",DEC!$I$5)</f>
        <v/>
      </c>
      <c r="D6" s="55" t="n"/>
      <c r="E6" s="56">
        <f>IF(DEC!$I$43="","",DEC!$I$43)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IF(DEC!$I$44="","",DEC!$I$44)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IF(JAN!$I$5="","",JAN!$I$5)</f>
        <v/>
      </c>
      <c r="D7" s="55" t="n"/>
      <c r="E7" s="56">
        <f>IF(JAN!$I$43="","",JAN!$I$43)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IF(JAN!$I$44="","",JAN!$I$44)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IF(FEB!$I$5="","",FEB!$I$5)</f>
        <v/>
      </c>
      <c r="D8" s="55" t="n"/>
      <c r="E8" s="56">
        <f>IF(FEB!$I$43="","",FEB!$I$43)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IF(FEB!$I$44="","",FEB!$I$44)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IF(MAR!$I$5="","",MAR!$I$5)</f>
        <v/>
      </c>
      <c r="D9" s="55" t="n"/>
      <c r="E9" s="56">
        <f>IF(MAR!$I$43="","",MAR!$I$43)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IF(MAR!$I$44="","",MAR!$I$44)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IF(APR!$I$5="","",APR!$I$5)</f>
        <v/>
      </c>
      <c r="D10" s="55" t="n"/>
      <c r="E10" s="56">
        <f>IF(APR!$I$43="","",APR!$I$43)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IF(APR!$I$44="","",APR!$I$44)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IF(MAY!$I$5="","",MAY!$I$5)</f>
        <v/>
      </c>
      <c r="D11" s="55" t="n"/>
      <c r="E11" s="56">
        <f>IF(MAY!$I$43="","",MAY!$I$43)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IF(MAY!$I$44="","",MAY!$I$44)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IF(JUN!$I$5="","",JUN!$I$5)</f>
        <v/>
      </c>
      <c r="D12" s="55" t="n"/>
      <c r="E12" s="56">
        <f>IF(JUN!$I$43="","",JUN!$I$43)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IF(JUN!$I$44="","",JUN!$I$44)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IF(JUL!$I$5="","",JUL!$I$5)</f>
        <v/>
      </c>
      <c r="D13" s="55" t="n"/>
      <c r="E13" s="56">
        <f>IF(JUL!$I$43="","",JUL!$I$43)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IF(JUL!$I$44="","",JUL!$I$44)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IF(AUG!$I$5="","",AUG!$I$5)</f>
        <v/>
      </c>
      <c r="D14" s="55" t="n"/>
      <c r="E14" s="56">
        <f>IF(AUG!$I$43="","",AUG!$I$43)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IF(AUG!$I$44="","",AUG!$I$44)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IF(SEP!$I$5="","",SEP!$I$5)</f>
        <v/>
      </c>
      <c r="D15" s="55" t="n"/>
      <c r="E15" s="56">
        <f>IF(SEP!$I$43="","",SEP!$I$43)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IF(SEP!$I$44="","",SEP!$I$44)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2026-09-26T17:33:50Z</dcterms:created>
  <dcterms:modified xsi:type="dcterms:W3CDTF">2026-09-26T17:34:02Z</dcterms:modified>
</cp:coreProperties>
</file>