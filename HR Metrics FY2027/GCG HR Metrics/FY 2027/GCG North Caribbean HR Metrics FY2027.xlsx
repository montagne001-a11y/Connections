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" sheetId="1" state="visible" r:id="rId1"/>
    <sheet name="OCT" sheetId="2" state="visible" r:id="rId2"/>
    <sheet name="NOV" sheetId="3" state="visible" r:id="rId3"/>
    <sheet name="DEC" sheetId="4" state="visible" r:id="rId4"/>
    <sheet name="JAN" sheetId="5" state="visible" r:id="rId5"/>
    <sheet name="FEB" sheetId="6" state="visible" r:id="rId6"/>
    <sheet name="MAR" sheetId="7" state="visible" r:id="rId7"/>
    <sheet name="APR" sheetId="8" state="visible" r:id="rId8"/>
    <sheet name="MAY" sheetId="9" state="visible" r:id="rId9"/>
    <sheet name="JUN" sheetId="10" state="visible" r:id="rId10"/>
    <sheet name="JUL" sheetId="11" state="visible" r:id="rId11"/>
    <sheet name="AUG" sheetId="12" state="visible" r:id="rId12"/>
    <sheet name="SEP" sheetId="13" state="visible" r:id="rId13"/>
    <sheet name="(GCG_ATG)" sheetId="14" state="visible" r:id="rId14"/>
    <sheet name="(GCG_GCM)" sheetId="15" state="visible" r:id="rId15"/>
    <sheet name="(Ground_JAM)" sheetId="16" state="visible" r:id="rId16"/>
    <sheet name="(GCG_JAM)" sheetId="17" state="visible" r:id="rId17"/>
    <sheet name="(Ground_LCA)" sheetId="18" state="visible" r:id="rId18"/>
    <sheet name="(GCG_LCA)" sheetId="19" state="visible" r:id="rId19"/>
    <sheet name="(Ground_STT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#,##0.0"/>
    <numFmt numFmtId="167" formatCode="yyyy-mm-dd h:mm:ss"/>
    <numFmt numFmtId="168" formatCode="mmmm-yy"/>
    <numFmt numFmtId="169" formatCode="mm/dd/yyyy"/>
  </numFmts>
  <fonts count="18">
    <font>
      <name val="Calibri"/>
      <family val="2"/>
      <color theme="1"/>
      <sz val="11"/>
      <scheme val="minor"/>
    </font>
    <font>
      <name val="Calibri"/>
      <color rgb="FFBFBFBF"/>
      <sz val="12"/>
    </font>
    <font>
      <name val="Calibri"/>
      <color rgb="FFFFFFFF"/>
      <sz val="14"/>
    </font>
    <font>
      <name val="Calibri"/>
      <b val="1"/>
      <color rgb="FFF2CEEF"/>
      <sz val="12"/>
    </font>
    <font>
      <name val="Aptos Narrow"/>
      <family val="2"/>
      <color theme="1"/>
      <sz val="11"/>
      <scheme val="minor"/>
    </font>
    <font>
      <name val="Calibri"/>
      <color rgb="FFF2CEEF"/>
      <sz val="12"/>
    </font>
    <font>
      <name val="Calibri"/>
      <color rgb="FFFFFFFF"/>
      <sz val="16"/>
    </font>
    <font>
      <name val="Calibri"/>
      <color rgb="FF31216B"/>
      <sz val="12"/>
    </font>
    <font>
      <name val="Calibri"/>
      <color rgb="FFFFFFFF"/>
      <sz val="12"/>
    </font>
    <font>
      <name val="Calibri"/>
      <color rgb="FF808080"/>
      <sz val="12"/>
    </font>
    <font>
      <name val="Calibri"/>
      <color rgb="FF0E2841"/>
      <sz val="12"/>
    </font>
    <font>
      <name val="Calibri"/>
      <color rgb="FF000000"/>
      <sz val="12"/>
    </font>
    <font>
      <name val="Aptos Narrow"/>
      <family val="2"/>
      <color rgb="FFF2CEEF"/>
      <sz val="11"/>
      <scheme val="minor"/>
    </font>
    <font>
      <name val="Calibri"/>
      <b val="1"/>
      <color rgb="FFFFFFFF"/>
      <sz val="12"/>
    </font>
    <font>
      <name val="Calibri"/>
      <color rgb="FF000000"/>
      <sz val="14"/>
    </font>
    <font>
      <name val="Calibri"/>
      <color rgb="FFC00000"/>
      <sz val="14"/>
    </font>
    <font>
      <name val="Calibri"/>
      <b val="1"/>
      <color rgb="FF0E2841"/>
      <sz val="12"/>
    </font>
    <font>
      <name val="Calibri"/>
      <i val="1"/>
      <color rgb="FFC00000"/>
      <sz val="11"/>
    </font>
  </fonts>
  <fills count="14">
    <fill>
      <patternFill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31216B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BDD7EE"/>
      </patternFill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13" fillId="8" borderId="0" applyAlignment="1" pivotButton="0" quotePrefix="0" xfId="0">
      <alignment horizontal="center"/>
    </xf>
    <xf numFmtId="0" fontId="9" fillId="2" borderId="0" pivotButton="0" quotePrefix="0" xfId="0"/>
    <xf numFmtId="0" fontId="10" fillId="3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166" fontId="10" fillId="9" borderId="0" applyAlignment="1" pivotButton="0" quotePrefix="0" xfId="0">
      <alignment horizontal="center"/>
    </xf>
    <xf numFmtId="0" fontId="8" fillId="4" borderId="0" applyAlignment="1" pivotButton="0" quotePrefix="0" xfId="0">
      <alignment horizontal="left"/>
    </xf>
    <xf numFmtId="1" fontId="10" fillId="0" borderId="0" applyAlignment="1" pivotButton="0" quotePrefix="0" xfId="0">
      <alignment horizontal="center"/>
    </xf>
    <xf numFmtId="1" fontId="10" fillId="9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4" fontId="10" fillId="9" borderId="0" applyAlignment="1" pivotButton="0" quotePrefix="0" xfId="0">
      <alignment horizontal="center"/>
    </xf>
    <xf numFmtId="0" fontId="8" fillId="2" borderId="0" applyAlignment="1" pivotButton="0" quotePrefix="0" xfId="0">
      <alignment horizontal="left"/>
    </xf>
    <xf numFmtId="165" fontId="10" fillId="0" borderId="0" applyAlignment="1" pivotButton="0" quotePrefix="0" xfId="0">
      <alignment horizontal="center"/>
    </xf>
    <xf numFmtId="165" fontId="10" fillId="9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0" fontId="10" fillId="6" borderId="0" applyAlignment="1" pivotButton="0" quotePrefix="0" xfId="0">
      <alignment horizontal="left"/>
    </xf>
    <xf numFmtId="9" fontId="10" fillId="0" borderId="0" applyAlignment="1" pivotButton="0" quotePrefix="0" xfId="0">
      <alignment horizontal="center"/>
    </xf>
    <xf numFmtId="9" fontId="10" fillId="9" borderId="0" applyAlignment="1" pivotButton="0" quotePrefix="0" xfId="0">
      <alignment horizontal="center"/>
    </xf>
    <xf numFmtId="0" fontId="8" fillId="2" borderId="0" pivotButton="0" quotePrefix="0" xfId="0"/>
    <xf numFmtId="49" fontId="3" fillId="2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/>
    </xf>
    <xf numFmtId="0" fontId="3" fillId="2" borderId="0" pivotButton="0" quotePrefix="0" xfId="0"/>
    <xf numFmtId="0" fontId="10" fillId="0" borderId="0" applyAlignment="1" applyProtection="1" pivotButton="0" quotePrefix="0" xfId="0">
      <alignment horizontal="center"/>
      <protection locked="0" hidden="0"/>
    </xf>
    <xf numFmtId="0" fontId="8" fillId="4" borderId="0" applyAlignment="1" pivotButton="0" quotePrefix="0" xfId="0">
      <alignment horizontal="center"/>
    </xf>
    <xf numFmtId="1" fontId="10" fillId="0" borderId="0" applyAlignment="1" applyProtection="1" pivotButton="0" quotePrefix="0" xfId="0">
      <alignment horizontal="center"/>
      <protection locked="0" hidden="0"/>
    </xf>
    <xf numFmtId="1" fontId="8" fillId="4" borderId="0" applyAlignment="1" pivotButton="0" quotePrefix="0" xfId="0">
      <alignment horizontal="center"/>
    </xf>
    <xf numFmtId="164" fontId="8" fillId="4" borderId="0" applyAlignment="1" pivotButton="0" quotePrefix="0" xfId="0">
      <alignment horizontal="center"/>
    </xf>
    <xf numFmtId="164" fontId="11" fillId="4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9" fontId="10" fillId="0" borderId="0" applyAlignment="1" applyProtection="1" pivotButton="0" quotePrefix="0" xfId="0">
      <alignment horizontal="center"/>
      <protection locked="0" hidden="0"/>
    </xf>
    <xf numFmtId="9" fontId="8" fillId="4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4" fillId="1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165" fontId="14" fillId="10" borderId="2" applyAlignment="1" pivotButton="0" quotePrefix="0" xfId="0">
      <alignment horizontal="center" vertical="center" wrapText="1"/>
    </xf>
    <xf numFmtId="164" fontId="14" fillId="1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13" fillId="11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8" fontId="7" fillId="0" borderId="2" applyAlignment="1" pivotButton="0" quotePrefix="0" xfId="0">
      <alignment horizontal="left" vertical="center" wrapText="1"/>
    </xf>
    <xf numFmtId="1" fontId="7" fillId="12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right"/>
    </xf>
    <xf numFmtId="164" fontId="16" fillId="13" borderId="2" applyAlignment="1" pivotButton="0" quotePrefix="0" xfId="0">
      <alignment horizontal="center" vertical="center" wrapText="1"/>
    </xf>
    <xf numFmtId="3" fontId="16" fillId="13" borderId="2" applyAlignment="1" pivotButton="0" quotePrefix="0" xfId="0">
      <alignment horizontal="center" vertical="center" wrapText="1"/>
    </xf>
    <xf numFmtId="10" fontId="16" fillId="13" borderId="2" applyAlignment="1" pivotButton="0" quotePrefix="0" xfId="0">
      <alignment horizontal="center" vertical="center" wrapText="1"/>
    </xf>
    <xf numFmtId="1" fontId="16" fillId="13" borderId="2" applyAlignment="1" pivotButton="0" quotePrefix="0" xfId="0">
      <alignment horizontal="center" vertical="center" wrapText="1"/>
    </xf>
    <xf numFmtId="0" fontId="17" fillId="0" borderId="0" pivotButton="0" quotePrefix="0" xfId="0"/>
    <xf numFmtId="0" fontId="7" fillId="12" borderId="2" applyAlignment="1" applyProtection="1" pivotButton="0" quotePrefix="0" xfId="0">
      <alignment horizontal="left" vertical="center" wrapText="1"/>
      <protection locked="0" hidden="0"/>
    </xf>
    <xf numFmtId="169" fontId="7" fillId="12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2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3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4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5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6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7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8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9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10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11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12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3.7265625" customWidth="1" min="3" max="3"/>
    <col width="13.7265625" customWidth="1" min="19" max="19"/>
    <col width="8.26953125" customWidth="1" min="20" max="20"/>
    <col width="13.54296875" customWidth="1" min="21" max="21"/>
    <col width="8.81640625" customWidth="1" min="22" max="22"/>
    <col width="20.26953125" customWidth="1" min="35" max="35"/>
    <col width="8.81640625" customWidth="1" min="36" max="36"/>
  </cols>
  <sheetData>
    <row r="1" ht="18.75" customHeight="1">
      <c r="A1" s="1" t="n"/>
      <c r="B1" s="2" t="inlineStr">
        <is>
          <t>GCG NORTH CARIBBEAN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 ht="30" customHeight="1">
      <c r="A2" s="4" t="inlineStr">
        <is>
          <t>FY2027</t>
        </is>
      </c>
      <c r="B2" s="5" t="inlineStr">
        <is>
          <t>Quarter</t>
        </is>
      </c>
      <c r="C2" s="6" t="inlineStr">
        <is>
          <t>OCT</t>
        </is>
      </c>
      <c r="D2" s="6" t="inlineStr">
        <is>
          <t>NOV</t>
        </is>
      </c>
      <c r="E2" s="6" t="inlineStr">
        <is>
          <t>DEC</t>
        </is>
      </c>
      <c r="F2" s="7" t="inlineStr">
        <is>
          <t>∑Q1</t>
        </is>
      </c>
      <c r="G2" s="6" t="inlineStr">
        <is>
          <t>JAN</t>
        </is>
      </c>
      <c r="H2" s="6" t="inlineStr">
        <is>
          <t>FEB</t>
        </is>
      </c>
      <c r="I2" s="6" t="inlineStr">
        <is>
          <t>MAR</t>
        </is>
      </c>
      <c r="J2" s="7" t="inlineStr">
        <is>
          <t>∑Q2</t>
        </is>
      </c>
      <c r="K2" s="6" t="inlineStr">
        <is>
          <t>APR</t>
        </is>
      </c>
      <c r="L2" s="6" t="inlineStr">
        <is>
          <t>MAY</t>
        </is>
      </c>
      <c r="M2" s="6" t="inlineStr">
        <is>
          <t>JUN</t>
        </is>
      </c>
      <c r="N2" s="7" t="inlineStr">
        <is>
          <t>∑Q3</t>
        </is>
      </c>
      <c r="O2" s="6" t="inlineStr">
        <is>
          <t>JUL</t>
        </is>
      </c>
      <c r="P2" s="6" t="inlineStr">
        <is>
          <t>AUG</t>
        </is>
      </c>
      <c r="Q2" s="6" t="inlineStr">
        <is>
          <t>SEP</t>
        </is>
      </c>
      <c r="R2" s="7" t="inlineStr">
        <is>
          <t>∑Q4</t>
        </is>
      </c>
      <c r="S2" s="8" t="inlineStr">
        <is>
          <t>FY2027</t>
        </is>
      </c>
    </row>
    <row r="3" ht="18.75" customHeight="1">
      <c r="A3" s="9" t="n"/>
      <c r="B3" s="10" t="inlineStr">
        <is>
          <t>Permanent (Regular) Headcount</t>
        </is>
      </c>
      <c r="C3" s="11">
        <f>OCT!J3</f>
        <v/>
      </c>
      <c r="D3" s="11">
        <f>NOV!J3</f>
        <v/>
      </c>
      <c r="E3" s="11">
        <f>DEC!J3</f>
        <v/>
      </c>
      <c r="F3" s="12">
        <f>IFERROR(AVERAGE(C3:E3),"")</f>
        <v/>
      </c>
      <c r="G3" s="11">
        <f>JAN!J3</f>
        <v/>
      </c>
      <c r="H3" s="11">
        <f>FEB!J3</f>
        <v/>
      </c>
      <c r="I3" s="11">
        <f>MAR!J3</f>
        <v/>
      </c>
      <c r="J3" s="12">
        <f>IFERROR(AVERAGE(G3:I3),"")</f>
        <v/>
      </c>
      <c r="K3" s="11">
        <f>APR!J3</f>
        <v/>
      </c>
      <c r="L3" s="11">
        <f>MAY!J3</f>
        <v/>
      </c>
      <c r="M3" s="11">
        <f>JUN!J3</f>
        <v/>
      </c>
      <c r="N3" s="12">
        <f>IFERROR(AVERAGE(K3:M3),"")</f>
        <v/>
      </c>
      <c r="O3" s="11">
        <f>JUL!J3</f>
        <v/>
      </c>
      <c r="P3" s="11">
        <f>AUG!J3</f>
        <v/>
      </c>
      <c r="Q3" s="11">
        <f>SEP!J3</f>
        <v/>
      </c>
      <c r="R3" s="12">
        <f>IFERROR(AVERAGE(O3:Q3),"")</f>
        <v/>
      </c>
      <c r="S3" s="12">
        <f>IFERROR(AVERAGE(C3:E3,G3:I3,K3:M3,O3:Q3),"")</f>
        <v/>
      </c>
    </row>
    <row r="4" ht="18.75" customHeight="1">
      <c r="A4" s="3" t="n"/>
      <c r="B4" s="10" t="inlineStr">
        <is>
          <t>Temporary (Fix Term) Headcount</t>
        </is>
      </c>
      <c r="C4" s="11">
        <f>OCT!J4</f>
        <v/>
      </c>
      <c r="D4" s="11">
        <f>NOV!J4</f>
        <v/>
      </c>
      <c r="E4" s="11">
        <f>DEC!J4</f>
        <v/>
      </c>
      <c r="F4" s="12">
        <f>IFERROR(AVERAGE(C4:E4),"")</f>
        <v/>
      </c>
      <c r="G4" s="11">
        <f>JAN!J4</f>
        <v/>
      </c>
      <c r="H4" s="11">
        <f>FEB!J4</f>
        <v/>
      </c>
      <c r="I4" s="11">
        <f>MAR!J4</f>
        <v/>
      </c>
      <c r="J4" s="12">
        <f>IFERROR(AVERAGE(G4:I4),"")</f>
        <v/>
      </c>
      <c r="K4" s="11">
        <f>APR!J4</f>
        <v/>
      </c>
      <c r="L4" s="11">
        <f>MAY!J4</f>
        <v/>
      </c>
      <c r="M4" s="11">
        <f>JUN!J4</f>
        <v/>
      </c>
      <c r="N4" s="12">
        <f>IFERROR(AVERAGE(K4:M4),"")</f>
        <v/>
      </c>
      <c r="O4" s="11">
        <f>JUL!J4</f>
        <v/>
      </c>
      <c r="P4" s="11">
        <f>AUG!J4</f>
        <v/>
      </c>
      <c r="Q4" s="11">
        <f>SEP!J4</f>
        <v/>
      </c>
      <c r="R4" s="12">
        <f>IFERROR(AVERAGE(O4:Q4),"")</f>
        <v/>
      </c>
      <c r="S4" s="12">
        <f>IFERROR(AVERAGE(C4:E4,G4:I4,K4:M4,O4:Q4),"")</f>
        <v/>
      </c>
    </row>
    <row r="5" ht="18.75" customHeight="1">
      <c r="A5" s="3" t="n"/>
      <c r="B5" s="13" t="inlineStr">
        <is>
          <t>Employee Headcount (Productivity)</t>
        </is>
      </c>
      <c r="C5" s="11">
        <f>OCT!J5</f>
        <v/>
      </c>
      <c r="D5" s="11">
        <f>NOV!J5</f>
        <v/>
      </c>
      <c r="E5" s="11">
        <f>DEC!J5</f>
        <v/>
      </c>
      <c r="F5" s="12">
        <f>IF(COUNT(F3:F4)=0,"",SUM(F3:F4))</f>
        <v/>
      </c>
      <c r="G5" s="11">
        <f>JAN!J5</f>
        <v/>
      </c>
      <c r="H5" s="11">
        <f>FEB!J5</f>
        <v/>
      </c>
      <c r="I5" s="11">
        <f>MAR!J5</f>
        <v/>
      </c>
      <c r="J5" s="12">
        <f>IF(COUNT(J3:J4)=0,"",SUM(J3:J4))</f>
        <v/>
      </c>
      <c r="K5" s="11">
        <f>APR!J5</f>
        <v/>
      </c>
      <c r="L5" s="11">
        <f>MAY!J5</f>
        <v/>
      </c>
      <c r="M5" s="11">
        <f>JUN!J5</f>
        <v/>
      </c>
      <c r="N5" s="12">
        <f>IF(COUNT(N3:N4)=0,"",SUM(N3:N4))</f>
        <v/>
      </c>
      <c r="O5" s="11">
        <f>JUL!J5</f>
        <v/>
      </c>
      <c r="P5" s="11">
        <f>AUG!J5</f>
        <v/>
      </c>
      <c r="Q5" s="11">
        <f>SEP!J5</f>
        <v/>
      </c>
      <c r="R5" s="12">
        <f>IF(COUNT(R3:R4)=0,"",SUM(R3:R4))</f>
        <v/>
      </c>
      <c r="S5" s="12">
        <f>IF(COUNT(S3:S4)=0,"",SUM(S3:S4))</f>
        <v/>
      </c>
    </row>
    <row r="6" ht="18.75" customHeight="1">
      <c r="A6" s="3" t="n"/>
      <c r="B6" s="10" t="inlineStr">
        <is>
          <t>Headcount = 1.00</t>
        </is>
      </c>
      <c r="C6" s="11">
        <f>OCT!J6</f>
        <v/>
      </c>
      <c r="D6" s="11">
        <f>NOV!J6</f>
        <v/>
      </c>
      <c r="E6" s="11">
        <f>DEC!J6</f>
        <v/>
      </c>
      <c r="F6" s="12">
        <f>IFERROR(AVERAGE(C6:E6),"")</f>
        <v/>
      </c>
      <c r="G6" s="11">
        <f>JAN!J6</f>
        <v/>
      </c>
      <c r="H6" s="11">
        <f>FEB!J6</f>
        <v/>
      </c>
      <c r="I6" s="11">
        <f>MAR!J6</f>
        <v/>
      </c>
      <c r="J6" s="12">
        <f>IFERROR(AVERAGE(G6:I6),"")</f>
        <v/>
      </c>
      <c r="K6" s="11">
        <f>APR!J6</f>
        <v/>
      </c>
      <c r="L6" s="11">
        <f>MAY!J6</f>
        <v/>
      </c>
      <c r="M6" s="11">
        <f>JUN!J6</f>
        <v/>
      </c>
      <c r="N6" s="12">
        <f>IFERROR(AVERAGE(K6:M6),"")</f>
        <v/>
      </c>
      <c r="O6" s="11">
        <f>JUL!J6</f>
        <v/>
      </c>
      <c r="P6" s="11">
        <f>AUG!J6</f>
        <v/>
      </c>
      <c r="Q6" s="11">
        <f>SEP!J6</f>
        <v/>
      </c>
      <c r="R6" s="12">
        <f>IFERROR(AVERAGE(O6:Q6),"")</f>
        <v/>
      </c>
      <c r="S6" s="12">
        <f>IFERROR(AVERAGE(C6:E6,G6:I6,K6:M6,O6:Q6),"")</f>
        <v/>
      </c>
    </row>
    <row r="7" ht="18.75" customHeight="1">
      <c r="A7" s="3" t="n"/>
      <c r="B7" s="10" t="inlineStr">
        <is>
          <t>Headcount = 0.75</t>
        </is>
      </c>
      <c r="C7" s="11">
        <f>OCT!J7</f>
        <v/>
      </c>
      <c r="D7" s="11">
        <f>NOV!J7</f>
        <v/>
      </c>
      <c r="E7" s="11">
        <f>DEC!J7</f>
        <v/>
      </c>
      <c r="F7" s="12">
        <f>IFERROR(AVERAGE(C7:E7),"")</f>
        <v/>
      </c>
      <c r="G7" s="11">
        <f>JAN!J7</f>
        <v/>
      </c>
      <c r="H7" s="11">
        <f>FEB!J7</f>
        <v/>
      </c>
      <c r="I7" s="11">
        <f>MAR!J7</f>
        <v/>
      </c>
      <c r="J7" s="12">
        <f>IFERROR(AVERAGE(G7:I7),"")</f>
        <v/>
      </c>
      <c r="K7" s="11">
        <f>APR!J7</f>
        <v/>
      </c>
      <c r="L7" s="11">
        <f>MAY!J7</f>
        <v/>
      </c>
      <c r="M7" s="11">
        <f>JUN!J7</f>
        <v/>
      </c>
      <c r="N7" s="12">
        <f>IFERROR(AVERAGE(K7:M7),"")</f>
        <v/>
      </c>
      <c r="O7" s="11">
        <f>JUL!J7</f>
        <v/>
      </c>
      <c r="P7" s="11">
        <f>AUG!J7</f>
        <v/>
      </c>
      <c r="Q7" s="11">
        <f>SEP!J7</f>
        <v/>
      </c>
      <c r="R7" s="12">
        <f>IFERROR(AVERAGE(O7:Q7),"")</f>
        <v/>
      </c>
      <c r="S7" s="12">
        <f>IFERROR(AVERAGE(C7:E7,G7:I7,K7:M7,O7:Q7),"")</f>
        <v/>
      </c>
    </row>
    <row r="8" ht="18.75" customHeight="1">
      <c r="A8" s="3" t="n"/>
      <c r="B8" s="10" t="inlineStr">
        <is>
          <t>Headcount = 0.50</t>
        </is>
      </c>
      <c r="C8" s="11">
        <f>OCT!J8</f>
        <v/>
      </c>
      <c r="D8" s="11">
        <f>NOV!J8</f>
        <v/>
      </c>
      <c r="E8" s="11">
        <f>DEC!J8</f>
        <v/>
      </c>
      <c r="F8" s="12">
        <f>IFERROR(AVERAGE(C8:E8),"")</f>
        <v/>
      </c>
      <c r="G8" s="11">
        <f>JAN!J8</f>
        <v/>
      </c>
      <c r="H8" s="11">
        <f>FEB!J8</f>
        <v/>
      </c>
      <c r="I8" s="11">
        <f>MAR!J8</f>
        <v/>
      </c>
      <c r="J8" s="12">
        <f>IFERROR(AVERAGE(G8:I8),"")</f>
        <v/>
      </c>
      <c r="K8" s="11">
        <f>APR!J8</f>
        <v/>
      </c>
      <c r="L8" s="11">
        <f>MAY!J8</f>
        <v/>
      </c>
      <c r="M8" s="11">
        <f>JUN!J8</f>
        <v/>
      </c>
      <c r="N8" s="12">
        <f>IFERROR(AVERAGE(K8:M8),"")</f>
        <v/>
      </c>
      <c r="O8" s="11">
        <f>JUL!J8</f>
        <v/>
      </c>
      <c r="P8" s="11">
        <f>AUG!J8</f>
        <v/>
      </c>
      <c r="Q8" s="11">
        <f>SEP!J8</f>
        <v/>
      </c>
      <c r="R8" s="12">
        <f>IFERROR(AVERAGE(O8:Q8),"")</f>
        <v/>
      </c>
      <c r="S8" s="12">
        <f>IFERROR(AVERAGE(C8:E8,G8:I8,K8:M8,O8:Q8),"")</f>
        <v/>
      </c>
    </row>
    <row r="9" ht="18.75" customHeight="1">
      <c r="A9" s="3" t="n"/>
      <c r="B9" s="10" t="inlineStr">
        <is>
          <t>Headcount = 0.25</t>
        </is>
      </c>
      <c r="C9" s="11">
        <f>OCT!J9</f>
        <v/>
      </c>
      <c r="D9" s="11">
        <f>NOV!J9</f>
        <v/>
      </c>
      <c r="E9" s="11">
        <f>DEC!J9</f>
        <v/>
      </c>
      <c r="F9" s="12">
        <f>IFERROR(AVERAGE(C9:E9),"")</f>
        <v/>
      </c>
      <c r="G9" s="11">
        <f>JAN!J9</f>
        <v/>
      </c>
      <c r="H9" s="11">
        <f>FEB!J9</f>
        <v/>
      </c>
      <c r="I9" s="11">
        <f>MAR!J9</f>
        <v/>
      </c>
      <c r="J9" s="12">
        <f>IFERROR(AVERAGE(G9:I9),"")</f>
        <v/>
      </c>
      <c r="K9" s="11">
        <f>APR!J9</f>
        <v/>
      </c>
      <c r="L9" s="11">
        <f>MAY!J9</f>
        <v/>
      </c>
      <c r="M9" s="11">
        <f>JUN!J9</f>
        <v/>
      </c>
      <c r="N9" s="12">
        <f>IFERROR(AVERAGE(K9:M9),"")</f>
        <v/>
      </c>
      <c r="O9" s="11">
        <f>JUL!J9</f>
        <v/>
      </c>
      <c r="P9" s="11">
        <f>AUG!J9</f>
        <v/>
      </c>
      <c r="Q9" s="11">
        <f>SEP!J9</f>
        <v/>
      </c>
      <c r="R9" s="12">
        <f>IFERROR(AVERAGE(O9:Q9),"")</f>
        <v/>
      </c>
      <c r="S9" s="12">
        <f>IFERROR(AVERAGE(C9:E9,G9:I9,K9:M9,O9:Q9),"")</f>
        <v/>
      </c>
    </row>
    <row r="10" ht="18.75" customHeight="1">
      <c r="A10" s="3" t="n"/>
      <c r="B10" s="10" t="inlineStr">
        <is>
          <t>Standard Monthly Hours (FTE basis)</t>
        </is>
      </c>
      <c r="C10" s="14">
        <f>OCT!J10</f>
        <v/>
      </c>
      <c r="D10" s="14">
        <f>NOV!J10</f>
        <v/>
      </c>
      <c r="E10" s="14">
        <f>DEC!J10</f>
        <v/>
      </c>
      <c r="F10" s="15">
        <f>IFERROR(AVERAGE(C10:E10),"")</f>
        <v/>
      </c>
      <c r="G10" s="14">
        <f>JAN!J10</f>
        <v/>
      </c>
      <c r="H10" s="14">
        <f>FEB!J10</f>
        <v/>
      </c>
      <c r="I10" s="14">
        <f>MAR!J10</f>
        <v/>
      </c>
      <c r="J10" s="15">
        <f>IFERROR(AVERAGE(G10:I10),"")</f>
        <v/>
      </c>
      <c r="K10" s="14">
        <f>APR!J10</f>
        <v/>
      </c>
      <c r="L10" s="14">
        <f>MAY!J10</f>
        <v/>
      </c>
      <c r="M10" s="14">
        <f>JUN!J10</f>
        <v/>
      </c>
      <c r="N10" s="15">
        <f>IFERROR(AVERAGE(K10:M10),"")</f>
        <v/>
      </c>
      <c r="O10" s="14">
        <f>JUL!J10</f>
        <v/>
      </c>
      <c r="P10" s="14">
        <f>AUG!J10</f>
        <v/>
      </c>
      <c r="Q10" s="14">
        <f>SEP!J10</f>
        <v/>
      </c>
      <c r="R10" s="15">
        <f>IFERROR(AVERAGE(O10:Q10),"")</f>
        <v/>
      </c>
      <c r="S10" s="15">
        <f>IFERROR(AVERAGE(C10:E10,G10:I10,K10:M10,O10:Q10),"")</f>
        <v/>
      </c>
    </row>
    <row r="11" ht="18.75" customHeight="1">
      <c r="A11" s="3" t="n"/>
      <c r="B11" s="13" t="inlineStr">
        <is>
          <t>Employee FTE (Finance)</t>
        </is>
      </c>
      <c r="C11" s="16">
        <f>OCT!J11</f>
        <v/>
      </c>
      <c r="D11" s="16">
        <f>NOV!J11</f>
        <v/>
      </c>
      <c r="E11" s="16">
        <f>DEC!J11</f>
        <v/>
      </c>
      <c r="F11" s="17">
        <f>IF(COUNT(F6:F9)=0,"",N(F6)+N(F7)*0.75+N(F8)*0.5+N(F9)*0.25)</f>
        <v/>
      </c>
      <c r="G11" s="16">
        <f>JAN!J11</f>
        <v/>
      </c>
      <c r="H11" s="16">
        <f>FEB!J11</f>
        <v/>
      </c>
      <c r="I11" s="16">
        <f>MAR!J11</f>
        <v/>
      </c>
      <c r="J11" s="17">
        <f>IF(COUNT(J6:J9)=0,"",N(J6)+N(J7)*0.75+N(J8)*0.5+N(J9)*0.25)</f>
        <v/>
      </c>
      <c r="K11" s="16">
        <f>APR!J11</f>
        <v/>
      </c>
      <c r="L11" s="16">
        <f>MAY!J11</f>
        <v/>
      </c>
      <c r="M11" s="16">
        <f>JUN!J11</f>
        <v/>
      </c>
      <c r="N11" s="17">
        <f>IF(COUNT(N6:N9)=0,"",N(N6)+N(N7)*0.75+N(N8)*0.5+N(N9)*0.25)</f>
        <v/>
      </c>
      <c r="O11" s="16">
        <f>JUL!J11</f>
        <v/>
      </c>
      <c r="P11" s="16">
        <f>AUG!J11</f>
        <v/>
      </c>
      <c r="Q11" s="16">
        <f>SEP!J11</f>
        <v/>
      </c>
      <c r="R11" s="17">
        <f>IF(COUNT(R6:R9)=0,"",N(R6)+N(R7)*0.75+N(R8)*0.5+N(R9)*0.25)</f>
        <v/>
      </c>
      <c r="S11" s="17">
        <f>IF(COUNT(S6:S9)=0,"",N(S6)+N(S7)*0.75+N(S8)*0.5+N(S9)*0.25)</f>
        <v/>
      </c>
    </row>
    <row r="12" ht="18.75" customHeight="1">
      <c r="A12" s="3" t="n"/>
      <c r="B12" s="10" t="inlineStr">
        <is>
          <t>Subcontracted Workforce HC</t>
        </is>
      </c>
      <c r="C12" s="11">
        <f>OCT!J12</f>
        <v/>
      </c>
      <c r="D12" s="11">
        <f>NOV!J12</f>
        <v/>
      </c>
      <c r="E12" s="11">
        <f>DEC!J12</f>
        <v/>
      </c>
      <c r="F12" s="12">
        <f>IFERROR(AVERAGE(C12:E12),"")</f>
        <v/>
      </c>
      <c r="G12" s="11">
        <f>JAN!J12</f>
        <v/>
      </c>
      <c r="H12" s="11">
        <f>FEB!J12</f>
        <v/>
      </c>
      <c r="I12" s="11">
        <f>MAR!J12</f>
        <v/>
      </c>
      <c r="J12" s="12">
        <f>IFERROR(AVERAGE(G12:I12),"")</f>
        <v/>
      </c>
      <c r="K12" s="11">
        <f>APR!J12</f>
        <v/>
      </c>
      <c r="L12" s="11">
        <f>MAY!J12</f>
        <v/>
      </c>
      <c r="M12" s="11">
        <f>JUN!J12</f>
        <v/>
      </c>
      <c r="N12" s="12">
        <f>IFERROR(AVERAGE(K12:M12),"")</f>
        <v/>
      </c>
      <c r="O12" s="11">
        <f>JUL!J12</f>
        <v/>
      </c>
      <c r="P12" s="11">
        <f>AUG!J12</f>
        <v/>
      </c>
      <c r="Q12" s="11">
        <f>SEP!J12</f>
        <v/>
      </c>
      <c r="R12" s="12">
        <f>IFERROR(AVERAGE(O12:Q12),"")</f>
        <v/>
      </c>
      <c r="S12" s="12">
        <f>IFERROR(AVERAGE(C12:E12,G12:I12,K12:M12,O12:Q12),"")</f>
        <v/>
      </c>
    </row>
    <row r="13" ht="18.75" customHeight="1">
      <c r="A13" s="3" t="n"/>
      <c r="B13" s="10" t="inlineStr">
        <is>
          <t>Subcontracted Productive Hours</t>
        </is>
      </c>
      <c r="C13" s="14">
        <f>OCT!J13</f>
        <v/>
      </c>
      <c r="D13" s="14">
        <f>NOV!J13</f>
        <v/>
      </c>
      <c r="E13" s="14">
        <f>DEC!J13</f>
        <v/>
      </c>
      <c r="F13" s="15">
        <f>IFERROR(AVERAGE(C13:E13),"")</f>
        <v/>
      </c>
      <c r="G13" s="14">
        <f>JAN!J13</f>
        <v/>
      </c>
      <c r="H13" s="14">
        <f>FEB!J13</f>
        <v/>
      </c>
      <c r="I13" s="14">
        <f>MAR!J13</f>
        <v/>
      </c>
      <c r="J13" s="15">
        <f>IFERROR(AVERAGE(G13:I13),"")</f>
        <v/>
      </c>
      <c r="K13" s="14">
        <f>APR!J13</f>
        <v/>
      </c>
      <c r="L13" s="14">
        <f>MAY!J13</f>
        <v/>
      </c>
      <c r="M13" s="14">
        <f>JUN!J13</f>
        <v/>
      </c>
      <c r="N13" s="15">
        <f>IFERROR(AVERAGE(K13:M13),"")</f>
        <v/>
      </c>
      <c r="O13" s="14">
        <f>JUL!J13</f>
        <v/>
      </c>
      <c r="P13" s="14">
        <f>AUG!J13</f>
        <v/>
      </c>
      <c r="Q13" s="14">
        <f>SEP!J13</f>
        <v/>
      </c>
      <c r="R13" s="15">
        <f>IFERROR(AVERAGE(O13:Q13),"")</f>
        <v/>
      </c>
      <c r="S13" s="15">
        <f>IFERROR(AVERAGE(C13:E13,G13:I13,K13:M13,O13:Q13),"")</f>
        <v/>
      </c>
    </row>
    <row r="14" ht="18.75" customHeight="1">
      <c r="A14" s="3" t="n"/>
      <c r="B14" s="13" t="inlineStr">
        <is>
          <t>Subcontracted FTE</t>
        </is>
      </c>
      <c r="C14" s="16">
        <f>OCT!J14</f>
        <v/>
      </c>
      <c r="D14" s="16">
        <f>NOV!J14</f>
        <v/>
      </c>
      <c r="E14" s="16">
        <f>DEC!J14</f>
        <v/>
      </c>
      <c r="F14" s="17">
        <f>IFERROR(F13/F10,"")</f>
        <v/>
      </c>
      <c r="G14" s="16">
        <f>JAN!J14</f>
        <v/>
      </c>
      <c r="H14" s="16">
        <f>FEB!J14</f>
        <v/>
      </c>
      <c r="I14" s="16">
        <f>MAR!J14</f>
        <v/>
      </c>
      <c r="J14" s="17">
        <f>IFERROR(J13/J10,"")</f>
        <v/>
      </c>
      <c r="K14" s="16">
        <f>APR!J14</f>
        <v/>
      </c>
      <c r="L14" s="16">
        <f>MAY!J14</f>
        <v/>
      </c>
      <c r="M14" s="16">
        <f>JUN!J14</f>
        <v/>
      </c>
      <c r="N14" s="17">
        <f>IFERROR(N13/N10,"")</f>
        <v/>
      </c>
      <c r="O14" s="16">
        <f>JUL!J14</f>
        <v/>
      </c>
      <c r="P14" s="16">
        <f>AUG!J14</f>
        <v/>
      </c>
      <c r="Q14" s="16">
        <f>SEP!J14</f>
        <v/>
      </c>
      <c r="R14" s="17">
        <f>IFERROR(R13/R10,"")</f>
        <v/>
      </c>
      <c r="S14" s="17">
        <f>IFERROR(S13/S10,"")</f>
        <v/>
      </c>
    </row>
    <row r="15" ht="18.75" customHeight="1">
      <c r="A15" s="3" t="n"/>
      <c r="B15" s="18" t="inlineStr">
        <is>
          <t>Total Operational Workforce</t>
        </is>
      </c>
      <c r="C15" s="11">
        <f>OCT!J15</f>
        <v/>
      </c>
      <c r="D15" s="11">
        <f>NOV!J15</f>
        <v/>
      </c>
      <c r="E15" s="11">
        <f>DEC!J15</f>
        <v/>
      </c>
      <c r="F15" s="12">
        <f>IF(COUNT(F5,F12)=0,"",SUM(F5,F12))</f>
        <v/>
      </c>
      <c r="G15" s="11">
        <f>JAN!J15</f>
        <v/>
      </c>
      <c r="H15" s="11">
        <f>FEB!J15</f>
        <v/>
      </c>
      <c r="I15" s="11">
        <f>MAR!J15</f>
        <v/>
      </c>
      <c r="J15" s="12">
        <f>IF(COUNT(J5,J12)=0,"",SUM(J5,J12))</f>
        <v/>
      </c>
      <c r="K15" s="11">
        <f>APR!J15</f>
        <v/>
      </c>
      <c r="L15" s="11">
        <f>MAY!J15</f>
        <v/>
      </c>
      <c r="M15" s="11">
        <f>JUN!J15</f>
        <v/>
      </c>
      <c r="N15" s="12">
        <f>IF(COUNT(N5,N12)=0,"",SUM(N5,N12))</f>
        <v/>
      </c>
      <c r="O15" s="11">
        <f>JUL!J15</f>
        <v/>
      </c>
      <c r="P15" s="11">
        <f>AUG!J15</f>
        <v/>
      </c>
      <c r="Q15" s="11">
        <f>SEP!J15</f>
        <v/>
      </c>
      <c r="R15" s="12">
        <f>IF(COUNT(R5,R12)=0,"",SUM(R5,R12))</f>
        <v/>
      </c>
      <c r="S15" s="12">
        <f>IF(COUNT(S5,S12)=0,"",SUM(S5,S12))</f>
        <v/>
      </c>
    </row>
    <row r="16" ht="18.75" customHeight="1">
      <c r="A16" s="3" t="n"/>
      <c r="B16" s="18" t="inlineStr">
        <is>
          <t>Total Operational FTE</t>
        </is>
      </c>
      <c r="C16" s="16">
        <f>OCT!J16</f>
        <v/>
      </c>
      <c r="D16" s="16">
        <f>NOV!J16</f>
        <v/>
      </c>
      <c r="E16" s="16">
        <f>DEC!J16</f>
        <v/>
      </c>
      <c r="F16" s="17">
        <f>IF(COUNT(F11,F14)=0,"",SUM(F11,F14))</f>
        <v/>
      </c>
      <c r="G16" s="16">
        <f>JAN!J16</f>
        <v/>
      </c>
      <c r="H16" s="16">
        <f>FEB!J16</f>
        <v/>
      </c>
      <c r="I16" s="16">
        <f>MAR!J16</f>
        <v/>
      </c>
      <c r="J16" s="17">
        <f>IF(COUNT(J11,J14)=0,"",SUM(J11,J14))</f>
        <v/>
      </c>
      <c r="K16" s="16">
        <f>APR!J16</f>
        <v/>
      </c>
      <c r="L16" s="16">
        <f>MAY!J16</f>
        <v/>
      </c>
      <c r="M16" s="16">
        <f>JUN!J16</f>
        <v/>
      </c>
      <c r="N16" s="17">
        <f>IF(COUNT(N11,N14)=0,"",SUM(N11,N14))</f>
        <v/>
      </c>
      <c r="O16" s="16">
        <f>JUL!J16</f>
        <v/>
      </c>
      <c r="P16" s="16">
        <f>AUG!J16</f>
        <v/>
      </c>
      <c r="Q16" s="16">
        <f>SEP!J16</f>
        <v/>
      </c>
      <c r="R16" s="17">
        <f>IF(COUNT(R11,R14)=0,"",SUM(R11,R14))</f>
        <v/>
      </c>
      <c r="S16" s="17">
        <f>IF(COUNT(S11,S14)=0,"",SUM(S11,S14))</f>
        <v/>
      </c>
    </row>
    <row r="17" ht="18.75" customHeight="1">
      <c r="A17" s="3" t="n"/>
      <c r="B17" s="13" t="inlineStr">
        <is>
          <t>Subcontracted Share of Workforce (%)</t>
        </is>
      </c>
      <c r="C17" s="19">
        <f>OCT!J17</f>
        <v/>
      </c>
      <c r="D17" s="19">
        <f>NOV!J17</f>
        <v/>
      </c>
      <c r="E17" s="19">
        <f>DEC!J17</f>
        <v/>
      </c>
      <c r="F17" s="20">
        <f>IFERROR(F12/F15,"")</f>
        <v/>
      </c>
      <c r="G17" s="19">
        <f>JAN!J17</f>
        <v/>
      </c>
      <c r="H17" s="19">
        <f>FEB!J17</f>
        <v/>
      </c>
      <c r="I17" s="19">
        <f>MAR!J17</f>
        <v/>
      </c>
      <c r="J17" s="20">
        <f>IFERROR(J12/J15,"")</f>
        <v/>
      </c>
      <c r="K17" s="19">
        <f>APR!J17</f>
        <v/>
      </c>
      <c r="L17" s="19">
        <f>MAY!J17</f>
        <v/>
      </c>
      <c r="M17" s="19">
        <f>JUN!J17</f>
        <v/>
      </c>
      <c r="N17" s="20">
        <f>IFERROR(N12/N15,"")</f>
        <v/>
      </c>
      <c r="O17" s="19">
        <f>JUL!J17</f>
        <v/>
      </c>
      <c r="P17" s="19">
        <f>AUG!J17</f>
        <v/>
      </c>
      <c r="Q17" s="19">
        <f>SEP!J17</f>
        <v/>
      </c>
      <c r="R17" s="20">
        <f>IFERROR(R12/R15,"")</f>
        <v/>
      </c>
      <c r="S17" s="20">
        <f>IFERROR(S12/S15,"")</f>
        <v/>
      </c>
    </row>
    <row r="18" ht="18.75" customHeight="1">
      <c r="A18" s="3" t="n"/>
      <c r="B18" s="10" t="inlineStr">
        <is>
          <t>FTE HR Team</t>
        </is>
      </c>
      <c r="C18" s="11">
        <f>OCT!J18</f>
        <v/>
      </c>
      <c r="D18" s="11">
        <f>NOV!J18</f>
        <v/>
      </c>
      <c r="E18" s="11">
        <f>DEC!J18</f>
        <v/>
      </c>
      <c r="F18" s="12">
        <f>IFERROR(AVERAGE(C18:E18),"")</f>
        <v/>
      </c>
      <c r="G18" s="11">
        <f>JAN!J18</f>
        <v/>
      </c>
      <c r="H18" s="11">
        <f>FEB!J18</f>
        <v/>
      </c>
      <c r="I18" s="11">
        <f>MAR!J18</f>
        <v/>
      </c>
      <c r="J18" s="12">
        <f>IFERROR(AVERAGE(G18:I18),"")</f>
        <v/>
      </c>
      <c r="K18" s="11">
        <f>APR!J18</f>
        <v/>
      </c>
      <c r="L18" s="11">
        <f>MAY!J18</f>
        <v/>
      </c>
      <c r="M18" s="11">
        <f>JUN!J18</f>
        <v/>
      </c>
      <c r="N18" s="12">
        <f>IFERROR(AVERAGE(K18:M18),"")</f>
        <v/>
      </c>
      <c r="O18" s="11">
        <f>JUL!J18</f>
        <v/>
      </c>
      <c r="P18" s="11">
        <f>AUG!J18</f>
        <v/>
      </c>
      <c r="Q18" s="11">
        <f>SEP!J18</f>
        <v/>
      </c>
      <c r="R18" s="12">
        <f>IFERROR(AVERAGE(O18:Q18),"")</f>
        <v/>
      </c>
      <c r="S18" s="12">
        <f>IFERROR(AVERAGE(C18:E18,G18:I18,K18:M18,O18:Q18),"")</f>
        <v/>
      </c>
    </row>
    <row r="19" ht="18.75" customHeight="1">
      <c r="A19" s="3" t="n"/>
      <c r="B19" s="10" t="inlineStr">
        <is>
          <t>Permanent Hires</t>
        </is>
      </c>
      <c r="C19" s="11">
        <f>OCT!J19</f>
        <v/>
      </c>
      <c r="D19" s="11">
        <f>NOV!J19</f>
        <v/>
      </c>
      <c r="E19" s="11">
        <f>DEC!J19</f>
        <v/>
      </c>
      <c r="F19" s="12">
        <f>IF(COUNT(C19:E19)=0,"",SUM(C19:E19))</f>
        <v/>
      </c>
      <c r="G19" s="11">
        <f>JAN!J19</f>
        <v/>
      </c>
      <c r="H19" s="11">
        <f>FEB!J19</f>
        <v/>
      </c>
      <c r="I19" s="11">
        <f>MAR!J19</f>
        <v/>
      </c>
      <c r="J19" s="12">
        <f>IF(COUNT(G19:I19)=0,"",SUM(G19:I19))</f>
        <v/>
      </c>
      <c r="K19" s="11">
        <f>APR!J19</f>
        <v/>
      </c>
      <c r="L19" s="11">
        <f>MAY!J19</f>
        <v/>
      </c>
      <c r="M19" s="11">
        <f>JUN!J19</f>
        <v/>
      </c>
      <c r="N19" s="12">
        <f>IF(COUNT(K19:M19)=0,"",SUM(K19:M19))</f>
        <v/>
      </c>
      <c r="O19" s="11">
        <f>JUL!J19</f>
        <v/>
      </c>
      <c r="P19" s="11">
        <f>AUG!J19</f>
        <v/>
      </c>
      <c r="Q19" s="11">
        <f>SEP!J19</f>
        <v/>
      </c>
      <c r="R19" s="12">
        <f>IF(COUNT(O19:Q19)=0,"",SUM(O19:Q19))</f>
        <v/>
      </c>
      <c r="S19" s="12">
        <f>IF(COUNT(C19:E19,G19:I19,K19:M19,O19:Q19)=0,"",SUM(C19:E19,G19:I19,K19:M19,O19:Q19))</f>
        <v/>
      </c>
    </row>
    <row r="20" ht="18.75" customHeight="1">
      <c r="A20" s="3" t="n"/>
      <c r="B20" s="10" t="inlineStr">
        <is>
          <t>Temporary Hires</t>
        </is>
      </c>
      <c r="C20" s="11">
        <f>OCT!J20</f>
        <v/>
      </c>
      <c r="D20" s="11">
        <f>NOV!J20</f>
        <v/>
      </c>
      <c r="E20" s="11">
        <f>DEC!J20</f>
        <v/>
      </c>
      <c r="F20" s="12">
        <f>IF(COUNT(C20:E20)=0,"",SUM(C20:E20))</f>
        <v/>
      </c>
      <c r="G20" s="11">
        <f>JAN!J20</f>
        <v/>
      </c>
      <c r="H20" s="11">
        <f>FEB!J20</f>
        <v/>
      </c>
      <c r="I20" s="11">
        <f>MAR!J20</f>
        <v/>
      </c>
      <c r="J20" s="12">
        <f>IF(COUNT(G20:I20)=0,"",SUM(G20:I20))</f>
        <v/>
      </c>
      <c r="K20" s="11">
        <f>APR!J20</f>
        <v/>
      </c>
      <c r="L20" s="11">
        <f>MAY!J20</f>
        <v/>
      </c>
      <c r="M20" s="11">
        <f>JUN!J20</f>
        <v/>
      </c>
      <c r="N20" s="12">
        <f>IF(COUNT(K20:M20)=0,"",SUM(K20:M20))</f>
        <v/>
      </c>
      <c r="O20" s="11">
        <f>JUL!J20</f>
        <v/>
      </c>
      <c r="P20" s="11">
        <f>AUG!J20</f>
        <v/>
      </c>
      <c r="Q20" s="11">
        <f>SEP!J20</f>
        <v/>
      </c>
      <c r="R20" s="12">
        <f>IF(COUNT(O20:Q20)=0,"",SUM(O20:Q20))</f>
        <v/>
      </c>
      <c r="S20" s="12">
        <f>IF(COUNT(C20:E20,G20:I20,K20:M20,O20:Q20)=0,"",SUM(C20:E20,G20:I20,K20:M20,O20:Q20))</f>
        <v/>
      </c>
    </row>
    <row r="21" ht="18.75" customHeight="1">
      <c r="A21" s="3" t="n"/>
      <c r="B21" s="13" t="inlineStr">
        <is>
          <t>Total Hires</t>
        </is>
      </c>
      <c r="C21" s="11">
        <f>OCT!J21</f>
        <v/>
      </c>
      <c r="D21" s="11">
        <f>NOV!J21</f>
        <v/>
      </c>
      <c r="E21" s="11">
        <f>DEC!J21</f>
        <v/>
      </c>
      <c r="F21" s="12">
        <f>IF(COUNT(F19:F20)=0,"",SUM(F19:F20))</f>
        <v/>
      </c>
      <c r="G21" s="11">
        <f>JAN!J21</f>
        <v/>
      </c>
      <c r="H21" s="11">
        <f>FEB!J21</f>
        <v/>
      </c>
      <c r="I21" s="11">
        <f>MAR!J21</f>
        <v/>
      </c>
      <c r="J21" s="12">
        <f>IF(COUNT(J19:J20)=0,"",SUM(J19:J20))</f>
        <v/>
      </c>
      <c r="K21" s="11">
        <f>APR!J21</f>
        <v/>
      </c>
      <c r="L21" s="11">
        <f>MAY!J21</f>
        <v/>
      </c>
      <c r="M21" s="11">
        <f>JUN!J21</f>
        <v/>
      </c>
      <c r="N21" s="12">
        <f>IF(COUNT(N19:N20)=0,"",SUM(N19:N20))</f>
        <v/>
      </c>
      <c r="O21" s="11">
        <f>JUL!J21</f>
        <v/>
      </c>
      <c r="P21" s="11">
        <f>AUG!J21</f>
        <v/>
      </c>
      <c r="Q21" s="11">
        <f>SEP!J21</f>
        <v/>
      </c>
      <c r="R21" s="12">
        <f>IF(COUNT(R19:R20)=0,"",SUM(R19:R20))</f>
        <v/>
      </c>
      <c r="S21" s="12">
        <f>IF(COUNT(S19:S20)=0,"",SUM(S19:S20))</f>
        <v/>
      </c>
    </row>
    <row r="22" ht="18.75" customHeight="1">
      <c r="A22" s="3" t="n"/>
      <c r="B22" s="10" t="inlineStr">
        <is>
          <t>Permanent Exits</t>
        </is>
      </c>
      <c r="C22" s="11">
        <f>OCT!J22</f>
        <v/>
      </c>
      <c r="D22" s="11">
        <f>NOV!J22</f>
        <v/>
      </c>
      <c r="E22" s="11">
        <f>DEC!J22</f>
        <v/>
      </c>
      <c r="F22" s="12">
        <f>IF(COUNT(C22:E22)=0,"",SUM(C22:E22))</f>
        <v/>
      </c>
      <c r="G22" s="11">
        <f>JAN!J22</f>
        <v/>
      </c>
      <c r="H22" s="11">
        <f>FEB!J22</f>
        <v/>
      </c>
      <c r="I22" s="11">
        <f>MAR!J22</f>
        <v/>
      </c>
      <c r="J22" s="12">
        <f>IF(COUNT(G22:I22)=0,"",SUM(G22:I22))</f>
        <v/>
      </c>
      <c r="K22" s="11">
        <f>APR!J22</f>
        <v/>
      </c>
      <c r="L22" s="11">
        <f>MAY!J22</f>
        <v/>
      </c>
      <c r="M22" s="11">
        <f>JUN!J22</f>
        <v/>
      </c>
      <c r="N22" s="12">
        <f>IF(COUNT(K22:M22)=0,"",SUM(K22:M22))</f>
        <v/>
      </c>
      <c r="O22" s="11">
        <f>JUL!J22</f>
        <v/>
      </c>
      <c r="P22" s="11">
        <f>AUG!J22</f>
        <v/>
      </c>
      <c r="Q22" s="11">
        <f>SEP!J22</f>
        <v/>
      </c>
      <c r="R22" s="12">
        <f>IF(COUNT(O22:Q22)=0,"",SUM(O22:Q22))</f>
        <v/>
      </c>
      <c r="S22" s="12">
        <f>IF(COUNT(C22:E22,G22:I22,K22:M22,O22:Q22)=0,"",SUM(C22:E22,G22:I22,K22:M22,O22:Q22))</f>
        <v/>
      </c>
    </row>
    <row r="23" ht="18.75" customHeight="1">
      <c r="A23" s="3" t="n"/>
      <c r="B23" s="10" t="inlineStr">
        <is>
          <t>Temporary Exits</t>
        </is>
      </c>
      <c r="C23" s="11">
        <f>OCT!J23</f>
        <v/>
      </c>
      <c r="D23" s="11">
        <f>NOV!J23</f>
        <v/>
      </c>
      <c r="E23" s="11">
        <f>DEC!J23</f>
        <v/>
      </c>
      <c r="F23" s="12">
        <f>IF(COUNT(C23:E23)=0,"",SUM(C23:E23))</f>
        <v/>
      </c>
      <c r="G23" s="11">
        <f>JAN!J23</f>
        <v/>
      </c>
      <c r="H23" s="11">
        <f>FEB!J23</f>
        <v/>
      </c>
      <c r="I23" s="11">
        <f>MAR!J23</f>
        <v/>
      </c>
      <c r="J23" s="12">
        <f>IF(COUNT(G23:I23)=0,"",SUM(G23:I23))</f>
        <v/>
      </c>
      <c r="K23" s="11">
        <f>APR!J23</f>
        <v/>
      </c>
      <c r="L23" s="11">
        <f>MAY!J23</f>
        <v/>
      </c>
      <c r="M23" s="11">
        <f>JUN!J23</f>
        <v/>
      </c>
      <c r="N23" s="12">
        <f>IF(COUNT(K23:M23)=0,"",SUM(K23:M23))</f>
        <v/>
      </c>
      <c r="O23" s="11">
        <f>JUL!J23</f>
        <v/>
      </c>
      <c r="P23" s="11">
        <f>AUG!J23</f>
        <v/>
      </c>
      <c r="Q23" s="11">
        <f>SEP!J23</f>
        <v/>
      </c>
      <c r="R23" s="12">
        <f>IF(COUNT(O23:Q23)=0,"",SUM(O23:Q23))</f>
        <v/>
      </c>
      <c r="S23" s="12">
        <f>IF(COUNT(C23:E23,G23:I23,K23:M23,O23:Q23)=0,"",SUM(C23:E23,G23:I23,K23:M23,O23:Q23))</f>
        <v/>
      </c>
    </row>
    <row r="24" ht="18.75" customHeight="1">
      <c r="A24" s="3" t="n"/>
      <c r="B24" s="13" t="inlineStr">
        <is>
          <t>Total Exits</t>
        </is>
      </c>
      <c r="C24" s="11">
        <f>OCT!J24</f>
        <v/>
      </c>
      <c r="D24" s="11">
        <f>NOV!J24</f>
        <v/>
      </c>
      <c r="E24" s="11">
        <f>DEC!J24</f>
        <v/>
      </c>
      <c r="F24" s="12">
        <f>IF(COUNT(F22:F23)=0,"",SUM(F22:F23))</f>
        <v/>
      </c>
      <c r="G24" s="11">
        <f>JAN!J24</f>
        <v/>
      </c>
      <c r="H24" s="11">
        <f>FEB!J24</f>
        <v/>
      </c>
      <c r="I24" s="11">
        <f>MAR!J24</f>
        <v/>
      </c>
      <c r="J24" s="12">
        <f>IF(COUNT(J22:J23)=0,"",SUM(J22:J23))</f>
        <v/>
      </c>
      <c r="K24" s="11">
        <f>APR!J24</f>
        <v/>
      </c>
      <c r="L24" s="11">
        <f>MAY!J24</f>
        <v/>
      </c>
      <c r="M24" s="11">
        <f>JUN!J24</f>
        <v/>
      </c>
      <c r="N24" s="12">
        <f>IF(COUNT(N22:N23)=0,"",SUM(N22:N23))</f>
        <v/>
      </c>
      <c r="O24" s="11">
        <f>JUL!J24</f>
        <v/>
      </c>
      <c r="P24" s="11">
        <f>AUG!J24</f>
        <v/>
      </c>
      <c r="Q24" s="11">
        <f>SEP!J24</f>
        <v/>
      </c>
      <c r="R24" s="12">
        <f>IF(COUNT(R22:R23)=0,"",SUM(R22:R23))</f>
        <v/>
      </c>
      <c r="S24" s="12">
        <f>IF(COUNT(S22:S23)=0,"",SUM(S22:S23))</f>
        <v/>
      </c>
    </row>
    <row r="25" ht="18.75" customHeight="1">
      <c r="A25" s="3" t="n"/>
      <c r="B25" s="21" t="inlineStr">
        <is>
          <t>Permanent Turnover (%)</t>
        </is>
      </c>
      <c r="C25" s="19">
        <f>OCT!J25</f>
        <v/>
      </c>
      <c r="D25" s="19">
        <f>NOV!J25</f>
        <v/>
      </c>
      <c r="E25" s="19">
        <f>DEC!J25</f>
        <v/>
      </c>
      <c r="F25" s="20">
        <f>IF(COUNT(F31,F32)&lt;2,"",IF((F32+F31)=0,"",N(F22)/((F32+F31)/2)))</f>
        <v/>
      </c>
      <c r="G25" s="19">
        <f>JAN!J25</f>
        <v/>
      </c>
      <c r="H25" s="19">
        <f>FEB!J25</f>
        <v/>
      </c>
      <c r="I25" s="19">
        <f>MAR!J25</f>
        <v/>
      </c>
      <c r="J25" s="20">
        <f>IF(COUNT(J31,J32)&lt;2,"",IF((J32+J31)=0,"",N(J22)/((J32+J31)/2)))</f>
        <v/>
      </c>
      <c r="K25" s="19">
        <f>APR!J25</f>
        <v/>
      </c>
      <c r="L25" s="19">
        <f>MAY!J25</f>
        <v/>
      </c>
      <c r="M25" s="19">
        <f>JUN!J25</f>
        <v/>
      </c>
      <c r="N25" s="20">
        <f>IF(COUNT(N31,N32)&lt;2,"",IF((N32+N31)=0,"",N(N22)/((N32+N31)/2)))</f>
        <v/>
      </c>
      <c r="O25" s="19">
        <f>JUL!J25</f>
        <v/>
      </c>
      <c r="P25" s="19">
        <f>AUG!J25</f>
        <v/>
      </c>
      <c r="Q25" s="19">
        <f>SEP!J25</f>
        <v/>
      </c>
      <c r="R25" s="20">
        <f>IF(COUNT(R31,R32)&lt;2,"",IF((R32+R31)=0,"",N(R22)/((R32+R31)/2)))</f>
        <v/>
      </c>
      <c r="S25" s="20">
        <f>IF(COUNT(S31,S32)&lt;2,"",IF((S32+S31)=0,"",N(S22)/((S32+S31)/2)))</f>
        <v/>
      </c>
    </row>
    <row r="26" ht="18.75" customHeight="1">
      <c r="A26" s="3" t="n"/>
      <c r="B26" s="21" t="inlineStr">
        <is>
          <t>Temporary Turnover (%)</t>
        </is>
      </c>
      <c r="C26" s="19">
        <f>OCT!J26</f>
        <v/>
      </c>
      <c r="D26" s="19">
        <f>NOV!J26</f>
        <v/>
      </c>
      <c r="E26" s="19">
        <f>DEC!J26</f>
        <v/>
      </c>
      <c r="F26" s="20">
        <f>IF(COUNT(F31,F32)&lt;2,"",IF((F32+F31)=0,"",N(F23)/((F32+F31)/2)))</f>
        <v/>
      </c>
      <c r="G26" s="19">
        <f>JAN!J26</f>
        <v/>
      </c>
      <c r="H26" s="19">
        <f>FEB!J26</f>
        <v/>
      </c>
      <c r="I26" s="19">
        <f>MAR!J26</f>
        <v/>
      </c>
      <c r="J26" s="20">
        <f>IF(COUNT(J31,J32)&lt;2,"",IF((J32+J31)=0,"",N(J23)/((J32+J31)/2)))</f>
        <v/>
      </c>
      <c r="K26" s="19">
        <f>APR!J26</f>
        <v/>
      </c>
      <c r="L26" s="19">
        <f>MAY!J26</f>
        <v/>
      </c>
      <c r="M26" s="19">
        <f>JUN!J26</f>
        <v/>
      </c>
      <c r="N26" s="20">
        <f>IF(COUNT(N31,N32)&lt;2,"",IF((N32+N31)=0,"",N(N23)/((N32+N31)/2)))</f>
        <v/>
      </c>
      <c r="O26" s="19">
        <f>JUL!J26</f>
        <v/>
      </c>
      <c r="P26" s="19">
        <f>AUG!J26</f>
        <v/>
      </c>
      <c r="Q26" s="19">
        <f>SEP!J26</f>
        <v/>
      </c>
      <c r="R26" s="20">
        <f>IF(COUNT(R31,R32)&lt;2,"",IF((R32+R31)=0,"",N(R23)/((R32+R31)/2)))</f>
        <v/>
      </c>
      <c r="S26" s="20">
        <f>IF(COUNT(S31,S32)&lt;2,"",IF((S32+S31)=0,"",N(S23)/((S32+S31)/2)))</f>
        <v/>
      </c>
    </row>
    <row r="27" ht="18.75" customHeight="1">
      <c r="A27" s="3" t="n"/>
      <c r="B27" s="22" t="inlineStr">
        <is>
          <t>Voluntary Terminations</t>
        </is>
      </c>
      <c r="C27" s="11">
        <f>OCT!J27</f>
        <v/>
      </c>
      <c r="D27" s="11">
        <f>NOV!J27</f>
        <v/>
      </c>
      <c r="E27" s="11">
        <f>DEC!J27</f>
        <v/>
      </c>
      <c r="F27" s="12">
        <f>IF(COUNT(C27:E27)=0,"",SUM(C27:E27))</f>
        <v/>
      </c>
      <c r="G27" s="11">
        <f>JAN!J27</f>
        <v/>
      </c>
      <c r="H27" s="11">
        <f>FEB!J27</f>
        <v/>
      </c>
      <c r="I27" s="11">
        <f>MAR!J27</f>
        <v/>
      </c>
      <c r="J27" s="12">
        <f>IF(COUNT(G27:I27)=0,"",SUM(G27:I27))</f>
        <v/>
      </c>
      <c r="K27" s="11">
        <f>APR!J27</f>
        <v/>
      </c>
      <c r="L27" s="11">
        <f>MAY!J27</f>
        <v/>
      </c>
      <c r="M27" s="11">
        <f>JUN!J27</f>
        <v/>
      </c>
      <c r="N27" s="12">
        <f>IF(COUNT(K27:M27)=0,"",SUM(K27:M27))</f>
        <v/>
      </c>
      <c r="O27" s="11">
        <f>JUL!J27</f>
        <v/>
      </c>
      <c r="P27" s="11">
        <f>AUG!J27</f>
        <v/>
      </c>
      <c r="Q27" s="11">
        <f>SEP!J27</f>
        <v/>
      </c>
      <c r="R27" s="12">
        <f>IF(COUNT(O27:Q27)=0,"",SUM(O27:Q27))</f>
        <v/>
      </c>
      <c r="S27" s="12">
        <f>IF(COUNT(C27:E27,G27:I27,K27:M27,O27:Q27)=0,"",SUM(C27:E27,G27:I27,K27:M27,O27:Q27))</f>
        <v/>
      </c>
    </row>
    <row r="28" ht="18.75" customHeight="1">
      <c r="A28" s="3" t="n"/>
      <c r="B28" s="22" t="inlineStr">
        <is>
          <t>Involuntary Terminations</t>
        </is>
      </c>
      <c r="C28" s="11">
        <f>OCT!J28</f>
        <v/>
      </c>
      <c r="D28" s="11">
        <f>NOV!J28</f>
        <v/>
      </c>
      <c r="E28" s="11">
        <f>DEC!J28</f>
        <v/>
      </c>
      <c r="F28" s="12">
        <f>IF(COUNT(C28:E28)=0,"",SUM(C28:E28))</f>
        <v/>
      </c>
      <c r="G28" s="11">
        <f>JAN!J28</f>
        <v/>
      </c>
      <c r="H28" s="11">
        <f>FEB!J28</f>
        <v/>
      </c>
      <c r="I28" s="11">
        <f>MAR!J28</f>
        <v/>
      </c>
      <c r="J28" s="12">
        <f>IF(COUNT(G28:I28)=0,"",SUM(G28:I28))</f>
        <v/>
      </c>
      <c r="K28" s="11">
        <f>APR!J28</f>
        <v/>
      </c>
      <c r="L28" s="11">
        <f>MAY!J28</f>
        <v/>
      </c>
      <c r="M28" s="11">
        <f>JUN!J28</f>
        <v/>
      </c>
      <c r="N28" s="12">
        <f>IF(COUNT(K28:M28)=0,"",SUM(K28:M28))</f>
        <v/>
      </c>
      <c r="O28" s="11">
        <f>JUL!J28</f>
        <v/>
      </c>
      <c r="P28" s="11">
        <f>AUG!J28</f>
        <v/>
      </c>
      <c r="Q28" s="11">
        <f>SEP!J28</f>
        <v/>
      </c>
      <c r="R28" s="12">
        <f>IF(COUNT(O28:Q28)=0,"",SUM(O28:Q28))</f>
        <v/>
      </c>
      <c r="S28" s="12">
        <f>IF(COUNT(C28:E28,G28:I28,K28:M28,O28:Q28)=0,"",SUM(C28:E28,G28:I28,K28:M28,O28:Q28))</f>
        <v/>
      </c>
    </row>
    <row r="29" ht="18.75" customHeight="1">
      <c r="A29" s="3" t="n"/>
      <c r="B29" s="21" t="inlineStr">
        <is>
          <t>Voluntary Turnover (%)</t>
        </is>
      </c>
      <c r="C29" s="19">
        <f>OCT!J29</f>
        <v/>
      </c>
      <c r="D29" s="19">
        <f>NOV!J29</f>
        <v/>
      </c>
      <c r="E29" s="19">
        <f>DEC!J29</f>
        <v/>
      </c>
      <c r="F29" s="20">
        <f>IF(COUNT(F31,F32)&lt;2,"",IF((F32+F31)=0,"",N(F27)/((F32+F31)/2)))</f>
        <v/>
      </c>
      <c r="G29" s="19">
        <f>JAN!J29</f>
        <v/>
      </c>
      <c r="H29" s="19">
        <f>FEB!J29</f>
        <v/>
      </c>
      <c r="I29" s="19">
        <f>MAR!J29</f>
        <v/>
      </c>
      <c r="J29" s="20">
        <f>IF(COUNT(J31,J32)&lt;2,"",IF((J32+J31)=0,"",N(J27)/((J32+J31)/2)))</f>
        <v/>
      </c>
      <c r="K29" s="19">
        <f>APR!J29</f>
        <v/>
      </c>
      <c r="L29" s="19">
        <f>MAY!J29</f>
        <v/>
      </c>
      <c r="M29" s="19">
        <f>JUN!J29</f>
        <v/>
      </c>
      <c r="N29" s="20">
        <f>IF(COUNT(N31,N32)&lt;2,"",IF((N32+N31)=0,"",N(N27)/((N32+N31)/2)))</f>
        <v/>
      </c>
      <c r="O29" s="19">
        <f>JUL!J29</f>
        <v/>
      </c>
      <c r="P29" s="19">
        <f>AUG!J29</f>
        <v/>
      </c>
      <c r="Q29" s="19">
        <f>SEP!J29</f>
        <v/>
      </c>
      <c r="R29" s="20">
        <f>IF(COUNT(R31,R32)&lt;2,"",IF((R32+R31)=0,"",N(R27)/((R32+R31)/2)))</f>
        <v/>
      </c>
      <c r="S29" s="20">
        <f>IF(COUNT(S31,S32)&lt;2,"",IF((S32+S31)=0,"",N(S27)/((S32+S31)/2)))</f>
        <v/>
      </c>
    </row>
    <row r="30" ht="18.75" customHeight="1">
      <c r="A30" s="3" t="n"/>
      <c r="B30" s="21" t="inlineStr">
        <is>
          <t>Involuntary Turnover (%)</t>
        </is>
      </c>
      <c r="C30" s="19">
        <f>OCT!J30</f>
        <v/>
      </c>
      <c r="D30" s="19">
        <f>NOV!J30</f>
        <v/>
      </c>
      <c r="E30" s="19">
        <f>DEC!J30</f>
        <v/>
      </c>
      <c r="F30" s="20">
        <f>IF(COUNT(F31,F32)&lt;2,"",IF((F32+F31)=0,"",N(F28)/((F32+F31)/2)))</f>
        <v/>
      </c>
      <c r="G30" s="19">
        <f>JAN!J30</f>
        <v/>
      </c>
      <c r="H30" s="19">
        <f>FEB!J30</f>
        <v/>
      </c>
      <c r="I30" s="19">
        <f>MAR!J30</f>
        <v/>
      </c>
      <c r="J30" s="20">
        <f>IF(COUNT(J31,J32)&lt;2,"",IF((J32+J31)=0,"",N(J28)/((J32+J31)/2)))</f>
        <v/>
      </c>
      <c r="K30" s="19">
        <f>APR!J30</f>
        <v/>
      </c>
      <c r="L30" s="19">
        <f>MAY!J30</f>
        <v/>
      </c>
      <c r="M30" s="19">
        <f>JUN!J30</f>
        <v/>
      </c>
      <c r="N30" s="20">
        <f>IF(COUNT(N31,N32)&lt;2,"",IF((N32+N31)=0,"",N(N28)/((N32+N31)/2)))</f>
        <v/>
      </c>
      <c r="O30" s="19">
        <f>JUL!J30</f>
        <v/>
      </c>
      <c r="P30" s="19">
        <f>AUG!J30</f>
        <v/>
      </c>
      <c r="Q30" s="19">
        <f>SEP!J30</f>
        <v/>
      </c>
      <c r="R30" s="20">
        <f>IF(COUNT(R31,R32)&lt;2,"",IF((R32+R31)=0,"",N(R28)/((R32+R31)/2)))</f>
        <v/>
      </c>
      <c r="S30" s="20">
        <f>IF(COUNT(S31,S32)&lt;2,"",IF((S32+S31)=0,"",N(S28)/((S32+S31)/2)))</f>
        <v/>
      </c>
    </row>
    <row r="31" ht="18.75" customHeight="1">
      <c r="A31" s="3" t="n"/>
      <c r="B31" s="10" t="inlineStr">
        <is>
          <t>Headcount last Month</t>
        </is>
      </c>
      <c r="C31" s="11">
        <f>OCT!J31</f>
        <v/>
      </c>
      <c r="D31" s="11">
        <f>NOV!J31</f>
        <v/>
      </c>
      <c r="E31" s="11">
        <f>DEC!J31</f>
        <v/>
      </c>
      <c r="F31" s="12">
        <f>IFERROR(AVERAGE(C31:E31),"")</f>
        <v/>
      </c>
      <c r="G31" s="11">
        <f>JAN!J31</f>
        <v/>
      </c>
      <c r="H31" s="11">
        <f>FEB!J31</f>
        <v/>
      </c>
      <c r="I31" s="11">
        <f>MAR!J31</f>
        <v/>
      </c>
      <c r="J31" s="12">
        <f>IFERROR(AVERAGE(G31:I31),"")</f>
        <v/>
      </c>
      <c r="K31" s="11">
        <f>APR!J31</f>
        <v/>
      </c>
      <c r="L31" s="11">
        <f>MAY!J31</f>
        <v/>
      </c>
      <c r="M31" s="11">
        <f>JUN!J31</f>
        <v/>
      </c>
      <c r="N31" s="12">
        <f>IFERROR(AVERAGE(K31:M31),"")</f>
        <v/>
      </c>
      <c r="O31" s="11">
        <f>JUL!J31</f>
        <v/>
      </c>
      <c r="P31" s="11">
        <f>AUG!J31</f>
        <v/>
      </c>
      <c r="Q31" s="11">
        <f>SEP!J31</f>
        <v/>
      </c>
      <c r="R31" s="12">
        <f>IFERROR(AVERAGE(O31:Q31),"")</f>
        <v/>
      </c>
      <c r="S31" s="12">
        <f>IFERROR(AVERAGE(C31:E31,G31:I31,K31:M31,O31:Q31),"")</f>
        <v/>
      </c>
    </row>
    <row r="32" ht="18.75" customHeight="1">
      <c r="A32" s="3" t="n"/>
      <c r="B32" s="13" t="inlineStr">
        <is>
          <t>Headcount this Month</t>
        </is>
      </c>
      <c r="C32" s="11">
        <f>OCT!J32</f>
        <v/>
      </c>
      <c r="D32" s="11">
        <f>NOV!J32</f>
        <v/>
      </c>
      <c r="E32" s="11">
        <f>DEC!J32</f>
        <v/>
      </c>
      <c r="F32" s="12">
        <f>IFERROR(AVERAGE(C32:E32),"")</f>
        <v/>
      </c>
      <c r="G32" s="11">
        <f>JAN!J32</f>
        <v/>
      </c>
      <c r="H32" s="11">
        <f>FEB!J32</f>
        <v/>
      </c>
      <c r="I32" s="11">
        <f>MAR!J32</f>
        <v/>
      </c>
      <c r="J32" s="12">
        <f>IFERROR(AVERAGE(G32:I32),"")</f>
        <v/>
      </c>
      <c r="K32" s="11">
        <f>APR!J32</f>
        <v/>
      </c>
      <c r="L32" s="11">
        <f>MAY!J32</f>
        <v/>
      </c>
      <c r="M32" s="11">
        <f>JUN!J32</f>
        <v/>
      </c>
      <c r="N32" s="12">
        <f>IFERROR(AVERAGE(K32:M32),"")</f>
        <v/>
      </c>
      <c r="O32" s="11">
        <f>JUL!J32</f>
        <v/>
      </c>
      <c r="P32" s="11">
        <f>AUG!J32</f>
        <v/>
      </c>
      <c r="Q32" s="11">
        <f>SEP!J32</f>
        <v/>
      </c>
      <c r="R32" s="12">
        <f>IFERROR(AVERAGE(O32:Q32),"")</f>
        <v/>
      </c>
      <c r="S32" s="12">
        <f>IFERROR(AVERAGE(C32:E32,G32:I32,K32:M32,O32:Q32),"")</f>
        <v/>
      </c>
    </row>
    <row r="33" ht="18.75" customHeight="1">
      <c r="A33" s="3" t="n"/>
      <c r="B33" s="13" t="inlineStr">
        <is>
          <t>Full Turnover (%)</t>
        </is>
      </c>
      <c r="C33" s="19">
        <f>OCT!J33</f>
        <v/>
      </c>
      <c r="D33" s="19">
        <f>NOV!J33</f>
        <v/>
      </c>
      <c r="E33" s="19">
        <f>DEC!J33</f>
        <v/>
      </c>
      <c r="F33" s="20">
        <f>IF(COUNT(F31,F32)&lt;2,"",IF((F32+F31)=0,"",N(F24)/((F32+F31)/2)))</f>
        <v/>
      </c>
      <c r="G33" s="19">
        <f>JAN!J33</f>
        <v/>
      </c>
      <c r="H33" s="19">
        <f>FEB!J33</f>
        <v/>
      </c>
      <c r="I33" s="19">
        <f>MAR!J33</f>
        <v/>
      </c>
      <c r="J33" s="20">
        <f>IF(COUNT(J31,J32)&lt;2,"",IF((J32+J31)=0,"",N(J24)/((J32+J31)/2)))</f>
        <v/>
      </c>
      <c r="K33" s="19">
        <f>APR!J33</f>
        <v/>
      </c>
      <c r="L33" s="19">
        <f>MAY!J33</f>
        <v/>
      </c>
      <c r="M33" s="19">
        <f>JUN!J33</f>
        <v/>
      </c>
      <c r="N33" s="20">
        <f>IF(COUNT(N31,N32)&lt;2,"",IF((N32+N31)=0,"",N(N24)/((N32+N31)/2)))</f>
        <v/>
      </c>
      <c r="O33" s="19">
        <f>JUL!J33</f>
        <v/>
      </c>
      <c r="P33" s="19">
        <f>AUG!J33</f>
        <v/>
      </c>
      <c r="Q33" s="19">
        <f>SEP!J33</f>
        <v/>
      </c>
      <c r="R33" s="20">
        <f>IF(COUNT(R31,R32)&lt;2,"",IF((R32+R31)=0,"",N(R24)/((R32+R31)/2)))</f>
        <v/>
      </c>
      <c r="S33" s="20">
        <f>IF(COUNT(S31,S32)&lt;2,"",IF((S32+S31)=0,"",N(S24)/((S32+S31)/2)))</f>
        <v/>
      </c>
    </row>
    <row r="34" ht="18.75" customHeight="1">
      <c r="A34" s="3" t="n"/>
      <c r="B34" s="22" t="inlineStr">
        <is>
          <t>Permanent Vacancies</t>
        </is>
      </c>
      <c r="C34" s="11">
        <f>OCT!J34</f>
        <v/>
      </c>
      <c r="D34" s="11">
        <f>NOV!J34</f>
        <v/>
      </c>
      <c r="E34" s="11">
        <f>DEC!J34</f>
        <v/>
      </c>
      <c r="F34" s="12">
        <f>IFERROR(AVERAGE(C34:E34),"")</f>
        <v/>
      </c>
      <c r="G34" s="11">
        <f>JAN!J34</f>
        <v/>
      </c>
      <c r="H34" s="11">
        <f>FEB!J34</f>
        <v/>
      </c>
      <c r="I34" s="11">
        <f>MAR!J34</f>
        <v/>
      </c>
      <c r="J34" s="12">
        <f>IFERROR(AVERAGE(G34:I34),"")</f>
        <v/>
      </c>
      <c r="K34" s="11">
        <f>APR!J34</f>
        <v/>
      </c>
      <c r="L34" s="11">
        <f>MAY!J34</f>
        <v/>
      </c>
      <c r="M34" s="11">
        <f>JUN!J34</f>
        <v/>
      </c>
      <c r="N34" s="12">
        <f>IFERROR(AVERAGE(K34:M34),"")</f>
        <v/>
      </c>
      <c r="O34" s="11">
        <f>JUL!J34</f>
        <v/>
      </c>
      <c r="P34" s="11">
        <f>AUG!J34</f>
        <v/>
      </c>
      <c r="Q34" s="11">
        <f>SEP!J34</f>
        <v/>
      </c>
      <c r="R34" s="12">
        <f>IFERROR(AVERAGE(O34:Q34),"")</f>
        <v/>
      </c>
      <c r="S34" s="12">
        <f>IFERROR(AVERAGE(C34:E34,G34:I34,K34:M34,O34:Q34),"")</f>
        <v/>
      </c>
    </row>
    <row r="35" ht="18.75" customHeight="1">
      <c r="A35" s="3" t="n"/>
      <c r="B35" s="22" t="inlineStr">
        <is>
          <t>Temporary Vacancies</t>
        </is>
      </c>
      <c r="C35" s="11">
        <f>OCT!J35</f>
        <v/>
      </c>
      <c r="D35" s="11">
        <f>NOV!J35</f>
        <v/>
      </c>
      <c r="E35" s="11">
        <f>DEC!J35</f>
        <v/>
      </c>
      <c r="F35" s="12">
        <f>IFERROR(AVERAGE(C35:E35),"")</f>
        <v/>
      </c>
      <c r="G35" s="11">
        <f>JAN!J35</f>
        <v/>
      </c>
      <c r="H35" s="11">
        <f>FEB!J35</f>
        <v/>
      </c>
      <c r="I35" s="11">
        <f>MAR!J35</f>
        <v/>
      </c>
      <c r="J35" s="12">
        <f>IFERROR(AVERAGE(G35:I35),"")</f>
        <v/>
      </c>
      <c r="K35" s="11">
        <f>APR!J35</f>
        <v/>
      </c>
      <c r="L35" s="11">
        <f>MAY!J35</f>
        <v/>
      </c>
      <c r="M35" s="11">
        <f>JUN!J35</f>
        <v/>
      </c>
      <c r="N35" s="12">
        <f>IFERROR(AVERAGE(K35:M35),"")</f>
        <v/>
      </c>
      <c r="O35" s="11">
        <f>JUL!J35</f>
        <v/>
      </c>
      <c r="P35" s="11">
        <f>AUG!J35</f>
        <v/>
      </c>
      <c r="Q35" s="11">
        <f>SEP!J35</f>
        <v/>
      </c>
      <c r="R35" s="12">
        <f>IFERROR(AVERAGE(O35:Q35),"")</f>
        <v/>
      </c>
      <c r="S35" s="12">
        <f>IFERROR(AVERAGE(C35:E35,G35:I35,K35:M35,O35:Q35),"")</f>
        <v/>
      </c>
    </row>
    <row r="36" ht="18.75" customHeight="1">
      <c r="A36" s="3" t="n"/>
      <c r="B36" s="13" t="inlineStr">
        <is>
          <t>Total Vacancies</t>
        </is>
      </c>
      <c r="C36" s="11">
        <f>OCT!J36</f>
        <v/>
      </c>
      <c r="D36" s="11">
        <f>NOV!J36</f>
        <v/>
      </c>
      <c r="E36" s="11">
        <f>DEC!J36</f>
        <v/>
      </c>
      <c r="F36" s="12">
        <f>IF(COUNT(F34:F35)=0,"",SUM(F34:F35))</f>
        <v/>
      </c>
      <c r="G36" s="11">
        <f>JAN!J36</f>
        <v/>
      </c>
      <c r="H36" s="11">
        <f>FEB!J36</f>
        <v/>
      </c>
      <c r="I36" s="11">
        <f>MAR!J36</f>
        <v/>
      </c>
      <c r="J36" s="12">
        <f>IF(COUNT(J34:J35)=0,"",SUM(J34:J35))</f>
        <v/>
      </c>
      <c r="K36" s="11">
        <f>APR!J36</f>
        <v/>
      </c>
      <c r="L36" s="11">
        <f>MAY!J36</f>
        <v/>
      </c>
      <c r="M36" s="11">
        <f>JUN!J36</f>
        <v/>
      </c>
      <c r="N36" s="12">
        <f>IF(COUNT(N34:N35)=0,"",SUM(N34:N35))</f>
        <v/>
      </c>
      <c r="O36" s="11">
        <f>JUL!J36</f>
        <v/>
      </c>
      <c r="P36" s="11">
        <f>AUG!J36</f>
        <v/>
      </c>
      <c r="Q36" s="11">
        <f>SEP!J36</f>
        <v/>
      </c>
      <c r="R36" s="12">
        <f>IF(COUNT(R34:R35)=0,"",SUM(R34:R35))</f>
        <v/>
      </c>
      <c r="S36" s="12">
        <f>IF(COUNT(S34:S35)=0,"",SUM(S34:S35))</f>
        <v/>
      </c>
    </row>
    <row r="37" ht="18.75" customHeight="1">
      <c r="A37" s="3" t="n"/>
      <c r="B37" s="13" t="inlineStr">
        <is>
          <t>Authorized Positions</t>
        </is>
      </c>
      <c r="C37" s="11">
        <f>OCT!J37</f>
        <v/>
      </c>
      <c r="D37" s="11">
        <f>NOV!J37</f>
        <v/>
      </c>
      <c r="E37" s="11">
        <f>DEC!J37</f>
        <v/>
      </c>
      <c r="F37" s="12">
        <f>IF(COUNT(F5,F36)=0,"",N(F5)+N(F36))</f>
        <v/>
      </c>
      <c r="G37" s="11">
        <f>JAN!J37</f>
        <v/>
      </c>
      <c r="H37" s="11">
        <f>FEB!J37</f>
        <v/>
      </c>
      <c r="I37" s="11">
        <f>MAR!J37</f>
        <v/>
      </c>
      <c r="J37" s="12">
        <f>IF(COUNT(J5,J36)=0,"",N(J5)+N(J36))</f>
        <v/>
      </c>
      <c r="K37" s="11">
        <f>APR!J37</f>
        <v/>
      </c>
      <c r="L37" s="11">
        <f>MAY!J37</f>
        <v/>
      </c>
      <c r="M37" s="11">
        <f>JUN!J37</f>
        <v/>
      </c>
      <c r="N37" s="12">
        <f>IF(COUNT(N5,N36)=0,"",N(N5)+N(N36))</f>
        <v/>
      </c>
      <c r="O37" s="11">
        <f>JUL!J37</f>
        <v/>
      </c>
      <c r="P37" s="11">
        <f>AUG!J37</f>
        <v/>
      </c>
      <c r="Q37" s="11">
        <f>SEP!J37</f>
        <v/>
      </c>
      <c r="R37" s="12">
        <f>IF(COUNT(R5,R36)=0,"",N(R5)+N(R36))</f>
        <v/>
      </c>
      <c r="S37" s="12">
        <f>IF(COUNT(S5,S36)=0,"",N(S5)+N(S36))</f>
        <v/>
      </c>
    </row>
    <row r="38" ht="18.75" customHeight="1">
      <c r="A38" s="3" t="n"/>
      <c r="B38" s="13" t="inlineStr">
        <is>
          <t>Vacancy Rate (%)</t>
        </is>
      </c>
      <c r="C38" s="19">
        <f>OCT!J38</f>
        <v/>
      </c>
      <c r="D38" s="19">
        <f>NOV!J38</f>
        <v/>
      </c>
      <c r="E38" s="19">
        <f>DEC!J38</f>
        <v/>
      </c>
      <c r="F38" s="20">
        <f>IFERROR(F36/F37,"")</f>
        <v/>
      </c>
      <c r="G38" s="19">
        <f>JAN!J38</f>
        <v/>
      </c>
      <c r="H38" s="19">
        <f>FEB!J38</f>
        <v/>
      </c>
      <c r="I38" s="19">
        <f>MAR!J38</f>
        <v/>
      </c>
      <c r="J38" s="20">
        <f>IFERROR(J36/J37,"")</f>
        <v/>
      </c>
      <c r="K38" s="19">
        <f>APR!J38</f>
        <v/>
      </c>
      <c r="L38" s="19">
        <f>MAY!J38</f>
        <v/>
      </c>
      <c r="M38" s="19">
        <f>JUN!J38</f>
        <v/>
      </c>
      <c r="N38" s="20">
        <f>IFERROR(N36/N37,"")</f>
        <v/>
      </c>
      <c r="O38" s="19">
        <f>JUL!J38</f>
        <v/>
      </c>
      <c r="P38" s="19">
        <f>AUG!J38</f>
        <v/>
      </c>
      <c r="Q38" s="19">
        <f>SEP!J38</f>
        <v/>
      </c>
      <c r="R38" s="20">
        <f>IFERROR(R36/R37,"")</f>
        <v/>
      </c>
      <c r="S38" s="20">
        <f>IFERROR(S36/S37,"")</f>
        <v/>
      </c>
    </row>
    <row r="39" ht="18.75" customHeight="1">
      <c r="A39" s="3" t="n"/>
      <c r="B39" s="10" t="inlineStr">
        <is>
          <t>Permanent TimeToHire (Days) YTD</t>
        </is>
      </c>
      <c r="C39" s="14">
        <f>OCT!J39</f>
        <v/>
      </c>
      <c r="D39" s="14">
        <f>NOV!J39</f>
        <v/>
      </c>
      <c r="E39" s="14">
        <f>DEC!J39</f>
        <v/>
      </c>
      <c r="F39" s="15">
        <f>IFERROR(LOOKUP(2,1/ISNUMBER(C39:E39),C39:E39),"")</f>
        <v/>
      </c>
      <c r="G39" s="14">
        <f>JAN!J39</f>
        <v/>
      </c>
      <c r="H39" s="14">
        <f>FEB!J39</f>
        <v/>
      </c>
      <c r="I39" s="14">
        <f>MAR!J39</f>
        <v/>
      </c>
      <c r="J39" s="15">
        <f>IFERROR(LOOKUP(2,1/ISNUMBER(G39:I39),G39:I39),"")</f>
        <v/>
      </c>
      <c r="K39" s="14">
        <f>APR!J39</f>
        <v/>
      </c>
      <c r="L39" s="14">
        <f>MAY!J39</f>
        <v/>
      </c>
      <c r="M39" s="14">
        <f>JUN!J39</f>
        <v/>
      </c>
      <c r="N39" s="15">
        <f>IFERROR(LOOKUP(2,1/ISNUMBER(K39:M39),K39:M39),"")</f>
        <v/>
      </c>
      <c r="O39" s="14">
        <f>JUL!J39</f>
        <v/>
      </c>
      <c r="P39" s="14">
        <f>AUG!J39</f>
        <v/>
      </c>
      <c r="Q39" s="14">
        <f>SEP!J39</f>
        <v/>
      </c>
      <c r="R39" s="15">
        <f>IFERROR(LOOKUP(2,1/ISNUMBER(O39:Q39),O39:Q39),"")</f>
        <v/>
      </c>
      <c r="S39" s="15">
        <f>IFERROR(LOOKUP(2,1/ISNUMBER(C39:Q39),C39:Q39),"")</f>
        <v/>
      </c>
    </row>
    <row r="40" ht="18.75" customHeight="1">
      <c r="A40" s="3" t="n"/>
      <c r="B40" s="10" t="inlineStr">
        <is>
          <t>Temporary TimeToHire (Days) YTD</t>
        </is>
      </c>
      <c r="C40" s="14">
        <f>OCT!J40</f>
        <v/>
      </c>
      <c r="D40" s="14">
        <f>NOV!J40</f>
        <v/>
      </c>
      <c r="E40" s="14">
        <f>DEC!J40</f>
        <v/>
      </c>
      <c r="F40" s="15">
        <f>IFERROR(LOOKUP(2,1/ISNUMBER(C40:E40),C40:E40),"")</f>
        <v/>
      </c>
      <c r="G40" s="14">
        <f>JAN!J40</f>
        <v/>
      </c>
      <c r="H40" s="14">
        <f>FEB!J40</f>
        <v/>
      </c>
      <c r="I40" s="14">
        <f>MAR!J40</f>
        <v/>
      </c>
      <c r="J40" s="15">
        <f>IFERROR(LOOKUP(2,1/ISNUMBER(G40:I40),G40:I40),"")</f>
        <v/>
      </c>
      <c r="K40" s="14">
        <f>APR!J40</f>
        <v/>
      </c>
      <c r="L40" s="14">
        <f>MAY!J40</f>
        <v/>
      </c>
      <c r="M40" s="14">
        <f>JUN!J40</f>
        <v/>
      </c>
      <c r="N40" s="15">
        <f>IFERROR(LOOKUP(2,1/ISNUMBER(K40:M40),K40:M40),"")</f>
        <v/>
      </c>
      <c r="O40" s="14">
        <f>JUL!J40</f>
        <v/>
      </c>
      <c r="P40" s="14">
        <f>AUG!J40</f>
        <v/>
      </c>
      <c r="Q40" s="14">
        <f>SEP!J40</f>
        <v/>
      </c>
      <c r="R40" s="15">
        <f>IFERROR(LOOKUP(2,1/ISNUMBER(O40:Q40),O40:Q40),"")</f>
        <v/>
      </c>
      <c r="S40" s="15">
        <f>IFERROR(LOOKUP(2,1/ISNUMBER(C40:Q40),C40:Q40),"")</f>
        <v/>
      </c>
    </row>
    <row r="41" ht="18.75" customHeight="1">
      <c r="A41" s="3" t="n"/>
      <c r="B41" s="13" t="inlineStr">
        <is>
          <t>Check-ins Rate Completed (%)</t>
        </is>
      </c>
      <c r="C41" s="23">
        <f>OCT!J41</f>
        <v/>
      </c>
      <c r="D41" s="23">
        <f>NOV!J41</f>
        <v/>
      </c>
      <c r="E41" s="23">
        <f>DEC!J41</f>
        <v/>
      </c>
      <c r="F41" s="24">
        <f>IFERROR(AVERAGE(C41:E41),"")</f>
        <v/>
      </c>
      <c r="G41" s="23">
        <f>JAN!J41</f>
        <v/>
      </c>
      <c r="H41" s="23">
        <f>FEB!J41</f>
        <v/>
      </c>
      <c r="I41" s="23">
        <f>MAR!J41</f>
        <v/>
      </c>
      <c r="J41" s="24">
        <f>IFERROR(AVERAGE(G41:I41),"")</f>
        <v/>
      </c>
      <c r="K41" s="23">
        <f>APR!J41</f>
        <v/>
      </c>
      <c r="L41" s="23">
        <f>MAY!J41</f>
        <v/>
      </c>
      <c r="M41" s="23">
        <f>JUN!J41</f>
        <v/>
      </c>
      <c r="N41" s="24">
        <f>IFERROR(AVERAGE(K41:M41),"")</f>
        <v/>
      </c>
      <c r="O41" s="23">
        <f>JUL!J41</f>
        <v/>
      </c>
      <c r="P41" s="23">
        <f>AUG!J41</f>
        <v/>
      </c>
      <c r="Q41" s="23">
        <f>SEP!J41</f>
        <v/>
      </c>
      <c r="R41" s="24">
        <f>IFERROR(AVERAGE(O41:Q41),"")</f>
        <v/>
      </c>
      <c r="S41" s="24">
        <f>IFERROR(AVERAGE(C41:E41,G41:I41,K41:M41,O41:Q41),"")</f>
        <v/>
      </c>
    </row>
    <row r="42" ht="18.75" customHeight="1">
      <c r="A42" s="3" t="n"/>
      <c r="B42" s="10" t="inlineStr">
        <is>
          <t>EE Objectives Completed (#)</t>
        </is>
      </c>
      <c r="C42" s="11">
        <f>OCT!J42</f>
        <v/>
      </c>
      <c r="D42" s="11">
        <f>NOV!J42</f>
        <v/>
      </c>
      <c r="E42" s="11">
        <f>DEC!J42</f>
        <v/>
      </c>
      <c r="F42" s="12">
        <f>IF(COUNT(C42:E42)=0,"",SUM(C42:E42))</f>
        <v/>
      </c>
      <c r="G42" s="11">
        <f>JAN!J42</f>
        <v/>
      </c>
      <c r="H42" s="11">
        <f>FEB!J42</f>
        <v/>
      </c>
      <c r="I42" s="11">
        <f>MAR!J42</f>
        <v/>
      </c>
      <c r="J42" s="12">
        <f>IF(COUNT(G42:I42)=0,"",SUM(G42:I42))</f>
        <v/>
      </c>
      <c r="K42" s="11">
        <f>APR!J42</f>
        <v/>
      </c>
      <c r="L42" s="11">
        <f>MAY!J42</f>
        <v/>
      </c>
      <c r="M42" s="11">
        <f>JUN!J42</f>
        <v/>
      </c>
      <c r="N42" s="12">
        <f>IF(COUNT(K42:M42)=0,"",SUM(K42:M42))</f>
        <v/>
      </c>
      <c r="O42" s="11">
        <f>JUL!J42</f>
        <v/>
      </c>
      <c r="P42" s="11">
        <f>AUG!J42</f>
        <v/>
      </c>
      <c r="Q42" s="11">
        <f>SEP!J42</f>
        <v/>
      </c>
      <c r="R42" s="12">
        <f>IF(COUNT(O42:Q42)=0,"",SUM(O42:Q42))</f>
        <v/>
      </c>
      <c r="S42" s="12">
        <f>IF(COUNT(C42:E42,G42:I42,K42:M42,O42:Q42)=0,"",SUM(C42:E42,G42:I42,K42:M42,O42:Q42))</f>
        <v/>
      </c>
    </row>
    <row r="43" ht="18.75" customHeight="1">
      <c r="A43" s="3" t="n"/>
      <c r="B43" s="10" t="inlineStr">
        <is>
          <t>Non-certified Absent (Days Lost)</t>
        </is>
      </c>
      <c r="C43" s="14">
        <f>OCT!J43</f>
        <v/>
      </c>
      <c r="D43" s="14">
        <f>NOV!J43</f>
        <v/>
      </c>
      <c r="E43" s="14">
        <f>DEC!J43</f>
        <v/>
      </c>
      <c r="F43" s="15">
        <f>IF(COUNT(C43:E43)=0,"",SUM(C43:E43))</f>
        <v/>
      </c>
      <c r="G43" s="14">
        <f>JAN!J43</f>
        <v/>
      </c>
      <c r="H43" s="14">
        <f>FEB!J43</f>
        <v/>
      </c>
      <c r="I43" s="14">
        <f>MAR!J43</f>
        <v/>
      </c>
      <c r="J43" s="15">
        <f>IF(COUNT(G43:I43)=0,"",SUM(G43:I43))</f>
        <v/>
      </c>
      <c r="K43" s="14">
        <f>APR!J43</f>
        <v/>
      </c>
      <c r="L43" s="14">
        <f>MAY!J43</f>
        <v/>
      </c>
      <c r="M43" s="14">
        <f>JUN!J43</f>
        <v/>
      </c>
      <c r="N43" s="15">
        <f>IF(COUNT(K43:M43)=0,"",SUM(K43:M43))</f>
        <v/>
      </c>
      <c r="O43" s="14">
        <f>JUL!J43</f>
        <v/>
      </c>
      <c r="P43" s="14">
        <f>AUG!J43</f>
        <v/>
      </c>
      <c r="Q43" s="14">
        <f>SEP!J43</f>
        <v/>
      </c>
      <c r="R43" s="15">
        <f>IF(COUNT(O43:Q43)=0,"",SUM(O43:Q43))</f>
        <v/>
      </c>
      <c r="S43" s="15">
        <f>IF(COUNT(C43:E43,G43:I43,K43:M43,O43:Q43)=0,"",SUM(C43:E43,G43:I43,K43:M43,O43:Q43))</f>
        <v/>
      </c>
    </row>
    <row r="44" ht="18.75" customHeight="1">
      <c r="A44" s="3" t="n"/>
      <c r="B44" s="10" t="inlineStr">
        <is>
          <t>Certified sick leave (Days Lost)</t>
        </is>
      </c>
      <c r="C44" s="14">
        <f>OCT!J44</f>
        <v/>
      </c>
      <c r="D44" s="14">
        <f>NOV!J44</f>
        <v/>
      </c>
      <c r="E44" s="14">
        <f>DEC!J44</f>
        <v/>
      </c>
      <c r="F44" s="15">
        <f>IF(COUNT(C44:E44)=0,"",SUM(C44:E44))</f>
        <v/>
      </c>
      <c r="G44" s="14">
        <f>JAN!J44</f>
        <v/>
      </c>
      <c r="H44" s="14">
        <f>FEB!J44</f>
        <v/>
      </c>
      <c r="I44" s="14">
        <f>MAR!J44</f>
        <v/>
      </c>
      <c r="J44" s="15">
        <f>IF(COUNT(G44:I44)=0,"",SUM(G44:I44))</f>
        <v/>
      </c>
      <c r="K44" s="14">
        <f>APR!J44</f>
        <v/>
      </c>
      <c r="L44" s="14">
        <f>MAY!J44</f>
        <v/>
      </c>
      <c r="M44" s="14">
        <f>JUN!J44</f>
        <v/>
      </c>
      <c r="N44" s="15">
        <f>IF(COUNT(K44:M44)=0,"",SUM(K44:M44))</f>
        <v/>
      </c>
      <c r="O44" s="14">
        <f>JUL!J44</f>
        <v/>
      </c>
      <c r="P44" s="14">
        <f>AUG!J44</f>
        <v/>
      </c>
      <c r="Q44" s="14">
        <f>SEP!J44</f>
        <v/>
      </c>
      <c r="R44" s="15">
        <f>IF(COUNT(O44:Q44)=0,"",SUM(O44:Q44))</f>
        <v/>
      </c>
      <c r="S44" s="15">
        <f>IF(COUNT(C44:E44,G44:I44,K44:M44,O44:Q44)=0,"",SUM(C44:E44,G44:I44,K44:M44,O44:Q44))</f>
        <v/>
      </c>
    </row>
    <row r="45" ht="18.75" customHeight="1">
      <c r="A45" s="3" t="n"/>
      <c r="B45" s="18" t="inlineStr">
        <is>
          <t>Total Absences</t>
        </is>
      </c>
      <c r="C45" s="14">
        <f>OCT!J45</f>
        <v/>
      </c>
      <c r="D45" s="14">
        <f>NOV!J45</f>
        <v/>
      </c>
      <c r="E45" s="14">
        <f>DEC!J45</f>
        <v/>
      </c>
      <c r="F45" s="15">
        <f>IF(COUNT(F43:F44)=0,"",SUM(F43:F44))</f>
        <v/>
      </c>
      <c r="G45" s="14">
        <f>JAN!J45</f>
        <v/>
      </c>
      <c r="H45" s="14">
        <f>FEB!J45</f>
        <v/>
      </c>
      <c r="I45" s="14">
        <f>MAR!J45</f>
        <v/>
      </c>
      <c r="J45" s="15">
        <f>IF(COUNT(J43:J44)=0,"",SUM(J43:J44))</f>
        <v/>
      </c>
      <c r="K45" s="14">
        <f>APR!J45</f>
        <v/>
      </c>
      <c r="L45" s="14">
        <f>MAY!J45</f>
        <v/>
      </c>
      <c r="M45" s="14">
        <f>JUN!J45</f>
        <v/>
      </c>
      <c r="N45" s="15">
        <f>IF(COUNT(N43:N44)=0,"",SUM(N43:N44))</f>
        <v/>
      </c>
      <c r="O45" s="14">
        <f>JUL!J45</f>
        <v/>
      </c>
      <c r="P45" s="14">
        <f>AUG!J45</f>
        <v/>
      </c>
      <c r="Q45" s="14">
        <f>SEP!J45</f>
        <v/>
      </c>
      <c r="R45" s="15">
        <f>IF(COUNT(R43:R44)=0,"",SUM(R43:R44))</f>
        <v/>
      </c>
      <c r="S45" s="15">
        <f>IF(COUNT(S43:S44)=0,"",SUM(S43:S44))</f>
        <v/>
      </c>
    </row>
    <row r="46" ht="18.75" customHeight="1">
      <c r="A46" s="3" t="n"/>
      <c r="B46" s="13" t="inlineStr">
        <is>
          <t>Absent Rate Non-Certified (%)</t>
        </is>
      </c>
      <c r="C46" s="19">
        <f>OCT!J46</f>
        <v/>
      </c>
      <c r="D46" s="19">
        <f>NOV!J46</f>
        <v/>
      </c>
      <c r="E46" s="19">
        <f>DEC!J46</f>
        <v/>
      </c>
      <c r="F46" s="20">
        <f t="array" ref="F46">IF(COUNT(C46:E46)=0,"",IFERROR(SUMPRODUCT(IFERROR(C46:E46*((C3:E3)+(C4:E4)),0))/SUMPRODUCT(IFERROR(ISNUMBER(C46:E46)*((C3:E3)+(C4:E4)),0)),""))</f>
        <v/>
      </c>
      <c r="G46" s="19">
        <f>JAN!J46</f>
        <v/>
      </c>
      <c r="H46" s="19">
        <f>FEB!J46</f>
        <v/>
      </c>
      <c r="I46" s="19">
        <f>MAR!J46</f>
        <v/>
      </c>
      <c r="J46" s="20">
        <f t="array" ref="J46">IF(COUNT(G46:I46)=0,"",IFERROR(SUMPRODUCT(IFERROR(G46:I46*((G3:I3)+(G4:I4)),0))/SUMPRODUCT(IFERROR(ISNUMBER(G46:I46)*((G3:I3)+(G4:I4)),0)),""))</f>
        <v/>
      </c>
      <c r="K46" s="19">
        <f>APR!J46</f>
        <v/>
      </c>
      <c r="L46" s="19">
        <f>MAY!J46</f>
        <v/>
      </c>
      <c r="M46" s="19">
        <f>JUN!J46</f>
        <v/>
      </c>
      <c r="N46" s="20">
        <f t="array" ref="N46">IF(COUNT(K46:M46)=0,"",IFERROR(SUMPRODUCT(IFERROR(K46:M46*((K3:M3)+(K4:M4)),0))/SUMPRODUCT(IFERROR(ISNUMBER(K46:M46)*((K3:M3)+(K4:M4)),0)),""))</f>
        <v/>
      </c>
      <c r="O46" s="19">
        <f>JUL!J46</f>
        <v/>
      </c>
      <c r="P46" s="19">
        <f>AUG!J46</f>
        <v/>
      </c>
      <c r="Q46" s="19">
        <f>SEP!J46</f>
        <v/>
      </c>
      <c r="R46" s="20">
        <f t="array" ref="R46">IF(COUNT(O46:Q46)=0,"",IFERROR(SUMPRODUCT(IFERROR(O46:Q46*((O3:Q3)+(O4:Q4)),0))/SUMPRODUCT(IFERROR(ISNUMBER(O46:Q46)*((O3:Q3)+(O4:Q4)),0)),""))</f>
        <v/>
      </c>
      <c r="S46" s="20">
        <f>IF(COUNT(F46,J46,N46,R46)=0,"",IFERROR((IFERROR(F46*(F3+F4),0)+IFERROR(J46*(J3+J4),0)+IFERROR(N46*(N3+N4),0)+IFERROR(R46*(R3+R4),0))/(IFERROR(ISNUMBER(F46)*(F3+F4),0)+IFERROR(ISNUMBER(J46)*(J3+J4),0)+IFERROR(ISNUMBER(N46)*(N3+N4),0)+IFERROR(ISNUMBER(R46)*(R3+R4),0)),""))</f>
        <v/>
      </c>
    </row>
    <row r="47" ht="18.75" customHeight="1">
      <c r="A47" s="3" t="n"/>
      <c r="B47" s="13" t="inlineStr">
        <is>
          <t>Absent Rate Certified (%)</t>
        </is>
      </c>
      <c r="C47" s="19">
        <f>OCT!J47</f>
        <v/>
      </c>
      <c r="D47" s="19">
        <f>NOV!J47</f>
        <v/>
      </c>
      <c r="E47" s="19">
        <f>DEC!J47</f>
        <v/>
      </c>
      <c r="F47" s="20">
        <f t="array" ref="F47">IF(COUNT(C47:E47)=0,"",IFERROR(SUMPRODUCT(IFERROR(C47:E47*((C3:E3)+(C4:E4)),0))/SUMPRODUCT(IFERROR(ISNUMBER(C47:E47)*((C3:E3)+(C4:E4)),0)),""))</f>
        <v/>
      </c>
      <c r="G47" s="19">
        <f>JAN!J47</f>
        <v/>
      </c>
      <c r="H47" s="19">
        <f>FEB!J47</f>
        <v/>
      </c>
      <c r="I47" s="19">
        <f>MAR!J47</f>
        <v/>
      </c>
      <c r="J47" s="20">
        <f t="array" ref="J47">IF(COUNT(G47:I47)=0,"",IFERROR(SUMPRODUCT(IFERROR(G47:I47*((G3:I3)+(G4:I4)),0))/SUMPRODUCT(IFERROR(ISNUMBER(G47:I47)*((G3:I3)+(G4:I4)),0)),""))</f>
        <v/>
      </c>
      <c r="K47" s="19">
        <f>APR!J47</f>
        <v/>
      </c>
      <c r="L47" s="19">
        <f>MAY!J47</f>
        <v/>
      </c>
      <c r="M47" s="19">
        <f>JUN!J47</f>
        <v/>
      </c>
      <c r="N47" s="20">
        <f t="array" ref="N47">IF(COUNT(K47:M47)=0,"",IFERROR(SUMPRODUCT(IFERROR(K47:M47*((K3:M3)+(K4:M4)),0))/SUMPRODUCT(IFERROR(ISNUMBER(K47:M47)*((K3:M3)+(K4:M4)),0)),""))</f>
        <v/>
      </c>
      <c r="O47" s="19">
        <f>JUL!J47</f>
        <v/>
      </c>
      <c r="P47" s="19">
        <f>AUG!J47</f>
        <v/>
      </c>
      <c r="Q47" s="19">
        <f>SEP!J47</f>
        <v/>
      </c>
      <c r="R47" s="20">
        <f t="array" ref="R47">IF(COUNT(O47:Q47)=0,"",IFERROR(SUMPRODUCT(IFERROR(O47:Q47*((O3:Q3)+(O4:Q4)),0))/SUMPRODUCT(IFERROR(ISNUMBER(O47:Q47)*((O3:Q3)+(O4:Q4)),0)),""))</f>
        <v/>
      </c>
      <c r="S47" s="20">
        <f>IF(COUNT(F47,J47,N47,R47)=0,"",IFERROR((IFERROR(F47*(F3+F4),0)+IFERROR(J47*(J3+J4),0)+IFERROR(N47*(N3+N4),0)+IFERROR(R47*(R3+R4),0))/(IFERROR(ISNUMBER(F47)*(F3+F4),0)+IFERROR(ISNUMBER(J47)*(J3+J4),0)+IFERROR(ISNUMBER(N47)*(N3+N4),0)+IFERROR(ISNUMBER(R47)*(R3+R4),0)),""))</f>
        <v/>
      </c>
    </row>
    <row r="48" ht="18.75" customHeight="1">
      <c r="A48" s="3" t="n"/>
      <c r="B48" s="13" t="inlineStr">
        <is>
          <t>Absent Rate Total (%)</t>
        </is>
      </c>
      <c r="C48" s="19">
        <f>OCT!J48</f>
        <v/>
      </c>
      <c r="D48" s="19">
        <f>NOV!J48</f>
        <v/>
      </c>
      <c r="E48" s="19">
        <f>DEC!J48</f>
        <v/>
      </c>
      <c r="F48" s="20">
        <f>IF(COUNT(F46:F47)=0,"",SUM(F46:F47))</f>
        <v/>
      </c>
      <c r="G48" s="19">
        <f>JAN!J48</f>
        <v/>
      </c>
      <c r="H48" s="19">
        <f>FEB!J48</f>
        <v/>
      </c>
      <c r="I48" s="19">
        <f>MAR!J48</f>
        <v/>
      </c>
      <c r="J48" s="20">
        <f>IF(COUNT(J46:J47)=0,"",SUM(J46:J47))</f>
        <v/>
      </c>
      <c r="K48" s="19">
        <f>APR!J48</f>
        <v/>
      </c>
      <c r="L48" s="19">
        <f>MAY!J48</f>
        <v/>
      </c>
      <c r="M48" s="19">
        <f>JUN!J48</f>
        <v/>
      </c>
      <c r="N48" s="20">
        <f>IF(COUNT(N46:N47)=0,"",SUM(N46:N47))</f>
        <v/>
      </c>
      <c r="O48" s="19">
        <f>JUL!J48</f>
        <v/>
      </c>
      <c r="P48" s="19">
        <f>AUG!J48</f>
        <v/>
      </c>
      <c r="Q48" s="19">
        <f>SEP!J48</f>
        <v/>
      </c>
      <c r="R48" s="20">
        <f>IF(COUNT(R46:R47)=0,"",SUM(R46:R47))</f>
        <v/>
      </c>
      <c r="S48" s="20">
        <f>IF(COUNT(S46:S47)=0,"",SUM(S46:S47))</f>
        <v/>
      </c>
    </row>
    <row r="49" ht="18.75" customHeight="1">
      <c r="A49" s="3" t="n"/>
      <c r="B49" s="18" t="inlineStr">
        <is>
          <t>Weight factor</t>
        </is>
      </c>
      <c r="C49" s="19">
        <f>OCT!J49</f>
        <v/>
      </c>
      <c r="D49" s="19">
        <f>NOV!J49</f>
        <v/>
      </c>
      <c r="E49" s="19">
        <f>DEC!J49</f>
        <v/>
      </c>
      <c r="F49" s="20">
        <f>IFERROR(AVERAGE(C49:E49),"")</f>
        <v/>
      </c>
      <c r="G49" s="19">
        <f>JAN!J49</f>
        <v/>
      </c>
      <c r="H49" s="19">
        <f>FEB!J49</f>
        <v/>
      </c>
      <c r="I49" s="19">
        <f>MAR!J49</f>
        <v/>
      </c>
      <c r="J49" s="20">
        <f>IFERROR(AVERAGE(G49:I49),"")</f>
        <v/>
      </c>
      <c r="K49" s="19">
        <f>APR!J49</f>
        <v/>
      </c>
      <c r="L49" s="19">
        <f>MAY!J49</f>
        <v/>
      </c>
      <c r="M49" s="19">
        <f>JUN!J49</f>
        <v/>
      </c>
      <c r="N49" s="20">
        <f>IFERROR(AVERAGE(K49:M49),"")</f>
        <v/>
      </c>
      <c r="O49" s="19">
        <f>JUL!J49</f>
        <v/>
      </c>
      <c r="P49" s="19">
        <f>AUG!J49</f>
        <v/>
      </c>
      <c r="Q49" s="19">
        <f>SEP!J49</f>
        <v/>
      </c>
      <c r="R49" s="20">
        <f>IFERROR(AVERAGE(O49:Q49),"")</f>
        <v/>
      </c>
      <c r="S49" s="20">
        <f>IFERROR(AVERAGE(C49:E49,G49:I49,K49:M49,O49:Q49),"")</f>
        <v/>
      </c>
    </row>
    <row r="50" ht="18.75" customHeight="1">
      <c r="A50" s="3" t="n"/>
      <c r="B50" s="10" t="inlineStr">
        <is>
          <t>Leadership (Hours)</t>
        </is>
      </c>
      <c r="C50" s="14">
        <f>OCT!J50</f>
        <v/>
      </c>
      <c r="D50" s="14">
        <f>NOV!J50</f>
        <v/>
      </c>
      <c r="E50" s="14">
        <f>DEC!J50</f>
        <v/>
      </c>
      <c r="F50" s="15">
        <f>IF(COUNT(C50:E50)=0,"",SUM(C50:E50))</f>
        <v/>
      </c>
      <c r="G50" s="14">
        <f>JAN!J50</f>
        <v/>
      </c>
      <c r="H50" s="14">
        <f>FEB!J50</f>
        <v/>
      </c>
      <c r="I50" s="14">
        <f>MAR!J50</f>
        <v/>
      </c>
      <c r="J50" s="15">
        <f>IF(COUNT(G50:I50)=0,"",SUM(G50:I50))</f>
        <v/>
      </c>
      <c r="K50" s="14">
        <f>APR!J50</f>
        <v/>
      </c>
      <c r="L50" s="14">
        <f>MAY!J50</f>
        <v/>
      </c>
      <c r="M50" s="14">
        <f>JUN!J50</f>
        <v/>
      </c>
      <c r="N50" s="15">
        <f>IF(COUNT(K50:M50)=0,"",SUM(K50:M50))</f>
        <v/>
      </c>
      <c r="O50" s="14">
        <f>JUL!J50</f>
        <v/>
      </c>
      <c r="P50" s="14">
        <f>AUG!J50</f>
        <v/>
      </c>
      <c r="Q50" s="14">
        <f>SEP!J50</f>
        <v/>
      </c>
      <c r="R50" s="15">
        <f>IF(COUNT(O50:Q50)=0,"",SUM(O50:Q50))</f>
        <v/>
      </c>
      <c r="S50" s="15">
        <f>IF(COUNT(C50:E50,G50:I50,K50:M50,O50:Q50)=0,"",SUM(C50:E50,G50:I50,K50:M50,O50:Q50))</f>
        <v/>
      </c>
    </row>
    <row r="51" ht="18.75" customHeight="1">
      <c r="A51" s="3" t="n"/>
      <c r="B51" s="10" t="inlineStr">
        <is>
          <t>Technical (Hours)</t>
        </is>
      </c>
      <c r="C51" s="14">
        <f>OCT!J51</f>
        <v/>
      </c>
      <c r="D51" s="14">
        <f>NOV!J51</f>
        <v/>
      </c>
      <c r="E51" s="14">
        <f>DEC!J51</f>
        <v/>
      </c>
      <c r="F51" s="15">
        <f>IF(COUNT(C51:E51)=0,"",SUM(C51:E51))</f>
        <v/>
      </c>
      <c r="G51" s="14">
        <f>JAN!J51</f>
        <v/>
      </c>
      <c r="H51" s="14">
        <f>FEB!J51</f>
        <v/>
      </c>
      <c r="I51" s="14">
        <f>MAR!J51</f>
        <v/>
      </c>
      <c r="J51" s="15">
        <f>IF(COUNT(G51:I51)=0,"",SUM(G51:I51))</f>
        <v/>
      </c>
      <c r="K51" s="14">
        <f>APR!J51</f>
        <v/>
      </c>
      <c r="L51" s="14">
        <f>MAY!J51</f>
        <v/>
      </c>
      <c r="M51" s="14">
        <f>JUN!J51</f>
        <v/>
      </c>
      <c r="N51" s="15">
        <f>IF(COUNT(K51:M51)=0,"",SUM(K51:M51))</f>
        <v/>
      </c>
      <c r="O51" s="14">
        <f>JUL!J51</f>
        <v/>
      </c>
      <c r="P51" s="14">
        <f>AUG!J51</f>
        <v/>
      </c>
      <c r="Q51" s="14">
        <f>SEP!J51</f>
        <v/>
      </c>
      <c r="R51" s="15">
        <f>IF(COUNT(O51:Q51)=0,"",SUM(O51:Q51))</f>
        <v/>
      </c>
      <c r="S51" s="15">
        <f>IF(COUNT(C51:E51,G51:I51,K51:M51,O51:Q51)=0,"",SUM(C51:E51,G51:I51,K51:M51,O51:Q51))</f>
        <v/>
      </c>
    </row>
    <row r="52" ht="18.75" customHeight="1">
      <c r="A52" s="3" t="n"/>
      <c r="B52" s="10" t="inlineStr">
        <is>
          <t>Professional Develop. (Hours)</t>
        </is>
      </c>
      <c r="C52" s="14">
        <f>OCT!J52</f>
        <v/>
      </c>
      <c r="D52" s="14">
        <f>NOV!J52</f>
        <v/>
      </c>
      <c r="E52" s="14">
        <f>DEC!J52</f>
        <v/>
      </c>
      <c r="F52" s="15">
        <f>IF(COUNT(C52:E52)=0,"",SUM(C52:E52))</f>
        <v/>
      </c>
      <c r="G52" s="14">
        <f>JAN!J52</f>
        <v/>
      </c>
      <c r="H52" s="14">
        <f>FEB!J52</f>
        <v/>
      </c>
      <c r="I52" s="14">
        <f>MAR!J52</f>
        <v/>
      </c>
      <c r="J52" s="15">
        <f>IF(COUNT(G52:I52)=0,"",SUM(G52:I52))</f>
        <v/>
      </c>
      <c r="K52" s="14">
        <f>APR!J52</f>
        <v/>
      </c>
      <c r="L52" s="14">
        <f>MAY!J52</f>
        <v/>
      </c>
      <c r="M52" s="14">
        <f>JUN!J52</f>
        <v/>
      </c>
      <c r="N52" s="15">
        <f>IF(COUNT(K52:M52)=0,"",SUM(K52:M52))</f>
        <v/>
      </c>
      <c r="O52" s="14">
        <f>JUL!J52</f>
        <v/>
      </c>
      <c r="P52" s="14">
        <f>AUG!J52</f>
        <v/>
      </c>
      <c r="Q52" s="14">
        <f>SEP!J52</f>
        <v/>
      </c>
      <c r="R52" s="15">
        <f>IF(COUNT(O52:Q52)=0,"",SUM(O52:Q52))</f>
        <v/>
      </c>
      <c r="S52" s="15">
        <f>IF(COUNT(C52:E52,G52:I52,K52:M52,O52:Q52)=0,"",SUM(C52:E52,G52:I52,K52:M52,O52:Q52))</f>
        <v/>
      </c>
    </row>
    <row r="53" ht="18.75" customHeight="1">
      <c r="A53" s="3" t="n"/>
      <c r="B53" s="10" t="inlineStr">
        <is>
          <t>HSSE (Hours)</t>
        </is>
      </c>
      <c r="C53" s="14">
        <f>OCT!J53</f>
        <v/>
      </c>
      <c r="D53" s="14">
        <f>NOV!J53</f>
        <v/>
      </c>
      <c r="E53" s="14">
        <f>DEC!J53</f>
        <v/>
      </c>
      <c r="F53" s="15">
        <f>IF(COUNT(C53:E53)=0,"",SUM(C53:E53))</f>
        <v/>
      </c>
      <c r="G53" s="14">
        <f>JAN!J53</f>
        <v/>
      </c>
      <c r="H53" s="14">
        <f>FEB!J53</f>
        <v/>
      </c>
      <c r="I53" s="14">
        <f>MAR!J53</f>
        <v/>
      </c>
      <c r="J53" s="15">
        <f>IF(COUNT(G53:I53)=0,"",SUM(G53:I53))</f>
        <v/>
      </c>
      <c r="K53" s="14">
        <f>APR!J53</f>
        <v/>
      </c>
      <c r="L53" s="14">
        <f>MAY!J53</f>
        <v/>
      </c>
      <c r="M53" s="14">
        <f>JUN!J53</f>
        <v/>
      </c>
      <c r="N53" s="15">
        <f>IF(COUNT(K53:M53)=0,"",SUM(K53:M53))</f>
        <v/>
      </c>
      <c r="O53" s="14">
        <f>JUL!J53</f>
        <v/>
      </c>
      <c r="P53" s="14">
        <f>AUG!J53</f>
        <v/>
      </c>
      <c r="Q53" s="14">
        <f>SEP!J53</f>
        <v/>
      </c>
      <c r="R53" s="15">
        <f>IF(COUNT(O53:Q53)=0,"",SUM(O53:Q53))</f>
        <v/>
      </c>
      <c r="S53" s="15">
        <f>IF(COUNT(C53:E53,G53:I53,K53:M53,O53:Q53)=0,"",SUM(C53:E53,G53:I53,K53:M53,O53:Q53))</f>
        <v/>
      </c>
    </row>
    <row r="54" ht="18.75" customHeight="1">
      <c r="A54" s="3" t="n"/>
      <c r="B54" s="10" t="inlineStr">
        <is>
          <t>Workday (Hours)</t>
        </is>
      </c>
      <c r="C54" s="14">
        <f>OCT!J54</f>
        <v/>
      </c>
      <c r="D54" s="14">
        <f>NOV!J54</f>
        <v/>
      </c>
      <c r="E54" s="14">
        <f>DEC!J54</f>
        <v/>
      </c>
      <c r="F54" s="15">
        <f>IF(COUNT(C54:E54)=0,"",SUM(C54:E54))</f>
        <v/>
      </c>
      <c r="G54" s="14">
        <f>JAN!J54</f>
        <v/>
      </c>
      <c r="H54" s="14">
        <f>FEB!J54</f>
        <v/>
      </c>
      <c r="I54" s="14">
        <f>MAR!J54</f>
        <v/>
      </c>
      <c r="J54" s="15">
        <f>IF(COUNT(G54:I54)=0,"",SUM(G54:I54))</f>
        <v/>
      </c>
      <c r="K54" s="14">
        <f>APR!J54</f>
        <v/>
      </c>
      <c r="L54" s="14">
        <f>MAY!J54</f>
        <v/>
      </c>
      <c r="M54" s="14">
        <f>JUN!J54</f>
        <v/>
      </c>
      <c r="N54" s="15">
        <f>IF(COUNT(K54:M54)=0,"",SUM(K54:M54))</f>
        <v/>
      </c>
      <c r="O54" s="14">
        <f>JUL!J54</f>
        <v/>
      </c>
      <c r="P54" s="14">
        <f>AUG!J54</f>
        <v/>
      </c>
      <c r="Q54" s="14">
        <f>SEP!J54</f>
        <v/>
      </c>
      <c r="R54" s="15">
        <f>IF(COUNT(O54:Q54)=0,"",SUM(O54:Q54))</f>
        <v/>
      </c>
      <c r="S54" s="15">
        <f>IF(COUNT(C54:E54,G54:I54,K54:M54,O54:Q54)=0,"",SUM(C54:E54,G54:I54,K54:M54,O54:Q54))</f>
        <v/>
      </c>
    </row>
    <row r="55" ht="18.75" customHeight="1">
      <c r="A55" s="3" t="n"/>
      <c r="B55" s="13" t="inlineStr">
        <is>
          <t>Total Training Hours</t>
        </is>
      </c>
      <c r="C55" s="14">
        <f>OCT!J55</f>
        <v/>
      </c>
      <c r="D55" s="14">
        <f>NOV!J55</f>
        <v/>
      </c>
      <c r="E55" s="14">
        <f>DEC!J55</f>
        <v/>
      </c>
      <c r="F55" s="15">
        <f>IF(COUNT(F50:F54)=0,"",SUM(F50:F54))</f>
        <v/>
      </c>
      <c r="G55" s="14">
        <f>JAN!J55</f>
        <v/>
      </c>
      <c r="H55" s="14">
        <f>FEB!J55</f>
        <v/>
      </c>
      <c r="I55" s="14">
        <f>MAR!J55</f>
        <v/>
      </c>
      <c r="J55" s="15">
        <f>IF(COUNT(J50:J54)=0,"",SUM(J50:J54))</f>
        <v/>
      </c>
      <c r="K55" s="14">
        <f>APR!J55</f>
        <v/>
      </c>
      <c r="L55" s="14">
        <f>MAY!J55</f>
        <v/>
      </c>
      <c r="M55" s="14">
        <f>JUN!J55</f>
        <v/>
      </c>
      <c r="N55" s="15">
        <f>IF(COUNT(N50:N54)=0,"",SUM(N50:N54))</f>
        <v/>
      </c>
      <c r="O55" s="14">
        <f>JUL!J55</f>
        <v/>
      </c>
      <c r="P55" s="14">
        <f>AUG!J55</f>
        <v/>
      </c>
      <c r="Q55" s="14">
        <f>SEP!J55</f>
        <v/>
      </c>
      <c r="R55" s="15">
        <f>IF(COUNT(R50:R54)=0,"",SUM(R50:R54))</f>
        <v/>
      </c>
      <c r="S55" s="15">
        <f>IF(COUNT(S50:S54)=0,"",SUM(S50:S54))</f>
        <v/>
      </c>
    </row>
    <row r="56" ht="18.75" customHeight="1">
      <c r="A56" s="3" t="n"/>
      <c r="B56" s="10" t="inlineStr">
        <is>
          <t>Total Trained (Staff)</t>
        </is>
      </c>
      <c r="C56" s="14">
        <f>OCT!J56</f>
        <v/>
      </c>
      <c r="D56" s="14">
        <f>NOV!J56</f>
        <v/>
      </c>
      <c r="E56" s="14">
        <f>DEC!J56</f>
        <v/>
      </c>
      <c r="F56" s="15">
        <f>IF(COUNT(C56:E56)=0,"",SUM(C56:E56))</f>
        <v/>
      </c>
      <c r="G56" s="14">
        <f>JAN!J56</f>
        <v/>
      </c>
      <c r="H56" s="14">
        <f>FEB!J56</f>
        <v/>
      </c>
      <c r="I56" s="14">
        <f>MAR!J56</f>
        <v/>
      </c>
      <c r="J56" s="15">
        <f>IF(COUNT(G56:I56)=0,"",SUM(G56:I56))</f>
        <v/>
      </c>
      <c r="K56" s="14">
        <f>APR!J56</f>
        <v/>
      </c>
      <c r="L56" s="14">
        <f>MAY!J56</f>
        <v/>
      </c>
      <c r="M56" s="14">
        <f>JUN!J56</f>
        <v/>
      </c>
      <c r="N56" s="15">
        <f>IF(COUNT(K56:M56)=0,"",SUM(K56:M56))</f>
        <v/>
      </c>
      <c r="O56" s="14">
        <f>JUL!J56</f>
        <v/>
      </c>
      <c r="P56" s="14">
        <f>AUG!J56</f>
        <v/>
      </c>
      <c r="Q56" s="14">
        <f>SEP!J56</f>
        <v/>
      </c>
      <c r="R56" s="15">
        <f>IF(COUNT(O56:Q56)=0,"",SUM(O56:Q56))</f>
        <v/>
      </c>
      <c r="S56" s="15">
        <f>IF(COUNT(C56:E56,G56:I56,K56:M56,O56:Q56)=0,"",SUM(C56:E56,G56:I56,K56:M56,O56:Q56))</f>
        <v/>
      </c>
    </row>
    <row r="57" ht="18.75" customHeight="1">
      <c r="A57" s="3" t="n"/>
      <c r="B57" s="10" t="inlineStr">
        <is>
          <t>Training Programs (#)</t>
        </is>
      </c>
      <c r="C57" s="14">
        <f>OCT!J57</f>
        <v/>
      </c>
      <c r="D57" s="14">
        <f>NOV!J57</f>
        <v/>
      </c>
      <c r="E57" s="14">
        <f>DEC!J57</f>
        <v/>
      </c>
      <c r="F57" s="15">
        <f>IF(COUNT(C57:E57)=0,"",SUM(C57:E57))</f>
        <v/>
      </c>
      <c r="G57" s="14">
        <f>JAN!J57</f>
        <v/>
      </c>
      <c r="H57" s="14">
        <f>FEB!J57</f>
        <v/>
      </c>
      <c r="I57" s="14">
        <f>MAR!J57</f>
        <v/>
      </c>
      <c r="J57" s="15">
        <f>IF(COUNT(G57:I57)=0,"",SUM(G57:I57))</f>
        <v/>
      </c>
      <c r="K57" s="14">
        <f>APR!J57</f>
        <v/>
      </c>
      <c r="L57" s="14">
        <f>MAY!J57</f>
        <v/>
      </c>
      <c r="M57" s="14">
        <f>JUN!J57</f>
        <v/>
      </c>
      <c r="N57" s="15">
        <f>IF(COUNT(K57:M57)=0,"",SUM(K57:M57))</f>
        <v/>
      </c>
      <c r="O57" s="14">
        <f>JUL!J57</f>
        <v/>
      </c>
      <c r="P57" s="14">
        <f>AUG!J57</f>
        <v/>
      </c>
      <c r="Q57" s="14">
        <f>SEP!J57</f>
        <v/>
      </c>
      <c r="R57" s="15">
        <f>IF(COUNT(O57:Q57)=0,"",SUM(O57:Q57))</f>
        <v/>
      </c>
      <c r="S57" s="15">
        <f>IF(COUNT(C57:E57,G57:I57,K57:M57,O57:Q57)=0,"",SUM(C57:E57,G57:I57,K57:M57,O57:Q57))</f>
        <v/>
      </c>
    </row>
    <row r="58" ht="18.75" customHeight="1">
      <c r="A58" s="3" t="n"/>
      <c r="B58" s="10" t="inlineStr">
        <is>
          <t>Training  Cost (USD)</t>
        </is>
      </c>
      <c r="C58" s="14">
        <f>OCT!J58</f>
        <v/>
      </c>
      <c r="D58" s="14">
        <f>NOV!J58</f>
        <v/>
      </c>
      <c r="E58" s="14">
        <f>DEC!J58</f>
        <v/>
      </c>
      <c r="F58" s="15">
        <f>IF(COUNT(C58:E58)=0,"",SUM(C58:E58))</f>
        <v/>
      </c>
      <c r="G58" s="14">
        <f>JAN!J58</f>
        <v/>
      </c>
      <c r="H58" s="14">
        <f>FEB!J58</f>
        <v/>
      </c>
      <c r="I58" s="14">
        <f>MAR!J58</f>
        <v/>
      </c>
      <c r="J58" s="15">
        <f>IF(COUNT(G58:I58)=0,"",SUM(G58:I58))</f>
        <v/>
      </c>
      <c r="K58" s="14">
        <f>APR!J58</f>
        <v/>
      </c>
      <c r="L58" s="14">
        <f>MAY!J58</f>
        <v/>
      </c>
      <c r="M58" s="14">
        <f>JUN!J58</f>
        <v/>
      </c>
      <c r="N58" s="15">
        <f>IF(COUNT(K58:M58)=0,"",SUM(K58:M58))</f>
        <v/>
      </c>
      <c r="O58" s="14">
        <f>JUL!J58</f>
        <v/>
      </c>
      <c r="P58" s="14">
        <f>AUG!J58</f>
        <v/>
      </c>
      <c r="Q58" s="14">
        <f>SEP!J58</f>
        <v/>
      </c>
      <c r="R58" s="15">
        <f>IF(COUNT(O58:Q58)=0,"",SUM(O58:Q58))</f>
        <v/>
      </c>
      <c r="S58" s="15">
        <f>IF(COUNT(C58:E58,G58:I58,K58:M58,O58:Q58)=0,"",SUM(C58:E58,G58:I58,K58:M58,O58:Q58))</f>
        <v/>
      </c>
    </row>
    <row r="59" ht="18.75" customHeight="1">
      <c r="A59" s="3" t="n"/>
      <c r="B59" s="10" t="inlineStr">
        <is>
          <t>Training Travel Cost (USD)</t>
        </is>
      </c>
      <c r="C59" s="14">
        <f>OCT!J59</f>
        <v/>
      </c>
      <c r="D59" s="14">
        <f>NOV!J59</f>
        <v/>
      </c>
      <c r="E59" s="14">
        <f>DEC!J59</f>
        <v/>
      </c>
      <c r="F59" s="15">
        <f>IF(COUNT(C59:E59)=0,"",SUM(C59:E59))</f>
        <v/>
      </c>
      <c r="G59" s="14">
        <f>JAN!J59</f>
        <v/>
      </c>
      <c r="H59" s="14">
        <f>FEB!J59</f>
        <v/>
      </c>
      <c r="I59" s="14">
        <f>MAR!J59</f>
        <v/>
      </c>
      <c r="J59" s="15">
        <f>IF(COUNT(G59:I59)=0,"",SUM(G59:I59))</f>
        <v/>
      </c>
      <c r="K59" s="14">
        <f>APR!J59</f>
        <v/>
      </c>
      <c r="L59" s="14">
        <f>MAY!J59</f>
        <v/>
      </c>
      <c r="M59" s="14">
        <f>JUN!J59</f>
        <v/>
      </c>
      <c r="N59" s="15">
        <f>IF(COUNT(K59:M59)=0,"",SUM(K59:M59))</f>
        <v/>
      </c>
      <c r="O59" s="14">
        <f>JUL!J59</f>
        <v/>
      </c>
      <c r="P59" s="14">
        <f>AUG!J59</f>
        <v/>
      </c>
      <c r="Q59" s="14">
        <f>SEP!J59</f>
        <v/>
      </c>
      <c r="R59" s="15">
        <f>IF(COUNT(O59:Q59)=0,"",SUM(O59:Q59))</f>
        <v/>
      </c>
      <c r="S59" s="15">
        <f>IF(COUNT(C59:E59,G59:I59,K59:M59,O59:Q59)=0,"",SUM(C59:E59,G59:I59,K59:M59,O59:Q59))</f>
        <v/>
      </c>
    </row>
    <row r="60" ht="18.75" customHeight="1">
      <c r="A60" s="3" t="n"/>
      <c r="B60" s="13" t="inlineStr">
        <is>
          <t>Leadership Hours Trained (%)</t>
        </is>
      </c>
      <c r="C60" s="19">
        <f>OCT!J60</f>
        <v/>
      </c>
      <c r="D60" s="19">
        <f>NOV!J60</f>
        <v/>
      </c>
      <c r="E60" s="19">
        <f>DEC!J60</f>
        <v/>
      </c>
      <c r="F60" s="20">
        <f>IFERROR(F50/F$55,"")</f>
        <v/>
      </c>
      <c r="G60" s="19">
        <f>JAN!J60</f>
        <v/>
      </c>
      <c r="H60" s="19">
        <f>FEB!J60</f>
        <v/>
      </c>
      <c r="I60" s="19">
        <f>MAR!J60</f>
        <v/>
      </c>
      <c r="J60" s="20">
        <f>IFERROR(J50/J$55,"")</f>
        <v/>
      </c>
      <c r="K60" s="19">
        <f>APR!J60</f>
        <v/>
      </c>
      <c r="L60" s="19">
        <f>MAY!J60</f>
        <v/>
      </c>
      <c r="M60" s="19">
        <f>JUN!J60</f>
        <v/>
      </c>
      <c r="N60" s="20">
        <f>IFERROR(N50/N$55,"")</f>
        <v/>
      </c>
      <c r="O60" s="19">
        <f>JUL!J60</f>
        <v/>
      </c>
      <c r="P60" s="19">
        <f>AUG!J60</f>
        <v/>
      </c>
      <c r="Q60" s="19">
        <f>SEP!J60</f>
        <v/>
      </c>
      <c r="R60" s="20">
        <f>IFERROR(R50/R$55,"")</f>
        <v/>
      </c>
      <c r="S60" s="20">
        <f>IFERROR(S50/S$55,"")</f>
        <v/>
      </c>
    </row>
    <row r="61" ht="18.75" customHeight="1">
      <c r="A61" s="3" t="n"/>
      <c r="B61" s="13" t="inlineStr">
        <is>
          <t>Technical Hours Trained (%)</t>
        </is>
      </c>
      <c r="C61" s="19">
        <f>OCT!J61</f>
        <v/>
      </c>
      <c r="D61" s="19">
        <f>NOV!J61</f>
        <v/>
      </c>
      <c r="E61" s="19">
        <f>DEC!J61</f>
        <v/>
      </c>
      <c r="F61" s="20">
        <f>IFERROR(F51/F$55,"")</f>
        <v/>
      </c>
      <c r="G61" s="19">
        <f>JAN!J61</f>
        <v/>
      </c>
      <c r="H61" s="19">
        <f>FEB!J61</f>
        <v/>
      </c>
      <c r="I61" s="19">
        <f>MAR!J61</f>
        <v/>
      </c>
      <c r="J61" s="20">
        <f>IFERROR(J51/J$55,"")</f>
        <v/>
      </c>
      <c r="K61" s="19">
        <f>APR!J61</f>
        <v/>
      </c>
      <c r="L61" s="19">
        <f>MAY!J61</f>
        <v/>
      </c>
      <c r="M61" s="19">
        <f>JUN!J61</f>
        <v/>
      </c>
      <c r="N61" s="20">
        <f>IFERROR(N51/N$55,"")</f>
        <v/>
      </c>
      <c r="O61" s="19">
        <f>JUL!J61</f>
        <v/>
      </c>
      <c r="P61" s="19">
        <f>AUG!J61</f>
        <v/>
      </c>
      <c r="Q61" s="19">
        <f>SEP!J61</f>
        <v/>
      </c>
      <c r="R61" s="20">
        <f>IFERROR(R51/R$55,"")</f>
        <v/>
      </c>
      <c r="S61" s="20">
        <f>IFERROR(S51/S$55,"")</f>
        <v/>
      </c>
    </row>
    <row r="62" ht="18.75" customHeight="1">
      <c r="A62" s="3" t="n"/>
      <c r="B62" s="13" t="inlineStr">
        <is>
          <t>Profess. Dev. Hours Trained (%)</t>
        </is>
      </c>
      <c r="C62" s="19">
        <f>OCT!J62</f>
        <v/>
      </c>
      <c r="D62" s="19">
        <f>NOV!J62</f>
        <v/>
      </c>
      <c r="E62" s="19">
        <f>DEC!J62</f>
        <v/>
      </c>
      <c r="F62" s="20">
        <f>IFERROR(F52/F$55,"")</f>
        <v/>
      </c>
      <c r="G62" s="19">
        <f>JAN!J62</f>
        <v/>
      </c>
      <c r="H62" s="19">
        <f>FEB!J62</f>
        <v/>
      </c>
      <c r="I62" s="19">
        <f>MAR!J62</f>
        <v/>
      </c>
      <c r="J62" s="20">
        <f>IFERROR(J52/J$55,"")</f>
        <v/>
      </c>
      <c r="K62" s="19">
        <f>APR!J62</f>
        <v/>
      </c>
      <c r="L62" s="19">
        <f>MAY!J62</f>
        <v/>
      </c>
      <c r="M62" s="19">
        <f>JUN!J62</f>
        <v/>
      </c>
      <c r="N62" s="20">
        <f>IFERROR(N52/N$55,"")</f>
        <v/>
      </c>
      <c r="O62" s="19">
        <f>JUL!J62</f>
        <v/>
      </c>
      <c r="P62" s="19">
        <f>AUG!J62</f>
        <v/>
      </c>
      <c r="Q62" s="19">
        <f>SEP!J62</f>
        <v/>
      </c>
      <c r="R62" s="20">
        <f>IFERROR(R52/R$55,"")</f>
        <v/>
      </c>
      <c r="S62" s="20">
        <f>IFERROR(S52/S$55,"")</f>
        <v/>
      </c>
    </row>
    <row r="63" ht="18.75" customHeight="1">
      <c r="A63" s="3" t="n"/>
      <c r="B63" s="13" t="inlineStr">
        <is>
          <t>HSSE Hours Trained (%)</t>
        </is>
      </c>
      <c r="C63" s="19">
        <f>OCT!J63</f>
        <v/>
      </c>
      <c r="D63" s="19">
        <f>NOV!J63</f>
        <v/>
      </c>
      <c r="E63" s="19">
        <f>DEC!J63</f>
        <v/>
      </c>
      <c r="F63" s="20">
        <f>IFERROR(F53/F$55,"")</f>
        <v/>
      </c>
      <c r="G63" s="19">
        <f>JAN!J63</f>
        <v/>
      </c>
      <c r="H63" s="19">
        <f>FEB!J63</f>
        <v/>
      </c>
      <c r="I63" s="19">
        <f>MAR!J63</f>
        <v/>
      </c>
      <c r="J63" s="20">
        <f>IFERROR(J53/J$55,"")</f>
        <v/>
      </c>
      <c r="K63" s="19">
        <f>APR!J63</f>
        <v/>
      </c>
      <c r="L63" s="19">
        <f>MAY!J63</f>
        <v/>
      </c>
      <c r="M63" s="19">
        <f>JUN!J63</f>
        <v/>
      </c>
      <c r="N63" s="20">
        <f>IFERROR(N53/N$55,"")</f>
        <v/>
      </c>
      <c r="O63" s="19">
        <f>JUL!J63</f>
        <v/>
      </c>
      <c r="P63" s="19">
        <f>AUG!J63</f>
        <v/>
      </c>
      <c r="Q63" s="19">
        <f>SEP!J63</f>
        <v/>
      </c>
      <c r="R63" s="20">
        <f>IFERROR(R53/R$55,"")</f>
        <v/>
      </c>
      <c r="S63" s="20">
        <f>IFERROR(S53/S$55,"")</f>
        <v/>
      </c>
    </row>
    <row r="64" ht="18.75" customHeight="1">
      <c r="A64" s="3" t="n"/>
      <c r="B64" s="13" t="inlineStr">
        <is>
          <t>Workday Hours Trained (%)</t>
        </is>
      </c>
      <c r="C64" s="19">
        <f>OCT!J64</f>
        <v/>
      </c>
      <c r="D64" s="19">
        <f>NOV!J64</f>
        <v/>
      </c>
      <c r="E64" s="19">
        <f>DEC!J64</f>
        <v/>
      </c>
      <c r="F64" s="20">
        <f>IFERROR(F54/F$55,"")</f>
        <v/>
      </c>
      <c r="G64" s="19">
        <f>JAN!J64</f>
        <v/>
      </c>
      <c r="H64" s="19">
        <f>FEB!J64</f>
        <v/>
      </c>
      <c r="I64" s="19">
        <f>MAR!J64</f>
        <v/>
      </c>
      <c r="J64" s="20">
        <f>IFERROR(J54/J$55,"")</f>
        <v/>
      </c>
      <c r="K64" s="19">
        <f>APR!J64</f>
        <v/>
      </c>
      <c r="L64" s="19">
        <f>MAY!J64</f>
        <v/>
      </c>
      <c r="M64" s="19">
        <f>JUN!J64</f>
        <v/>
      </c>
      <c r="N64" s="20">
        <f>IFERROR(N54/N$55,"")</f>
        <v/>
      </c>
      <c r="O64" s="19">
        <f>JUL!J64</f>
        <v/>
      </c>
      <c r="P64" s="19">
        <f>AUG!J64</f>
        <v/>
      </c>
      <c r="Q64" s="19">
        <f>SEP!J64</f>
        <v/>
      </c>
      <c r="R64" s="20">
        <f>IFERROR(R54/R$55,"")</f>
        <v/>
      </c>
      <c r="S64" s="20">
        <f>IFERROR(S54/S$55,"")</f>
        <v/>
      </c>
    </row>
    <row r="65" ht="18.75" customHeight="1">
      <c r="A65" s="3" t="n"/>
      <c r="B65" s="13" t="inlineStr">
        <is>
          <t>Staff Trained (%)</t>
        </is>
      </c>
      <c r="C65" s="19">
        <f>OCT!J65</f>
        <v/>
      </c>
      <c r="D65" s="19">
        <f>NOV!J65</f>
        <v/>
      </c>
      <c r="E65" s="19">
        <f>DEC!J65</f>
        <v/>
      </c>
      <c r="F65" s="20">
        <f>IFERROR(F56/SUM(C5:E5),"")</f>
        <v/>
      </c>
      <c r="G65" s="19">
        <f>JAN!J65</f>
        <v/>
      </c>
      <c r="H65" s="19">
        <f>FEB!J65</f>
        <v/>
      </c>
      <c r="I65" s="19">
        <f>MAR!J65</f>
        <v/>
      </c>
      <c r="J65" s="20">
        <f>IFERROR(J56/SUM(G5:I5),"")</f>
        <v/>
      </c>
      <c r="K65" s="19">
        <f>APR!J65</f>
        <v/>
      </c>
      <c r="L65" s="19">
        <f>MAY!J65</f>
        <v/>
      </c>
      <c r="M65" s="19">
        <f>JUN!J65</f>
        <v/>
      </c>
      <c r="N65" s="20">
        <f>IFERROR(N56/SUM(K5:M5),"")</f>
        <v/>
      </c>
      <c r="O65" s="19">
        <f>JUL!J65</f>
        <v/>
      </c>
      <c r="P65" s="19">
        <f>AUG!J65</f>
        <v/>
      </c>
      <c r="Q65" s="19">
        <f>SEP!J65</f>
        <v/>
      </c>
      <c r="R65" s="20">
        <f>IFERROR(R56/SUM(O5:Q5),"")</f>
        <v/>
      </c>
      <c r="S65" s="20">
        <f>IFERROR(S56/SUM(C5:E5,G5:I5,K5:M5,O5:Q5),"")</f>
        <v/>
      </c>
    </row>
    <row r="66" ht="18.75" customHeight="1">
      <c r="A66" s="3" t="n"/>
      <c r="B66" s="18" t="inlineStr">
        <is>
          <t>Training Hours / EE</t>
        </is>
      </c>
      <c r="C66" s="16">
        <f>OCT!J66</f>
        <v/>
      </c>
      <c r="D66" s="16">
        <f>NOV!J66</f>
        <v/>
      </c>
      <c r="E66" s="16">
        <f>DEC!J66</f>
        <v/>
      </c>
      <c r="F66" s="17">
        <f>IFERROR(F55/F5,"")</f>
        <v/>
      </c>
      <c r="G66" s="16">
        <f>JAN!J66</f>
        <v/>
      </c>
      <c r="H66" s="16">
        <f>FEB!J66</f>
        <v/>
      </c>
      <c r="I66" s="16">
        <f>MAR!J66</f>
        <v/>
      </c>
      <c r="J66" s="17">
        <f>IFERROR(J55/J5,"")</f>
        <v/>
      </c>
      <c r="K66" s="16">
        <f>APR!J66</f>
        <v/>
      </c>
      <c r="L66" s="16">
        <f>MAY!J66</f>
        <v/>
      </c>
      <c r="M66" s="16">
        <f>JUN!J66</f>
        <v/>
      </c>
      <c r="N66" s="17">
        <f>IFERROR(N55/N5,"")</f>
        <v/>
      </c>
      <c r="O66" s="16">
        <f>JUL!J66</f>
        <v/>
      </c>
      <c r="P66" s="16">
        <f>AUG!J66</f>
        <v/>
      </c>
      <c r="Q66" s="16">
        <f>SEP!J66</f>
        <v/>
      </c>
      <c r="R66" s="17">
        <f>IFERROR(R55/R5,"")</f>
        <v/>
      </c>
      <c r="S66" s="17">
        <f>IFERROR(S55/S5,"")</f>
        <v/>
      </c>
    </row>
    <row r="67" ht="18.75" customHeight="1">
      <c r="A67" s="3" t="n"/>
      <c r="B67" s="18" t="inlineStr">
        <is>
          <t>Training Hours / EE Trained</t>
        </is>
      </c>
      <c r="C67" s="16">
        <f>OCT!J67</f>
        <v/>
      </c>
      <c r="D67" s="16">
        <f>NOV!J67</f>
        <v/>
      </c>
      <c r="E67" s="16">
        <f>DEC!J67</f>
        <v/>
      </c>
      <c r="F67" s="17">
        <f>IFERROR(F55/F56,"")</f>
        <v/>
      </c>
      <c r="G67" s="16">
        <f>JAN!J67</f>
        <v/>
      </c>
      <c r="H67" s="16">
        <f>FEB!J67</f>
        <v/>
      </c>
      <c r="I67" s="16">
        <f>MAR!J67</f>
        <v/>
      </c>
      <c r="J67" s="17">
        <f>IFERROR(J55/J56,"")</f>
        <v/>
      </c>
      <c r="K67" s="16">
        <f>APR!J67</f>
        <v/>
      </c>
      <c r="L67" s="16">
        <f>MAY!J67</f>
        <v/>
      </c>
      <c r="M67" s="16">
        <f>JUN!J67</f>
        <v/>
      </c>
      <c r="N67" s="17">
        <f>IFERROR(N55/N56,"")</f>
        <v/>
      </c>
      <c r="O67" s="16">
        <f>JUL!J67</f>
        <v/>
      </c>
      <c r="P67" s="16">
        <f>AUG!J67</f>
        <v/>
      </c>
      <c r="Q67" s="16">
        <f>SEP!J67</f>
        <v/>
      </c>
      <c r="R67" s="17">
        <f>IFERROR(R55/R56,"")</f>
        <v/>
      </c>
      <c r="S67" s="17">
        <f>IFERROR(S55/S56,"")</f>
        <v/>
      </c>
    </row>
    <row r="68" ht="18.75" customHeight="1">
      <c r="A68" s="3" t="n"/>
      <c r="B68" s="18" t="inlineStr">
        <is>
          <t>Training Invest. / EE (USD)</t>
        </is>
      </c>
      <c r="C68" s="16">
        <f>OCT!J68</f>
        <v/>
      </c>
      <c r="D68" s="16">
        <f>NOV!J68</f>
        <v/>
      </c>
      <c r="E68" s="16">
        <f>DEC!J68</f>
        <v/>
      </c>
      <c r="F68" s="17">
        <f>IF(COUNT(F58:F59)=0,"",IFERROR((N(F58)+N(F59))/F5,""))</f>
        <v/>
      </c>
      <c r="G68" s="16">
        <f>JAN!J68</f>
        <v/>
      </c>
      <c r="H68" s="16">
        <f>FEB!J68</f>
        <v/>
      </c>
      <c r="I68" s="16">
        <f>MAR!J68</f>
        <v/>
      </c>
      <c r="J68" s="17">
        <f>IF(COUNT(J58:J59)=0,"",IFERROR((N(J58)+N(J59))/J5,""))</f>
        <v/>
      </c>
      <c r="K68" s="16">
        <f>APR!J68</f>
        <v/>
      </c>
      <c r="L68" s="16">
        <f>MAY!J68</f>
        <v/>
      </c>
      <c r="M68" s="16">
        <f>JUN!J68</f>
        <v/>
      </c>
      <c r="N68" s="17">
        <f>IF(COUNT(N58:N59)=0,"",IFERROR((N(N58)+N(N59))/N5,""))</f>
        <v/>
      </c>
      <c r="O68" s="16">
        <f>JUL!J68</f>
        <v/>
      </c>
      <c r="P68" s="16">
        <f>AUG!J68</f>
        <v/>
      </c>
      <c r="Q68" s="16">
        <f>SEP!J68</f>
        <v/>
      </c>
      <c r="R68" s="17">
        <f>IF(COUNT(R58:R59)=0,"",IFERROR((N(R58)+N(R59))/R5,""))</f>
        <v/>
      </c>
      <c r="S68" s="17">
        <f>IF(COUNT(S58:S59)=0,"",IFERROR((N(S58)+N(S59))/S5,""))</f>
        <v/>
      </c>
    </row>
    <row r="69" ht="18.75" customHeight="1">
      <c r="A69" s="3" t="n"/>
      <c r="B69" s="18" t="inlineStr">
        <is>
          <t>Training Invest. / EE Trained (USD)</t>
        </is>
      </c>
      <c r="C69" s="16">
        <f>OCT!J69</f>
        <v/>
      </c>
      <c r="D69" s="16">
        <f>NOV!J69</f>
        <v/>
      </c>
      <c r="E69" s="16">
        <f>DEC!J69</f>
        <v/>
      </c>
      <c r="F69" s="17">
        <f>IF(COUNT(F58:F59)=0,"",IFERROR((N(F58)+N(F59))/F56,""))</f>
        <v/>
      </c>
      <c r="G69" s="16">
        <f>JAN!J69</f>
        <v/>
      </c>
      <c r="H69" s="16">
        <f>FEB!J69</f>
        <v/>
      </c>
      <c r="I69" s="16">
        <f>MAR!J69</f>
        <v/>
      </c>
      <c r="J69" s="17">
        <f>IF(COUNT(J58:J59)=0,"",IFERROR((N(J58)+N(J59))/J56,""))</f>
        <v/>
      </c>
      <c r="K69" s="16">
        <f>APR!J69</f>
        <v/>
      </c>
      <c r="L69" s="16">
        <f>MAY!J69</f>
        <v/>
      </c>
      <c r="M69" s="16">
        <f>JUN!J69</f>
        <v/>
      </c>
      <c r="N69" s="17">
        <f>IF(COUNT(N58:N59)=0,"",IFERROR((N(N58)+N(N59))/N56,""))</f>
        <v/>
      </c>
      <c r="O69" s="16">
        <f>JUL!J69</f>
        <v/>
      </c>
      <c r="P69" s="16">
        <f>AUG!J69</f>
        <v/>
      </c>
      <c r="Q69" s="16">
        <f>SEP!J69</f>
        <v/>
      </c>
      <c r="R69" s="17">
        <f>IF(COUNT(R58:R59)=0,"",IFERROR((N(R58)+N(R59))/R56,""))</f>
        <v/>
      </c>
      <c r="S69" s="17">
        <f>IF(COUNT(S58:S59)=0,"",IFERROR((N(S58)+N(S59))/S56,""))</f>
        <v/>
      </c>
    </row>
    <row r="70" ht="18.75" customHeight="1">
      <c r="A70" s="3" t="n"/>
      <c r="B70" s="25" t="inlineStr">
        <is>
          <t>Input Cells Not Submitted</t>
        </is>
      </c>
      <c r="C70" s="14">
        <f>OCT!J70</f>
        <v/>
      </c>
      <c r="D70" s="14">
        <f>NOV!J70</f>
        <v/>
      </c>
      <c r="E70" s="14">
        <f>DEC!J70</f>
        <v/>
      </c>
      <c r="F70" s="14">
        <f>SUM(C70:E70)</f>
        <v/>
      </c>
      <c r="G70" s="14">
        <f>JAN!J70</f>
        <v/>
      </c>
      <c r="H70" s="14">
        <f>FEB!J70</f>
        <v/>
      </c>
      <c r="I70" s="14">
        <f>MAR!J70</f>
        <v/>
      </c>
      <c r="J70" s="14">
        <f>SUM(G70:I70)</f>
        <v/>
      </c>
      <c r="K70" s="14">
        <f>APR!J70</f>
        <v/>
      </c>
      <c r="L70" s="14">
        <f>MAY!J70</f>
        <v/>
      </c>
      <c r="M70" s="14">
        <f>JUN!J70</f>
        <v/>
      </c>
      <c r="N70" s="14">
        <f>SUM(K70:M70)</f>
        <v/>
      </c>
      <c r="O70" s="14">
        <f>JUL!J70</f>
        <v/>
      </c>
      <c r="P70" s="14">
        <f>AUG!J70</f>
        <v/>
      </c>
      <c r="Q70" s="14">
        <f>SEP!J70</f>
        <v/>
      </c>
      <c r="R70" s="14">
        <f>SUM(O70:Q70)</f>
        <v/>
      </c>
      <c r="S70" s="14">
        <f>SUM(C70:E70,G70:I70,K70:M70,O70:Q70)</f>
        <v/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NORTH CARIBBEAN</t>
        </is>
      </c>
      <c r="C1" s="26" t="inlineStr">
        <is>
          <t>1062</t>
        </is>
      </c>
      <c r="D1" s="26" t="inlineStr">
        <is>
          <t>1075</t>
        </is>
      </c>
      <c r="E1" s="26" t="inlineStr">
        <is>
          <t>1044</t>
        </is>
      </c>
      <c r="F1" s="26" t="inlineStr">
        <is>
          <t>1066</t>
        </is>
      </c>
      <c r="G1" s="26" t="inlineStr">
        <is>
          <t>1158</t>
        </is>
      </c>
      <c r="H1" s="26" t="inlineStr">
        <is>
          <t>1067</t>
        </is>
      </c>
      <c r="I1" s="26" t="inlineStr">
        <is>
          <t>1046</t>
        </is>
      </c>
      <c r="J1" s="3" t="n"/>
      <c r="K1" s="3" t="n"/>
      <c r="L1" s="3" t="n"/>
    </row>
    <row r="2" ht="72" customHeight="1">
      <c r="A2" s="4" t="n">
        <v>202610</v>
      </c>
      <c r="B2" s="5" t="inlineStr">
        <is>
          <t>OCT</t>
        </is>
      </c>
      <c r="C2" s="27" t="inlineStr">
        <is>
          <t>GCG Antigua</t>
        </is>
      </c>
      <c r="D2" s="27" t="inlineStr">
        <is>
          <t>GCG Grand Cayman</t>
        </is>
      </c>
      <c r="E2" s="27" t="inlineStr">
        <is>
          <t>GCG Aviation Ground Jamaica</t>
        </is>
      </c>
      <c r="F2" s="27" t="inlineStr">
        <is>
          <t>GCG Jamaica</t>
        </is>
      </c>
      <c r="G2" s="27" t="inlineStr">
        <is>
          <t>GCG Aviation Ground Saint Lucia</t>
        </is>
      </c>
      <c r="H2" s="27" t="inlineStr">
        <is>
          <t>GCG Saint Lucia</t>
        </is>
      </c>
      <c r="I2" s="27" t="inlineStr">
        <is>
          <t>GCG Ground Saint Thomas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30" t="n"/>
      <c r="D31" s="30" t="n"/>
      <c r="E31" s="30" t="n"/>
      <c r="F31" s="30" t="n"/>
      <c r="G31" s="30" t="n"/>
      <c r="H31" s="30" t="n"/>
      <c r="I31" s="30" t="n"/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IF('(GCG_ATG)'!$AB$4="","",'(GCG_ATG)'!$AB$4)</f>
        <v/>
      </c>
      <c r="D39" s="14">
        <f>IF('(GCG_GCM)'!$AB$4="","",'(GCG_GCM)'!$AB$4)</f>
        <v/>
      </c>
      <c r="E39" s="14">
        <f>IF('(Ground_JAM)'!$AB$4="","",'(Ground_JAM)'!$AB$4)</f>
        <v/>
      </c>
      <c r="F39" s="14">
        <f>IF('(GCG_JAM)'!$AB$4="","",'(GCG_JAM)'!$AB$4)</f>
        <v/>
      </c>
      <c r="G39" s="14">
        <f>IF('(Ground_LCA)'!$AB$4="","",'(Ground_LCA)'!$AB$4)</f>
        <v/>
      </c>
      <c r="H39" s="14">
        <f>IF('(GCG_LCA)'!$AB$4="","",'(GCG_LCA)'!$AB$4)</f>
        <v/>
      </c>
      <c r="I39" s="14">
        <f>IF('(Ground_STT)'!$AB$4="","",'(Ground_STT)'!$AB$4)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IF('(GCG_ATG)'!$AD$4="","",'(GCG_ATG)'!$AD$4)</f>
        <v/>
      </c>
      <c r="D40" s="14">
        <f>IF('(GCG_GCM)'!$AD$4="","",'(GCG_GCM)'!$AD$4)</f>
        <v/>
      </c>
      <c r="E40" s="14">
        <f>IF('(Ground_JAM)'!$AD$4="","",'(Ground_JAM)'!$AD$4)</f>
        <v/>
      </c>
      <c r="F40" s="14">
        <f>IF('(GCG_JAM)'!$AD$4="","",'(GCG_JAM)'!$AD$4)</f>
        <v/>
      </c>
      <c r="G40" s="14">
        <f>IF('(Ground_LCA)'!$AD$4="","",'(Ground_LCA)'!$AD$4)</f>
        <v/>
      </c>
      <c r="H40" s="14">
        <f>IF('(GCG_LCA)'!$AD$4="","",'(GCG_LCA)'!$AD$4)</f>
        <v/>
      </c>
      <c r="I40" s="14">
        <f>IF('(Ground_STT)'!$AD$4="","",'(Ground_STT)'!$AD$4)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IF('(GCG_ATG)'!$G$4="","",'(GCG_ATG)'!$G$4)</f>
        <v/>
      </c>
      <c r="D46" s="19">
        <f>IF('(GCG_GCM)'!$G$4="","",'(GCG_GCM)'!$G$4)</f>
        <v/>
      </c>
      <c r="E46" s="19">
        <f>IF('(Ground_JAM)'!$G$4="","",'(Ground_JAM)'!$G$4)</f>
        <v/>
      </c>
      <c r="F46" s="19">
        <f>IF('(GCG_JAM)'!$G$4="","",'(GCG_JAM)'!$G$4)</f>
        <v/>
      </c>
      <c r="G46" s="19">
        <f>IF('(Ground_LCA)'!$G$4="","",'(Ground_LCA)'!$G$4)</f>
        <v/>
      </c>
      <c r="H46" s="19">
        <f>IF('(GCG_LCA)'!$G$4="","",'(GCG_LCA)'!$G$4)</f>
        <v/>
      </c>
      <c r="I46" s="19">
        <f>IF('(Ground_STT)'!$G$4="","",'(Ground_STT)'!$G$4)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IF('(GCG_ATG)'!$O$4="","",'(GCG_ATG)'!$O$4)</f>
        <v/>
      </c>
      <c r="D47" s="19">
        <f>IF('(GCG_GCM)'!$O$4="","",'(GCG_GCM)'!$O$4)</f>
        <v/>
      </c>
      <c r="E47" s="19">
        <f>IF('(Ground_JAM)'!$O$4="","",'(Ground_JAM)'!$O$4)</f>
        <v/>
      </c>
      <c r="F47" s="19">
        <f>IF('(GCG_JAM)'!$O$4="","",'(GCG_JAM)'!$O$4)</f>
        <v/>
      </c>
      <c r="G47" s="19">
        <f>IF('(Ground_LCA)'!$O$4="","",'(Ground_LCA)'!$O$4)</f>
        <v/>
      </c>
      <c r="H47" s="19">
        <f>IF('(GCG_LCA)'!$O$4="","",'(GCG_LCA)'!$O$4)</f>
        <v/>
      </c>
      <c r="I47" s="19">
        <f>IF('(Ground_STT)'!$O$4="","",'(Ground_STT)'!$O$4)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NORTH CARIBBEAN</t>
        </is>
      </c>
      <c r="C1" s="26" t="inlineStr">
        <is>
          <t>1062</t>
        </is>
      </c>
      <c r="D1" s="26" t="inlineStr">
        <is>
          <t>1075</t>
        </is>
      </c>
      <c r="E1" s="26" t="inlineStr">
        <is>
          <t>1044</t>
        </is>
      </c>
      <c r="F1" s="26" t="inlineStr">
        <is>
          <t>1066</t>
        </is>
      </c>
      <c r="G1" s="26" t="inlineStr">
        <is>
          <t>1158</t>
        </is>
      </c>
      <c r="H1" s="26" t="inlineStr">
        <is>
          <t>1067</t>
        </is>
      </c>
      <c r="I1" s="26" t="inlineStr">
        <is>
          <t>1046</t>
        </is>
      </c>
      <c r="J1" s="3" t="n"/>
      <c r="K1" s="3" t="n"/>
      <c r="L1" s="3" t="n"/>
    </row>
    <row r="2" ht="72" customHeight="1">
      <c r="A2" s="4">
        <f>VALUE(TEXT(EDATE(DATE(LEFT(OCT!A2,4),RIGHT(OCT!A2,2),1),1),"yyyymm"))</f>
        <v/>
      </c>
      <c r="B2" s="5" t="inlineStr">
        <is>
          <t>NOV</t>
        </is>
      </c>
      <c r="C2" s="27" t="inlineStr">
        <is>
          <t>GCG Antigua</t>
        </is>
      </c>
      <c r="D2" s="27" t="inlineStr">
        <is>
          <t>GCG Grand Cayman</t>
        </is>
      </c>
      <c r="E2" s="27" t="inlineStr">
        <is>
          <t>GCG Aviation Ground Jamaica</t>
        </is>
      </c>
      <c r="F2" s="27" t="inlineStr">
        <is>
          <t>GCG Jamaica</t>
        </is>
      </c>
      <c r="G2" s="27" t="inlineStr">
        <is>
          <t>GCG Aviation Ground Saint Lucia</t>
        </is>
      </c>
      <c r="H2" s="27" t="inlineStr">
        <is>
          <t>GCG Saint Lucia</t>
        </is>
      </c>
      <c r="I2" s="27" t="inlineStr">
        <is>
          <t>GCG Ground Saint Thomas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IF(OCT!C5="","",OCT!C5)</f>
        <v/>
      </c>
      <c r="D31" s="11">
        <f>IF(OCT!D5="","",OCT!D5)</f>
        <v/>
      </c>
      <c r="E31" s="11">
        <f>IF(OCT!E5="","",OCT!E5)</f>
        <v/>
      </c>
      <c r="F31" s="11">
        <f>IF(OCT!F5="","",OCT!F5)</f>
        <v/>
      </c>
      <c r="G31" s="11">
        <f>IF(OCT!G5="","",OCT!G5)</f>
        <v/>
      </c>
      <c r="H31" s="11">
        <f>IF(OCT!H5="","",OCT!H5)</f>
        <v/>
      </c>
      <c r="I31" s="11">
        <f>IF(OCT!I5="","",OCT!I5)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IF('(GCG_ATG)'!$AB$5="","",'(GCG_ATG)'!$AB$5)</f>
        <v/>
      </c>
      <c r="D39" s="14">
        <f>IF('(GCG_GCM)'!$AB$5="","",'(GCG_GCM)'!$AB$5)</f>
        <v/>
      </c>
      <c r="E39" s="14">
        <f>IF('(Ground_JAM)'!$AB$5="","",'(Ground_JAM)'!$AB$5)</f>
        <v/>
      </c>
      <c r="F39" s="14">
        <f>IF('(GCG_JAM)'!$AB$5="","",'(GCG_JAM)'!$AB$5)</f>
        <v/>
      </c>
      <c r="G39" s="14">
        <f>IF('(Ground_LCA)'!$AB$5="","",'(Ground_LCA)'!$AB$5)</f>
        <v/>
      </c>
      <c r="H39" s="14">
        <f>IF('(GCG_LCA)'!$AB$5="","",'(GCG_LCA)'!$AB$5)</f>
        <v/>
      </c>
      <c r="I39" s="14">
        <f>IF('(Ground_STT)'!$AB$5="","",'(Ground_STT)'!$AB$5)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IF('(GCG_ATG)'!$AD$5="","",'(GCG_ATG)'!$AD$5)</f>
        <v/>
      </c>
      <c r="D40" s="14">
        <f>IF('(GCG_GCM)'!$AD$5="","",'(GCG_GCM)'!$AD$5)</f>
        <v/>
      </c>
      <c r="E40" s="14">
        <f>IF('(Ground_JAM)'!$AD$5="","",'(Ground_JAM)'!$AD$5)</f>
        <v/>
      </c>
      <c r="F40" s="14">
        <f>IF('(GCG_JAM)'!$AD$5="","",'(GCG_JAM)'!$AD$5)</f>
        <v/>
      </c>
      <c r="G40" s="14">
        <f>IF('(Ground_LCA)'!$AD$5="","",'(Ground_LCA)'!$AD$5)</f>
        <v/>
      </c>
      <c r="H40" s="14">
        <f>IF('(GCG_LCA)'!$AD$5="","",'(GCG_LCA)'!$AD$5)</f>
        <v/>
      </c>
      <c r="I40" s="14">
        <f>IF('(Ground_STT)'!$AD$5="","",'(Ground_STT)'!$AD$5)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IF('(GCG_ATG)'!$G$5="","",'(GCG_ATG)'!$G$5)</f>
        <v/>
      </c>
      <c r="D46" s="19">
        <f>IF('(GCG_GCM)'!$G$5="","",'(GCG_GCM)'!$G$5)</f>
        <v/>
      </c>
      <c r="E46" s="19">
        <f>IF('(Ground_JAM)'!$G$5="","",'(Ground_JAM)'!$G$5)</f>
        <v/>
      </c>
      <c r="F46" s="19">
        <f>IF('(GCG_JAM)'!$G$5="","",'(GCG_JAM)'!$G$5)</f>
        <v/>
      </c>
      <c r="G46" s="19">
        <f>IF('(Ground_LCA)'!$G$5="","",'(Ground_LCA)'!$G$5)</f>
        <v/>
      </c>
      <c r="H46" s="19">
        <f>IF('(GCG_LCA)'!$G$5="","",'(GCG_LCA)'!$G$5)</f>
        <v/>
      </c>
      <c r="I46" s="19">
        <f>IF('(Ground_STT)'!$G$5="","",'(Ground_STT)'!$G$5)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IF('(GCG_ATG)'!$O$5="","",'(GCG_ATG)'!$O$5)</f>
        <v/>
      </c>
      <c r="D47" s="19">
        <f>IF('(GCG_GCM)'!$O$5="","",'(GCG_GCM)'!$O$5)</f>
        <v/>
      </c>
      <c r="E47" s="19">
        <f>IF('(Ground_JAM)'!$O$5="","",'(Ground_JAM)'!$O$5)</f>
        <v/>
      </c>
      <c r="F47" s="19">
        <f>IF('(GCG_JAM)'!$O$5="","",'(GCG_JAM)'!$O$5)</f>
        <v/>
      </c>
      <c r="G47" s="19">
        <f>IF('(Ground_LCA)'!$O$5="","",'(Ground_LCA)'!$O$5)</f>
        <v/>
      </c>
      <c r="H47" s="19">
        <f>IF('(GCG_LCA)'!$O$5="","",'(GCG_LCA)'!$O$5)</f>
        <v/>
      </c>
      <c r="I47" s="19">
        <f>IF('(Ground_STT)'!$O$5="","",'(Ground_STT)'!$O$5)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NORTH CARIBBEAN</t>
        </is>
      </c>
      <c r="C1" s="26" t="inlineStr">
        <is>
          <t>1062</t>
        </is>
      </c>
      <c r="D1" s="26" t="inlineStr">
        <is>
          <t>1075</t>
        </is>
      </c>
      <c r="E1" s="26" t="inlineStr">
        <is>
          <t>1044</t>
        </is>
      </c>
      <c r="F1" s="26" t="inlineStr">
        <is>
          <t>1066</t>
        </is>
      </c>
      <c r="G1" s="26" t="inlineStr">
        <is>
          <t>1158</t>
        </is>
      </c>
      <c r="H1" s="26" t="inlineStr">
        <is>
          <t>1067</t>
        </is>
      </c>
      <c r="I1" s="26" t="inlineStr">
        <is>
          <t>1046</t>
        </is>
      </c>
      <c r="J1" s="3" t="n"/>
      <c r="K1" s="3" t="n"/>
      <c r="L1" s="3" t="n"/>
    </row>
    <row r="2" ht="72" customHeight="1">
      <c r="A2" s="4">
        <f>VALUE(TEXT(EDATE(DATE(LEFT(NOV!A2,4),RIGHT(NOV!A2,2),1),1),"yyyymm"))</f>
        <v/>
      </c>
      <c r="B2" s="5" t="inlineStr">
        <is>
          <t>DEC</t>
        </is>
      </c>
      <c r="C2" s="27" t="inlineStr">
        <is>
          <t>GCG Antigua</t>
        </is>
      </c>
      <c r="D2" s="27" t="inlineStr">
        <is>
          <t>GCG Grand Cayman</t>
        </is>
      </c>
      <c r="E2" s="27" t="inlineStr">
        <is>
          <t>GCG Aviation Ground Jamaica</t>
        </is>
      </c>
      <c r="F2" s="27" t="inlineStr">
        <is>
          <t>GCG Jamaica</t>
        </is>
      </c>
      <c r="G2" s="27" t="inlineStr">
        <is>
          <t>GCG Aviation Ground Saint Lucia</t>
        </is>
      </c>
      <c r="H2" s="27" t="inlineStr">
        <is>
          <t>GCG Saint Lucia</t>
        </is>
      </c>
      <c r="I2" s="27" t="inlineStr">
        <is>
          <t>GCG Ground Saint Thomas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IF(NOV!C5="","",NOV!C5)</f>
        <v/>
      </c>
      <c r="D31" s="11">
        <f>IF(NOV!D5="","",NOV!D5)</f>
        <v/>
      </c>
      <c r="E31" s="11">
        <f>IF(NOV!E5="","",NOV!E5)</f>
        <v/>
      </c>
      <c r="F31" s="11">
        <f>IF(NOV!F5="","",NOV!F5)</f>
        <v/>
      </c>
      <c r="G31" s="11">
        <f>IF(NOV!G5="","",NOV!G5)</f>
        <v/>
      </c>
      <c r="H31" s="11">
        <f>IF(NOV!H5="","",NOV!H5)</f>
        <v/>
      </c>
      <c r="I31" s="11">
        <f>IF(NOV!I5="","",NOV!I5)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IF('(GCG_ATG)'!$AB$6="","",'(GCG_ATG)'!$AB$6)</f>
        <v/>
      </c>
      <c r="D39" s="14">
        <f>IF('(GCG_GCM)'!$AB$6="","",'(GCG_GCM)'!$AB$6)</f>
        <v/>
      </c>
      <c r="E39" s="14">
        <f>IF('(Ground_JAM)'!$AB$6="","",'(Ground_JAM)'!$AB$6)</f>
        <v/>
      </c>
      <c r="F39" s="14">
        <f>IF('(GCG_JAM)'!$AB$6="","",'(GCG_JAM)'!$AB$6)</f>
        <v/>
      </c>
      <c r="G39" s="14">
        <f>IF('(Ground_LCA)'!$AB$6="","",'(Ground_LCA)'!$AB$6)</f>
        <v/>
      </c>
      <c r="H39" s="14">
        <f>IF('(GCG_LCA)'!$AB$6="","",'(GCG_LCA)'!$AB$6)</f>
        <v/>
      </c>
      <c r="I39" s="14">
        <f>IF('(Ground_STT)'!$AB$6="","",'(Ground_STT)'!$AB$6)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IF('(GCG_ATG)'!$AD$6="","",'(GCG_ATG)'!$AD$6)</f>
        <v/>
      </c>
      <c r="D40" s="14">
        <f>IF('(GCG_GCM)'!$AD$6="","",'(GCG_GCM)'!$AD$6)</f>
        <v/>
      </c>
      <c r="E40" s="14">
        <f>IF('(Ground_JAM)'!$AD$6="","",'(Ground_JAM)'!$AD$6)</f>
        <v/>
      </c>
      <c r="F40" s="14">
        <f>IF('(GCG_JAM)'!$AD$6="","",'(GCG_JAM)'!$AD$6)</f>
        <v/>
      </c>
      <c r="G40" s="14">
        <f>IF('(Ground_LCA)'!$AD$6="","",'(Ground_LCA)'!$AD$6)</f>
        <v/>
      </c>
      <c r="H40" s="14">
        <f>IF('(GCG_LCA)'!$AD$6="","",'(GCG_LCA)'!$AD$6)</f>
        <v/>
      </c>
      <c r="I40" s="14">
        <f>IF('(Ground_STT)'!$AD$6="","",'(Ground_STT)'!$AD$6)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IF('(GCG_ATG)'!$G$6="","",'(GCG_ATG)'!$G$6)</f>
        <v/>
      </c>
      <c r="D46" s="19">
        <f>IF('(GCG_GCM)'!$G$6="","",'(GCG_GCM)'!$G$6)</f>
        <v/>
      </c>
      <c r="E46" s="19">
        <f>IF('(Ground_JAM)'!$G$6="","",'(Ground_JAM)'!$G$6)</f>
        <v/>
      </c>
      <c r="F46" s="19">
        <f>IF('(GCG_JAM)'!$G$6="","",'(GCG_JAM)'!$G$6)</f>
        <v/>
      </c>
      <c r="G46" s="19">
        <f>IF('(Ground_LCA)'!$G$6="","",'(Ground_LCA)'!$G$6)</f>
        <v/>
      </c>
      <c r="H46" s="19">
        <f>IF('(GCG_LCA)'!$G$6="","",'(GCG_LCA)'!$G$6)</f>
        <v/>
      </c>
      <c r="I46" s="19">
        <f>IF('(Ground_STT)'!$G$6="","",'(Ground_STT)'!$G$6)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IF('(GCG_ATG)'!$O$6="","",'(GCG_ATG)'!$O$6)</f>
        <v/>
      </c>
      <c r="D47" s="19">
        <f>IF('(GCG_GCM)'!$O$6="","",'(GCG_GCM)'!$O$6)</f>
        <v/>
      </c>
      <c r="E47" s="19">
        <f>IF('(Ground_JAM)'!$O$6="","",'(Ground_JAM)'!$O$6)</f>
        <v/>
      </c>
      <c r="F47" s="19">
        <f>IF('(GCG_JAM)'!$O$6="","",'(GCG_JAM)'!$O$6)</f>
        <v/>
      </c>
      <c r="G47" s="19">
        <f>IF('(Ground_LCA)'!$O$6="","",'(Ground_LCA)'!$O$6)</f>
        <v/>
      </c>
      <c r="H47" s="19">
        <f>IF('(GCG_LCA)'!$O$6="","",'(GCG_LCA)'!$O$6)</f>
        <v/>
      </c>
      <c r="I47" s="19">
        <f>IF('(Ground_STT)'!$O$6="","",'(Ground_STT)'!$O$6)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NORTH CARIBBEAN</t>
        </is>
      </c>
      <c r="C1" s="26" t="inlineStr">
        <is>
          <t>1062</t>
        </is>
      </c>
      <c r="D1" s="26" t="inlineStr">
        <is>
          <t>1075</t>
        </is>
      </c>
      <c r="E1" s="26" t="inlineStr">
        <is>
          <t>1044</t>
        </is>
      </c>
      <c r="F1" s="26" t="inlineStr">
        <is>
          <t>1066</t>
        </is>
      </c>
      <c r="G1" s="26" t="inlineStr">
        <is>
          <t>1158</t>
        </is>
      </c>
      <c r="H1" s="26" t="inlineStr">
        <is>
          <t>1067</t>
        </is>
      </c>
      <c r="I1" s="26" t="inlineStr">
        <is>
          <t>1046</t>
        </is>
      </c>
      <c r="J1" s="3" t="n"/>
      <c r="K1" s="3" t="n"/>
      <c r="L1" s="3" t="n"/>
    </row>
    <row r="2" ht="72" customHeight="1">
      <c r="A2" s="4">
        <f>VALUE(TEXT(EDATE(DATE(LEFT(DEC!A2,4),RIGHT(DEC!A2,2),1),1),"yyyymm"))</f>
        <v/>
      </c>
      <c r="B2" s="5" t="inlineStr">
        <is>
          <t>JAN</t>
        </is>
      </c>
      <c r="C2" s="27" t="inlineStr">
        <is>
          <t>GCG Antigua</t>
        </is>
      </c>
      <c r="D2" s="27" t="inlineStr">
        <is>
          <t>GCG Grand Cayman</t>
        </is>
      </c>
      <c r="E2" s="27" t="inlineStr">
        <is>
          <t>GCG Aviation Ground Jamaica</t>
        </is>
      </c>
      <c r="F2" s="27" t="inlineStr">
        <is>
          <t>GCG Jamaica</t>
        </is>
      </c>
      <c r="G2" s="27" t="inlineStr">
        <is>
          <t>GCG Aviation Ground Saint Lucia</t>
        </is>
      </c>
      <c r="H2" s="27" t="inlineStr">
        <is>
          <t>GCG Saint Lucia</t>
        </is>
      </c>
      <c r="I2" s="27" t="inlineStr">
        <is>
          <t>GCG Ground Saint Thomas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IF(DEC!C5="","",DEC!C5)</f>
        <v/>
      </c>
      <c r="D31" s="11">
        <f>IF(DEC!D5="","",DEC!D5)</f>
        <v/>
      </c>
      <c r="E31" s="11">
        <f>IF(DEC!E5="","",DEC!E5)</f>
        <v/>
      </c>
      <c r="F31" s="11">
        <f>IF(DEC!F5="","",DEC!F5)</f>
        <v/>
      </c>
      <c r="G31" s="11">
        <f>IF(DEC!G5="","",DEC!G5)</f>
        <v/>
      </c>
      <c r="H31" s="11">
        <f>IF(DEC!H5="","",DEC!H5)</f>
        <v/>
      </c>
      <c r="I31" s="11">
        <f>IF(DEC!I5="","",DEC!I5)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IF('(GCG_ATG)'!$AB$7="","",'(GCG_ATG)'!$AB$7)</f>
        <v/>
      </c>
      <c r="D39" s="14">
        <f>IF('(GCG_GCM)'!$AB$7="","",'(GCG_GCM)'!$AB$7)</f>
        <v/>
      </c>
      <c r="E39" s="14">
        <f>IF('(Ground_JAM)'!$AB$7="","",'(Ground_JAM)'!$AB$7)</f>
        <v/>
      </c>
      <c r="F39" s="14">
        <f>IF('(GCG_JAM)'!$AB$7="","",'(GCG_JAM)'!$AB$7)</f>
        <v/>
      </c>
      <c r="G39" s="14">
        <f>IF('(Ground_LCA)'!$AB$7="","",'(Ground_LCA)'!$AB$7)</f>
        <v/>
      </c>
      <c r="H39" s="14">
        <f>IF('(GCG_LCA)'!$AB$7="","",'(GCG_LCA)'!$AB$7)</f>
        <v/>
      </c>
      <c r="I39" s="14">
        <f>IF('(Ground_STT)'!$AB$7="","",'(Ground_STT)'!$AB$7)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IF('(GCG_ATG)'!$AD$7="","",'(GCG_ATG)'!$AD$7)</f>
        <v/>
      </c>
      <c r="D40" s="14">
        <f>IF('(GCG_GCM)'!$AD$7="","",'(GCG_GCM)'!$AD$7)</f>
        <v/>
      </c>
      <c r="E40" s="14">
        <f>IF('(Ground_JAM)'!$AD$7="","",'(Ground_JAM)'!$AD$7)</f>
        <v/>
      </c>
      <c r="F40" s="14">
        <f>IF('(GCG_JAM)'!$AD$7="","",'(GCG_JAM)'!$AD$7)</f>
        <v/>
      </c>
      <c r="G40" s="14">
        <f>IF('(Ground_LCA)'!$AD$7="","",'(Ground_LCA)'!$AD$7)</f>
        <v/>
      </c>
      <c r="H40" s="14">
        <f>IF('(GCG_LCA)'!$AD$7="","",'(GCG_LCA)'!$AD$7)</f>
        <v/>
      </c>
      <c r="I40" s="14">
        <f>IF('(Ground_STT)'!$AD$7="","",'(Ground_STT)'!$AD$7)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IF('(GCG_ATG)'!$G$7="","",'(GCG_ATG)'!$G$7)</f>
        <v/>
      </c>
      <c r="D46" s="19">
        <f>IF('(GCG_GCM)'!$G$7="","",'(GCG_GCM)'!$G$7)</f>
        <v/>
      </c>
      <c r="E46" s="19">
        <f>IF('(Ground_JAM)'!$G$7="","",'(Ground_JAM)'!$G$7)</f>
        <v/>
      </c>
      <c r="F46" s="19">
        <f>IF('(GCG_JAM)'!$G$7="","",'(GCG_JAM)'!$G$7)</f>
        <v/>
      </c>
      <c r="G46" s="19">
        <f>IF('(Ground_LCA)'!$G$7="","",'(Ground_LCA)'!$G$7)</f>
        <v/>
      </c>
      <c r="H46" s="19">
        <f>IF('(GCG_LCA)'!$G$7="","",'(GCG_LCA)'!$G$7)</f>
        <v/>
      </c>
      <c r="I46" s="19">
        <f>IF('(Ground_STT)'!$G$7="","",'(Ground_STT)'!$G$7)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IF('(GCG_ATG)'!$O$7="","",'(GCG_ATG)'!$O$7)</f>
        <v/>
      </c>
      <c r="D47" s="19">
        <f>IF('(GCG_GCM)'!$O$7="","",'(GCG_GCM)'!$O$7)</f>
        <v/>
      </c>
      <c r="E47" s="19">
        <f>IF('(Ground_JAM)'!$O$7="","",'(Ground_JAM)'!$O$7)</f>
        <v/>
      </c>
      <c r="F47" s="19">
        <f>IF('(GCG_JAM)'!$O$7="","",'(GCG_JAM)'!$O$7)</f>
        <v/>
      </c>
      <c r="G47" s="19">
        <f>IF('(Ground_LCA)'!$O$7="","",'(Ground_LCA)'!$O$7)</f>
        <v/>
      </c>
      <c r="H47" s="19">
        <f>IF('(GCG_LCA)'!$O$7="","",'(GCG_LCA)'!$O$7)</f>
        <v/>
      </c>
      <c r="I47" s="19">
        <f>IF('(Ground_STT)'!$O$7="","",'(Ground_STT)'!$O$7)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NORTH CARIBBEAN</t>
        </is>
      </c>
      <c r="C1" s="26" t="inlineStr">
        <is>
          <t>1062</t>
        </is>
      </c>
      <c r="D1" s="26" t="inlineStr">
        <is>
          <t>1075</t>
        </is>
      </c>
      <c r="E1" s="26" t="inlineStr">
        <is>
          <t>1044</t>
        </is>
      </c>
      <c r="F1" s="26" t="inlineStr">
        <is>
          <t>1066</t>
        </is>
      </c>
      <c r="G1" s="26" t="inlineStr">
        <is>
          <t>1158</t>
        </is>
      </c>
      <c r="H1" s="26" t="inlineStr">
        <is>
          <t>1067</t>
        </is>
      </c>
      <c r="I1" s="26" t="inlineStr">
        <is>
          <t>1046</t>
        </is>
      </c>
      <c r="J1" s="3" t="n"/>
      <c r="K1" s="3" t="n"/>
      <c r="L1" s="3" t="n"/>
    </row>
    <row r="2" ht="72" customHeight="1">
      <c r="A2" s="4">
        <f>VALUE(TEXT(EDATE(DATE(LEFT(JAN!A2,4),RIGHT(JAN!A2,2),1),1),"yyyymm"))</f>
        <v/>
      </c>
      <c r="B2" s="5" t="inlineStr">
        <is>
          <t>FEB</t>
        </is>
      </c>
      <c r="C2" s="27" t="inlineStr">
        <is>
          <t>GCG Antigua</t>
        </is>
      </c>
      <c r="D2" s="27" t="inlineStr">
        <is>
          <t>GCG Grand Cayman</t>
        </is>
      </c>
      <c r="E2" s="27" t="inlineStr">
        <is>
          <t>GCG Aviation Ground Jamaica</t>
        </is>
      </c>
      <c r="F2" s="27" t="inlineStr">
        <is>
          <t>GCG Jamaica</t>
        </is>
      </c>
      <c r="G2" s="27" t="inlineStr">
        <is>
          <t>GCG Aviation Ground Saint Lucia</t>
        </is>
      </c>
      <c r="H2" s="27" t="inlineStr">
        <is>
          <t>GCG Saint Lucia</t>
        </is>
      </c>
      <c r="I2" s="27" t="inlineStr">
        <is>
          <t>GCG Ground Saint Thomas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IF(JAN!C5="","",JAN!C5)</f>
        <v/>
      </c>
      <c r="D31" s="11">
        <f>IF(JAN!D5="","",JAN!D5)</f>
        <v/>
      </c>
      <c r="E31" s="11">
        <f>IF(JAN!E5="","",JAN!E5)</f>
        <v/>
      </c>
      <c r="F31" s="11">
        <f>IF(JAN!F5="","",JAN!F5)</f>
        <v/>
      </c>
      <c r="G31" s="11">
        <f>IF(JAN!G5="","",JAN!G5)</f>
        <v/>
      </c>
      <c r="H31" s="11">
        <f>IF(JAN!H5="","",JAN!H5)</f>
        <v/>
      </c>
      <c r="I31" s="11">
        <f>IF(JAN!I5="","",JAN!I5)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IF('(GCG_ATG)'!$AB$8="","",'(GCG_ATG)'!$AB$8)</f>
        <v/>
      </c>
      <c r="D39" s="14">
        <f>IF('(GCG_GCM)'!$AB$8="","",'(GCG_GCM)'!$AB$8)</f>
        <v/>
      </c>
      <c r="E39" s="14">
        <f>IF('(Ground_JAM)'!$AB$8="","",'(Ground_JAM)'!$AB$8)</f>
        <v/>
      </c>
      <c r="F39" s="14">
        <f>IF('(GCG_JAM)'!$AB$8="","",'(GCG_JAM)'!$AB$8)</f>
        <v/>
      </c>
      <c r="G39" s="14">
        <f>IF('(Ground_LCA)'!$AB$8="","",'(Ground_LCA)'!$AB$8)</f>
        <v/>
      </c>
      <c r="H39" s="14">
        <f>IF('(GCG_LCA)'!$AB$8="","",'(GCG_LCA)'!$AB$8)</f>
        <v/>
      </c>
      <c r="I39" s="14">
        <f>IF('(Ground_STT)'!$AB$8="","",'(Ground_STT)'!$AB$8)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IF('(GCG_ATG)'!$AD$8="","",'(GCG_ATG)'!$AD$8)</f>
        <v/>
      </c>
      <c r="D40" s="14">
        <f>IF('(GCG_GCM)'!$AD$8="","",'(GCG_GCM)'!$AD$8)</f>
        <v/>
      </c>
      <c r="E40" s="14">
        <f>IF('(Ground_JAM)'!$AD$8="","",'(Ground_JAM)'!$AD$8)</f>
        <v/>
      </c>
      <c r="F40" s="14">
        <f>IF('(GCG_JAM)'!$AD$8="","",'(GCG_JAM)'!$AD$8)</f>
        <v/>
      </c>
      <c r="G40" s="14">
        <f>IF('(Ground_LCA)'!$AD$8="","",'(Ground_LCA)'!$AD$8)</f>
        <v/>
      </c>
      <c r="H40" s="14">
        <f>IF('(GCG_LCA)'!$AD$8="","",'(GCG_LCA)'!$AD$8)</f>
        <v/>
      </c>
      <c r="I40" s="14">
        <f>IF('(Ground_STT)'!$AD$8="","",'(Ground_STT)'!$AD$8)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IF('(GCG_ATG)'!$G$8="","",'(GCG_ATG)'!$G$8)</f>
        <v/>
      </c>
      <c r="D46" s="19">
        <f>IF('(GCG_GCM)'!$G$8="","",'(GCG_GCM)'!$G$8)</f>
        <v/>
      </c>
      <c r="E46" s="19">
        <f>IF('(Ground_JAM)'!$G$8="","",'(Ground_JAM)'!$G$8)</f>
        <v/>
      </c>
      <c r="F46" s="19">
        <f>IF('(GCG_JAM)'!$G$8="","",'(GCG_JAM)'!$G$8)</f>
        <v/>
      </c>
      <c r="G46" s="19">
        <f>IF('(Ground_LCA)'!$G$8="","",'(Ground_LCA)'!$G$8)</f>
        <v/>
      </c>
      <c r="H46" s="19">
        <f>IF('(GCG_LCA)'!$G$8="","",'(GCG_LCA)'!$G$8)</f>
        <v/>
      </c>
      <c r="I46" s="19">
        <f>IF('(Ground_STT)'!$G$8="","",'(Ground_STT)'!$G$8)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IF('(GCG_ATG)'!$O$8="","",'(GCG_ATG)'!$O$8)</f>
        <v/>
      </c>
      <c r="D47" s="19">
        <f>IF('(GCG_GCM)'!$O$8="","",'(GCG_GCM)'!$O$8)</f>
        <v/>
      </c>
      <c r="E47" s="19">
        <f>IF('(Ground_JAM)'!$O$8="","",'(Ground_JAM)'!$O$8)</f>
        <v/>
      </c>
      <c r="F47" s="19">
        <f>IF('(GCG_JAM)'!$O$8="","",'(GCG_JAM)'!$O$8)</f>
        <v/>
      </c>
      <c r="G47" s="19">
        <f>IF('(Ground_LCA)'!$O$8="","",'(Ground_LCA)'!$O$8)</f>
        <v/>
      </c>
      <c r="H47" s="19">
        <f>IF('(GCG_LCA)'!$O$8="","",'(GCG_LCA)'!$O$8)</f>
        <v/>
      </c>
      <c r="I47" s="19">
        <f>IF('(Ground_STT)'!$O$8="","",'(Ground_STT)'!$O$8)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NORTH CARIBBEAN</t>
        </is>
      </c>
      <c r="C1" s="26" t="inlineStr">
        <is>
          <t>1062</t>
        </is>
      </c>
      <c r="D1" s="26" t="inlineStr">
        <is>
          <t>1075</t>
        </is>
      </c>
      <c r="E1" s="26" t="inlineStr">
        <is>
          <t>1044</t>
        </is>
      </c>
      <c r="F1" s="26" t="inlineStr">
        <is>
          <t>1066</t>
        </is>
      </c>
      <c r="G1" s="26" t="inlineStr">
        <is>
          <t>1158</t>
        </is>
      </c>
      <c r="H1" s="26" t="inlineStr">
        <is>
          <t>1067</t>
        </is>
      </c>
      <c r="I1" s="26" t="inlineStr">
        <is>
          <t>1046</t>
        </is>
      </c>
      <c r="J1" s="3" t="n"/>
      <c r="K1" s="3" t="n"/>
      <c r="L1" s="3" t="n"/>
    </row>
    <row r="2" ht="72" customHeight="1">
      <c r="A2" s="4">
        <f>VALUE(TEXT(EDATE(DATE(LEFT(FEB!A2,4),RIGHT(FEB!A2,2),1),1),"yyyymm"))</f>
        <v/>
      </c>
      <c r="B2" s="5" t="inlineStr">
        <is>
          <t>MAR</t>
        </is>
      </c>
      <c r="C2" s="27" t="inlineStr">
        <is>
          <t>GCG Antigua</t>
        </is>
      </c>
      <c r="D2" s="27" t="inlineStr">
        <is>
          <t>GCG Grand Cayman</t>
        </is>
      </c>
      <c r="E2" s="27" t="inlineStr">
        <is>
          <t>GCG Aviation Ground Jamaica</t>
        </is>
      </c>
      <c r="F2" s="27" t="inlineStr">
        <is>
          <t>GCG Jamaica</t>
        </is>
      </c>
      <c r="G2" s="27" t="inlineStr">
        <is>
          <t>GCG Aviation Ground Saint Lucia</t>
        </is>
      </c>
      <c r="H2" s="27" t="inlineStr">
        <is>
          <t>GCG Saint Lucia</t>
        </is>
      </c>
      <c r="I2" s="27" t="inlineStr">
        <is>
          <t>GCG Ground Saint Thomas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IF(FEB!C5="","",FEB!C5)</f>
        <v/>
      </c>
      <c r="D31" s="11">
        <f>IF(FEB!D5="","",FEB!D5)</f>
        <v/>
      </c>
      <c r="E31" s="11">
        <f>IF(FEB!E5="","",FEB!E5)</f>
        <v/>
      </c>
      <c r="F31" s="11">
        <f>IF(FEB!F5="","",FEB!F5)</f>
        <v/>
      </c>
      <c r="G31" s="11">
        <f>IF(FEB!G5="","",FEB!G5)</f>
        <v/>
      </c>
      <c r="H31" s="11">
        <f>IF(FEB!H5="","",FEB!H5)</f>
        <v/>
      </c>
      <c r="I31" s="11">
        <f>IF(FEB!I5="","",FEB!I5)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IF('(GCG_ATG)'!$AB$9="","",'(GCG_ATG)'!$AB$9)</f>
        <v/>
      </c>
      <c r="D39" s="14">
        <f>IF('(GCG_GCM)'!$AB$9="","",'(GCG_GCM)'!$AB$9)</f>
        <v/>
      </c>
      <c r="E39" s="14">
        <f>IF('(Ground_JAM)'!$AB$9="","",'(Ground_JAM)'!$AB$9)</f>
        <v/>
      </c>
      <c r="F39" s="14">
        <f>IF('(GCG_JAM)'!$AB$9="","",'(GCG_JAM)'!$AB$9)</f>
        <v/>
      </c>
      <c r="G39" s="14">
        <f>IF('(Ground_LCA)'!$AB$9="","",'(Ground_LCA)'!$AB$9)</f>
        <v/>
      </c>
      <c r="H39" s="14">
        <f>IF('(GCG_LCA)'!$AB$9="","",'(GCG_LCA)'!$AB$9)</f>
        <v/>
      </c>
      <c r="I39" s="14">
        <f>IF('(Ground_STT)'!$AB$9="","",'(Ground_STT)'!$AB$9)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IF('(GCG_ATG)'!$AD$9="","",'(GCG_ATG)'!$AD$9)</f>
        <v/>
      </c>
      <c r="D40" s="14">
        <f>IF('(GCG_GCM)'!$AD$9="","",'(GCG_GCM)'!$AD$9)</f>
        <v/>
      </c>
      <c r="E40" s="14">
        <f>IF('(Ground_JAM)'!$AD$9="","",'(Ground_JAM)'!$AD$9)</f>
        <v/>
      </c>
      <c r="F40" s="14">
        <f>IF('(GCG_JAM)'!$AD$9="","",'(GCG_JAM)'!$AD$9)</f>
        <v/>
      </c>
      <c r="G40" s="14">
        <f>IF('(Ground_LCA)'!$AD$9="","",'(Ground_LCA)'!$AD$9)</f>
        <v/>
      </c>
      <c r="H40" s="14">
        <f>IF('(GCG_LCA)'!$AD$9="","",'(GCG_LCA)'!$AD$9)</f>
        <v/>
      </c>
      <c r="I40" s="14">
        <f>IF('(Ground_STT)'!$AD$9="","",'(Ground_STT)'!$AD$9)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IF('(GCG_ATG)'!$G$9="","",'(GCG_ATG)'!$G$9)</f>
        <v/>
      </c>
      <c r="D46" s="19">
        <f>IF('(GCG_GCM)'!$G$9="","",'(GCG_GCM)'!$G$9)</f>
        <v/>
      </c>
      <c r="E46" s="19">
        <f>IF('(Ground_JAM)'!$G$9="","",'(Ground_JAM)'!$G$9)</f>
        <v/>
      </c>
      <c r="F46" s="19">
        <f>IF('(GCG_JAM)'!$G$9="","",'(GCG_JAM)'!$G$9)</f>
        <v/>
      </c>
      <c r="G46" s="19">
        <f>IF('(Ground_LCA)'!$G$9="","",'(Ground_LCA)'!$G$9)</f>
        <v/>
      </c>
      <c r="H46" s="19">
        <f>IF('(GCG_LCA)'!$G$9="","",'(GCG_LCA)'!$G$9)</f>
        <v/>
      </c>
      <c r="I46" s="19">
        <f>IF('(Ground_STT)'!$G$9="","",'(Ground_STT)'!$G$9)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IF('(GCG_ATG)'!$O$9="","",'(GCG_ATG)'!$O$9)</f>
        <v/>
      </c>
      <c r="D47" s="19">
        <f>IF('(GCG_GCM)'!$O$9="","",'(GCG_GCM)'!$O$9)</f>
        <v/>
      </c>
      <c r="E47" s="19">
        <f>IF('(Ground_JAM)'!$O$9="","",'(Ground_JAM)'!$O$9)</f>
        <v/>
      </c>
      <c r="F47" s="19">
        <f>IF('(GCG_JAM)'!$O$9="","",'(GCG_JAM)'!$O$9)</f>
        <v/>
      </c>
      <c r="G47" s="19">
        <f>IF('(Ground_LCA)'!$O$9="","",'(Ground_LCA)'!$O$9)</f>
        <v/>
      </c>
      <c r="H47" s="19">
        <f>IF('(GCG_LCA)'!$O$9="","",'(GCG_LCA)'!$O$9)</f>
        <v/>
      </c>
      <c r="I47" s="19">
        <f>IF('(Ground_STT)'!$O$9="","",'(Ground_STT)'!$O$9)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NORTH CARIBBEAN</t>
        </is>
      </c>
      <c r="C1" s="26" t="inlineStr">
        <is>
          <t>1062</t>
        </is>
      </c>
      <c r="D1" s="26" t="inlineStr">
        <is>
          <t>1075</t>
        </is>
      </c>
      <c r="E1" s="26" t="inlineStr">
        <is>
          <t>1044</t>
        </is>
      </c>
      <c r="F1" s="26" t="inlineStr">
        <is>
          <t>1066</t>
        </is>
      </c>
      <c r="G1" s="26" t="inlineStr">
        <is>
          <t>1158</t>
        </is>
      </c>
      <c r="H1" s="26" t="inlineStr">
        <is>
          <t>1067</t>
        </is>
      </c>
      <c r="I1" s="26" t="inlineStr">
        <is>
          <t>1046</t>
        </is>
      </c>
      <c r="J1" s="3" t="n"/>
      <c r="K1" s="3" t="n"/>
      <c r="L1" s="3" t="n"/>
    </row>
    <row r="2" ht="72" customHeight="1">
      <c r="A2" s="4">
        <f>VALUE(TEXT(EDATE(DATE(LEFT(MAR!A2,4),RIGHT(MAR!A2,2),1),1),"yyyymm"))</f>
        <v/>
      </c>
      <c r="B2" s="5" t="inlineStr">
        <is>
          <t>APR</t>
        </is>
      </c>
      <c r="C2" s="27" t="inlineStr">
        <is>
          <t>GCG Antigua</t>
        </is>
      </c>
      <c r="D2" s="27" t="inlineStr">
        <is>
          <t>GCG Grand Cayman</t>
        </is>
      </c>
      <c r="E2" s="27" t="inlineStr">
        <is>
          <t>GCG Aviation Ground Jamaica</t>
        </is>
      </c>
      <c r="F2" s="27" t="inlineStr">
        <is>
          <t>GCG Jamaica</t>
        </is>
      </c>
      <c r="G2" s="27" t="inlineStr">
        <is>
          <t>GCG Aviation Ground Saint Lucia</t>
        </is>
      </c>
      <c r="H2" s="27" t="inlineStr">
        <is>
          <t>GCG Saint Lucia</t>
        </is>
      </c>
      <c r="I2" s="27" t="inlineStr">
        <is>
          <t>GCG Ground Saint Thomas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IF(MAR!C5="","",MAR!C5)</f>
        <v/>
      </c>
      <c r="D31" s="11">
        <f>IF(MAR!D5="","",MAR!D5)</f>
        <v/>
      </c>
      <c r="E31" s="11">
        <f>IF(MAR!E5="","",MAR!E5)</f>
        <v/>
      </c>
      <c r="F31" s="11">
        <f>IF(MAR!F5="","",MAR!F5)</f>
        <v/>
      </c>
      <c r="G31" s="11">
        <f>IF(MAR!G5="","",MAR!G5)</f>
        <v/>
      </c>
      <c r="H31" s="11">
        <f>IF(MAR!H5="","",MAR!H5)</f>
        <v/>
      </c>
      <c r="I31" s="11">
        <f>IF(MAR!I5="","",MAR!I5)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IF('(GCG_ATG)'!$AB$10="","",'(GCG_ATG)'!$AB$10)</f>
        <v/>
      </c>
      <c r="D39" s="14">
        <f>IF('(GCG_GCM)'!$AB$10="","",'(GCG_GCM)'!$AB$10)</f>
        <v/>
      </c>
      <c r="E39" s="14">
        <f>IF('(Ground_JAM)'!$AB$10="","",'(Ground_JAM)'!$AB$10)</f>
        <v/>
      </c>
      <c r="F39" s="14">
        <f>IF('(GCG_JAM)'!$AB$10="","",'(GCG_JAM)'!$AB$10)</f>
        <v/>
      </c>
      <c r="G39" s="14">
        <f>IF('(Ground_LCA)'!$AB$10="","",'(Ground_LCA)'!$AB$10)</f>
        <v/>
      </c>
      <c r="H39" s="14">
        <f>IF('(GCG_LCA)'!$AB$10="","",'(GCG_LCA)'!$AB$10)</f>
        <v/>
      </c>
      <c r="I39" s="14">
        <f>IF('(Ground_STT)'!$AB$10="","",'(Ground_STT)'!$AB$10)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IF('(GCG_ATG)'!$AD$10="","",'(GCG_ATG)'!$AD$10)</f>
        <v/>
      </c>
      <c r="D40" s="14">
        <f>IF('(GCG_GCM)'!$AD$10="","",'(GCG_GCM)'!$AD$10)</f>
        <v/>
      </c>
      <c r="E40" s="14">
        <f>IF('(Ground_JAM)'!$AD$10="","",'(Ground_JAM)'!$AD$10)</f>
        <v/>
      </c>
      <c r="F40" s="14">
        <f>IF('(GCG_JAM)'!$AD$10="","",'(GCG_JAM)'!$AD$10)</f>
        <v/>
      </c>
      <c r="G40" s="14">
        <f>IF('(Ground_LCA)'!$AD$10="","",'(Ground_LCA)'!$AD$10)</f>
        <v/>
      </c>
      <c r="H40" s="14">
        <f>IF('(GCG_LCA)'!$AD$10="","",'(GCG_LCA)'!$AD$10)</f>
        <v/>
      </c>
      <c r="I40" s="14">
        <f>IF('(Ground_STT)'!$AD$10="","",'(Ground_STT)'!$AD$10)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IF('(GCG_ATG)'!$G$10="","",'(GCG_ATG)'!$G$10)</f>
        <v/>
      </c>
      <c r="D46" s="19">
        <f>IF('(GCG_GCM)'!$G$10="","",'(GCG_GCM)'!$G$10)</f>
        <v/>
      </c>
      <c r="E46" s="19">
        <f>IF('(Ground_JAM)'!$G$10="","",'(Ground_JAM)'!$G$10)</f>
        <v/>
      </c>
      <c r="F46" s="19">
        <f>IF('(GCG_JAM)'!$G$10="","",'(GCG_JAM)'!$G$10)</f>
        <v/>
      </c>
      <c r="G46" s="19">
        <f>IF('(Ground_LCA)'!$G$10="","",'(Ground_LCA)'!$G$10)</f>
        <v/>
      </c>
      <c r="H46" s="19">
        <f>IF('(GCG_LCA)'!$G$10="","",'(GCG_LCA)'!$G$10)</f>
        <v/>
      </c>
      <c r="I46" s="19">
        <f>IF('(Ground_STT)'!$G$10="","",'(Ground_STT)'!$G$10)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IF('(GCG_ATG)'!$O$10="","",'(GCG_ATG)'!$O$10)</f>
        <v/>
      </c>
      <c r="D47" s="19">
        <f>IF('(GCG_GCM)'!$O$10="","",'(GCG_GCM)'!$O$10)</f>
        <v/>
      </c>
      <c r="E47" s="19">
        <f>IF('(Ground_JAM)'!$O$10="","",'(Ground_JAM)'!$O$10)</f>
        <v/>
      </c>
      <c r="F47" s="19">
        <f>IF('(GCG_JAM)'!$O$10="","",'(GCG_JAM)'!$O$10)</f>
        <v/>
      </c>
      <c r="G47" s="19">
        <f>IF('(Ground_LCA)'!$O$10="","",'(Ground_LCA)'!$O$10)</f>
        <v/>
      </c>
      <c r="H47" s="19">
        <f>IF('(GCG_LCA)'!$O$10="","",'(GCG_LCA)'!$O$10)</f>
        <v/>
      </c>
      <c r="I47" s="19">
        <f>IF('(Ground_STT)'!$O$10="","",'(Ground_STT)'!$O$10)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NORTH CARIBBEAN</t>
        </is>
      </c>
      <c r="C1" s="26" t="inlineStr">
        <is>
          <t>1062</t>
        </is>
      </c>
      <c r="D1" s="26" t="inlineStr">
        <is>
          <t>1075</t>
        </is>
      </c>
      <c r="E1" s="26" t="inlineStr">
        <is>
          <t>1044</t>
        </is>
      </c>
      <c r="F1" s="26" t="inlineStr">
        <is>
          <t>1066</t>
        </is>
      </c>
      <c r="G1" s="26" t="inlineStr">
        <is>
          <t>1158</t>
        </is>
      </c>
      <c r="H1" s="26" t="inlineStr">
        <is>
          <t>1067</t>
        </is>
      </c>
      <c r="I1" s="26" t="inlineStr">
        <is>
          <t>1046</t>
        </is>
      </c>
      <c r="J1" s="3" t="n"/>
      <c r="K1" s="3" t="n"/>
      <c r="L1" s="3" t="n"/>
    </row>
    <row r="2" ht="72" customHeight="1">
      <c r="A2" s="4">
        <f>VALUE(TEXT(EDATE(DATE(LEFT(APR!A2,4),RIGHT(APR!A2,2),1),1),"yyyymm"))</f>
        <v/>
      </c>
      <c r="B2" s="5" t="inlineStr">
        <is>
          <t>MAY</t>
        </is>
      </c>
      <c r="C2" s="27" t="inlineStr">
        <is>
          <t>GCG Antigua</t>
        </is>
      </c>
      <c r="D2" s="27" t="inlineStr">
        <is>
          <t>GCG Grand Cayman</t>
        </is>
      </c>
      <c r="E2" s="27" t="inlineStr">
        <is>
          <t>GCG Aviation Ground Jamaica</t>
        </is>
      </c>
      <c r="F2" s="27" t="inlineStr">
        <is>
          <t>GCG Jamaica</t>
        </is>
      </c>
      <c r="G2" s="27" t="inlineStr">
        <is>
          <t>GCG Aviation Ground Saint Lucia</t>
        </is>
      </c>
      <c r="H2" s="27" t="inlineStr">
        <is>
          <t>GCG Saint Lucia</t>
        </is>
      </c>
      <c r="I2" s="27" t="inlineStr">
        <is>
          <t>GCG Ground Saint Thomas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IF(APR!C5="","",APR!C5)</f>
        <v/>
      </c>
      <c r="D31" s="11">
        <f>IF(APR!D5="","",APR!D5)</f>
        <v/>
      </c>
      <c r="E31" s="11">
        <f>IF(APR!E5="","",APR!E5)</f>
        <v/>
      </c>
      <c r="F31" s="11">
        <f>IF(APR!F5="","",APR!F5)</f>
        <v/>
      </c>
      <c r="G31" s="11">
        <f>IF(APR!G5="","",APR!G5)</f>
        <v/>
      </c>
      <c r="H31" s="11">
        <f>IF(APR!H5="","",APR!H5)</f>
        <v/>
      </c>
      <c r="I31" s="11">
        <f>IF(APR!I5="","",APR!I5)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IF('(GCG_ATG)'!$AB$11="","",'(GCG_ATG)'!$AB$11)</f>
        <v/>
      </c>
      <c r="D39" s="14">
        <f>IF('(GCG_GCM)'!$AB$11="","",'(GCG_GCM)'!$AB$11)</f>
        <v/>
      </c>
      <c r="E39" s="14">
        <f>IF('(Ground_JAM)'!$AB$11="","",'(Ground_JAM)'!$AB$11)</f>
        <v/>
      </c>
      <c r="F39" s="14">
        <f>IF('(GCG_JAM)'!$AB$11="","",'(GCG_JAM)'!$AB$11)</f>
        <v/>
      </c>
      <c r="G39" s="14">
        <f>IF('(Ground_LCA)'!$AB$11="","",'(Ground_LCA)'!$AB$11)</f>
        <v/>
      </c>
      <c r="H39" s="14">
        <f>IF('(GCG_LCA)'!$AB$11="","",'(GCG_LCA)'!$AB$11)</f>
        <v/>
      </c>
      <c r="I39" s="14">
        <f>IF('(Ground_STT)'!$AB$11="","",'(Ground_STT)'!$AB$11)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IF('(GCG_ATG)'!$AD$11="","",'(GCG_ATG)'!$AD$11)</f>
        <v/>
      </c>
      <c r="D40" s="14">
        <f>IF('(GCG_GCM)'!$AD$11="","",'(GCG_GCM)'!$AD$11)</f>
        <v/>
      </c>
      <c r="E40" s="14">
        <f>IF('(Ground_JAM)'!$AD$11="","",'(Ground_JAM)'!$AD$11)</f>
        <v/>
      </c>
      <c r="F40" s="14">
        <f>IF('(GCG_JAM)'!$AD$11="","",'(GCG_JAM)'!$AD$11)</f>
        <v/>
      </c>
      <c r="G40" s="14">
        <f>IF('(Ground_LCA)'!$AD$11="","",'(Ground_LCA)'!$AD$11)</f>
        <v/>
      </c>
      <c r="H40" s="14">
        <f>IF('(GCG_LCA)'!$AD$11="","",'(GCG_LCA)'!$AD$11)</f>
        <v/>
      </c>
      <c r="I40" s="14">
        <f>IF('(Ground_STT)'!$AD$11="","",'(Ground_STT)'!$AD$11)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IF('(GCG_ATG)'!$G$11="","",'(GCG_ATG)'!$G$11)</f>
        <v/>
      </c>
      <c r="D46" s="19">
        <f>IF('(GCG_GCM)'!$G$11="","",'(GCG_GCM)'!$G$11)</f>
        <v/>
      </c>
      <c r="E46" s="19">
        <f>IF('(Ground_JAM)'!$G$11="","",'(Ground_JAM)'!$G$11)</f>
        <v/>
      </c>
      <c r="F46" s="19">
        <f>IF('(GCG_JAM)'!$G$11="","",'(GCG_JAM)'!$G$11)</f>
        <v/>
      </c>
      <c r="G46" s="19">
        <f>IF('(Ground_LCA)'!$G$11="","",'(Ground_LCA)'!$G$11)</f>
        <v/>
      </c>
      <c r="H46" s="19">
        <f>IF('(GCG_LCA)'!$G$11="","",'(GCG_LCA)'!$G$11)</f>
        <v/>
      </c>
      <c r="I46" s="19">
        <f>IF('(Ground_STT)'!$G$11="","",'(Ground_STT)'!$G$11)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IF('(GCG_ATG)'!$O$11="","",'(GCG_ATG)'!$O$11)</f>
        <v/>
      </c>
      <c r="D47" s="19">
        <f>IF('(GCG_GCM)'!$O$11="","",'(GCG_GCM)'!$O$11)</f>
        <v/>
      </c>
      <c r="E47" s="19">
        <f>IF('(Ground_JAM)'!$O$11="","",'(Ground_JAM)'!$O$11)</f>
        <v/>
      </c>
      <c r="F47" s="19">
        <f>IF('(GCG_JAM)'!$O$11="","",'(GCG_JAM)'!$O$11)</f>
        <v/>
      </c>
      <c r="G47" s="19">
        <f>IF('(Ground_LCA)'!$O$11="","",'(Ground_LCA)'!$O$11)</f>
        <v/>
      </c>
      <c r="H47" s="19">
        <f>IF('(GCG_LCA)'!$O$11="","",'(GCG_LCA)'!$O$11)</f>
        <v/>
      </c>
      <c r="I47" s="19">
        <f>IF('(Ground_STT)'!$O$11="","",'(Ground_STT)'!$O$11)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NORTH CARIBBEAN</t>
        </is>
      </c>
      <c r="C1" s="26" t="inlineStr">
        <is>
          <t>1062</t>
        </is>
      </c>
      <c r="D1" s="26" t="inlineStr">
        <is>
          <t>1075</t>
        </is>
      </c>
      <c r="E1" s="26" t="inlineStr">
        <is>
          <t>1044</t>
        </is>
      </c>
      <c r="F1" s="26" t="inlineStr">
        <is>
          <t>1066</t>
        </is>
      </c>
      <c r="G1" s="26" t="inlineStr">
        <is>
          <t>1158</t>
        </is>
      </c>
      <c r="H1" s="26" t="inlineStr">
        <is>
          <t>1067</t>
        </is>
      </c>
      <c r="I1" s="26" t="inlineStr">
        <is>
          <t>1046</t>
        </is>
      </c>
      <c r="J1" s="3" t="n"/>
      <c r="K1" s="3" t="n"/>
      <c r="L1" s="3" t="n"/>
    </row>
    <row r="2" ht="72" customHeight="1">
      <c r="A2" s="4">
        <f>VALUE(TEXT(EDATE(DATE(LEFT(MAY!A2,4),RIGHT(MAY!A2,2),1),1),"yyyymm"))</f>
        <v/>
      </c>
      <c r="B2" s="5" t="inlineStr">
        <is>
          <t>JUN</t>
        </is>
      </c>
      <c r="C2" s="27" t="inlineStr">
        <is>
          <t>GCG Antigua</t>
        </is>
      </c>
      <c r="D2" s="27" t="inlineStr">
        <is>
          <t>GCG Grand Cayman</t>
        </is>
      </c>
      <c r="E2" s="27" t="inlineStr">
        <is>
          <t>GCG Aviation Ground Jamaica</t>
        </is>
      </c>
      <c r="F2" s="27" t="inlineStr">
        <is>
          <t>GCG Jamaica</t>
        </is>
      </c>
      <c r="G2" s="27" t="inlineStr">
        <is>
          <t>GCG Aviation Ground Saint Lucia</t>
        </is>
      </c>
      <c r="H2" s="27" t="inlineStr">
        <is>
          <t>GCG Saint Lucia</t>
        </is>
      </c>
      <c r="I2" s="27" t="inlineStr">
        <is>
          <t>GCG Ground Saint Thomas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IF(MAY!C5="","",MAY!C5)</f>
        <v/>
      </c>
      <c r="D31" s="11">
        <f>IF(MAY!D5="","",MAY!D5)</f>
        <v/>
      </c>
      <c r="E31" s="11">
        <f>IF(MAY!E5="","",MAY!E5)</f>
        <v/>
      </c>
      <c r="F31" s="11">
        <f>IF(MAY!F5="","",MAY!F5)</f>
        <v/>
      </c>
      <c r="G31" s="11">
        <f>IF(MAY!G5="","",MAY!G5)</f>
        <v/>
      </c>
      <c r="H31" s="11">
        <f>IF(MAY!H5="","",MAY!H5)</f>
        <v/>
      </c>
      <c r="I31" s="11">
        <f>IF(MAY!I5="","",MAY!I5)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IF('(GCG_ATG)'!$AB$12="","",'(GCG_ATG)'!$AB$12)</f>
        <v/>
      </c>
      <c r="D39" s="14">
        <f>IF('(GCG_GCM)'!$AB$12="","",'(GCG_GCM)'!$AB$12)</f>
        <v/>
      </c>
      <c r="E39" s="14">
        <f>IF('(Ground_JAM)'!$AB$12="","",'(Ground_JAM)'!$AB$12)</f>
        <v/>
      </c>
      <c r="F39" s="14">
        <f>IF('(GCG_JAM)'!$AB$12="","",'(GCG_JAM)'!$AB$12)</f>
        <v/>
      </c>
      <c r="G39" s="14">
        <f>IF('(Ground_LCA)'!$AB$12="","",'(Ground_LCA)'!$AB$12)</f>
        <v/>
      </c>
      <c r="H39" s="14">
        <f>IF('(GCG_LCA)'!$AB$12="","",'(GCG_LCA)'!$AB$12)</f>
        <v/>
      </c>
      <c r="I39" s="14">
        <f>IF('(Ground_STT)'!$AB$12="","",'(Ground_STT)'!$AB$12)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IF('(GCG_ATG)'!$AD$12="","",'(GCG_ATG)'!$AD$12)</f>
        <v/>
      </c>
      <c r="D40" s="14">
        <f>IF('(GCG_GCM)'!$AD$12="","",'(GCG_GCM)'!$AD$12)</f>
        <v/>
      </c>
      <c r="E40" s="14">
        <f>IF('(Ground_JAM)'!$AD$12="","",'(Ground_JAM)'!$AD$12)</f>
        <v/>
      </c>
      <c r="F40" s="14">
        <f>IF('(GCG_JAM)'!$AD$12="","",'(GCG_JAM)'!$AD$12)</f>
        <v/>
      </c>
      <c r="G40" s="14">
        <f>IF('(Ground_LCA)'!$AD$12="","",'(Ground_LCA)'!$AD$12)</f>
        <v/>
      </c>
      <c r="H40" s="14">
        <f>IF('(GCG_LCA)'!$AD$12="","",'(GCG_LCA)'!$AD$12)</f>
        <v/>
      </c>
      <c r="I40" s="14">
        <f>IF('(Ground_STT)'!$AD$12="","",'(Ground_STT)'!$AD$12)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IF('(GCG_ATG)'!$G$12="","",'(GCG_ATG)'!$G$12)</f>
        <v/>
      </c>
      <c r="D46" s="19">
        <f>IF('(GCG_GCM)'!$G$12="","",'(GCG_GCM)'!$G$12)</f>
        <v/>
      </c>
      <c r="E46" s="19">
        <f>IF('(Ground_JAM)'!$G$12="","",'(Ground_JAM)'!$G$12)</f>
        <v/>
      </c>
      <c r="F46" s="19">
        <f>IF('(GCG_JAM)'!$G$12="","",'(GCG_JAM)'!$G$12)</f>
        <v/>
      </c>
      <c r="G46" s="19">
        <f>IF('(Ground_LCA)'!$G$12="","",'(Ground_LCA)'!$G$12)</f>
        <v/>
      </c>
      <c r="H46" s="19">
        <f>IF('(GCG_LCA)'!$G$12="","",'(GCG_LCA)'!$G$12)</f>
        <v/>
      </c>
      <c r="I46" s="19">
        <f>IF('(Ground_STT)'!$G$12="","",'(Ground_STT)'!$G$12)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IF('(GCG_ATG)'!$O$12="","",'(GCG_ATG)'!$O$12)</f>
        <v/>
      </c>
      <c r="D47" s="19">
        <f>IF('(GCG_GCM)'!$O$12="","",'(GCG_GCM)'!$O$12)</f>
        <v/>
      </c>
      <c r="E47" s="19">
        <f>IF('(Ground_JAM)'!$O$12="","",'(Ground_JAM)'!$O$12)</f>
        <v/>
      </c>
      <c r="F47" s="19">
        <f>IF('(GCG_JAM)'!$O$12="","",'(GCG_JAM)'!$O$12)</f>
        <v/>
      </c>
      <c r="G47" s="19">
        <f>IF('(Ground_LCA)'!$O$12="","",'(Ground_LCA)'!$O$12)</f>
        <v/>
      </c>
      <c r="H47" s="19">
        <f>IF('(GCG_LCA)'!$O$12="","",'(GCG_LCA)'!$O$12)</f>
        <v/>
      </c>
      <c r="I47" s="19">
        <f>IF('(Ground_STT)'!$O$12="","",'(Ground_STT)'!$O$12)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NORTH CARIBBEAN</t>
        </is>
      </c>
      <c r="C1" s="26" t="inlineStr">
        <is>
          <t>1062</t>
        </is>
      </c>
      <c r="D1" s="26" t="inlineStr">
        <is>
          <t>1075</t>
        </is>
      </c>
      <c r="E1" s="26" t="inlineStr">
        <is>
          <t>1044</t>
        </is>
      </c>
      <c r="F1" s="26" t="inlineStr">
        <is>
          <t>1066</t>
        </is>
      </c>
      <c r="G1" s="26" t="inlineStr">
        <is>
          <t>1158</t>
        </is>
      </c>
      <c r="H1" s="26" t="inlineStr">
        <is>
          <t>1067</t>
        </is>
      </c>
      <c r="I1" s="26" t="inlineStr">
        <is>
          <t>1046</t>
        </is>
      </c>
      <c r="J1" s="3" t="n"/>
      <c r="K1" s="3" t="n"/>
      <c r="L1" s="3" t="n"/>
    </row>
    <row r="2" ht="72" customHeight="1">
      <c r="A2" s="4">
        <f>VALUE(TEXT(EDATE(DATE(LEFT(JUN!A2,4),RIGHT(JUN!A2,2),1),1),"yyyymm"))</f>
        <v/>
      </c>
      <c r="B2" s="5" t="inlineStr">
        <is>
          <t>JUL</t>
        </is>
      </c>
      <c r="C2" s="27" t="inlineStr">
        <is>
          <t>GCG Antigua</t>
        </is>
      </c>
      <c r="D2" s="27" t="inlineStr">
        <is>
          <t>GCG Grand Cayman</t>
        </is>
      </c>
      <c r="E2" s="27" t="inlineStr">
        <is>
          <t>GCG Aviation Ground Jamaica</t>
        </is>
      </c>
      <c r="F2" s="27" t="inlineStr">
        <is>
          <t>GCG Jamaica</t>
        </is>
      </c>
      <c r="G2" s="27" t="inlineStr">
        <is>
          <t>GCG Aviation Ground Saint Lucia</t>
        </is>
      </c>
      <c r="H2" s="27" t="inlineStr">
        <is>
          <t>GCG Saint Lucia</t>
        </is>
      </c>
      <c r="I2" s="27" t="inlineStr">
        <is>
          <t>GCG Ground Saint Thomas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IF(JUN!C5="","",JUN!C5)</f>
        <v/>
      </c>
      <c r="D31" s="11">
        <f>IF(JUN!D5="","",JUN!D5)</f>
        <v/>
      </c>
      <c r="E31" s="11">
        <f>IF(JUN!E5="","",JUN!E5)</f>
        <v/>
      </c>
      <c r="F31" s="11">
        <f>IF(JUN!F5="","",JUN!F5)</f>
        <v/>
      </c>
      <c r="G31" s="11">
        <f>IF(JUN!G5="","",JUN!G5)</f>
        <v/>
      </c>
      <c r="H31" s="11">
        <f>IF(JUN!H5="","",JUN!H5)</f>
        <v/>
      </c>
      <c r="I31" s="11">
        <f>IF(JUN!I5="","",JUN!I5)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IF('(GCG_ATG)'!$AB$13="","",'(GCG_ATG)'!$AB$13)</f>
        <v/>
      </c>
      <c r="D39" s="14">
        <f>IF('(GCG_GCM)'!$AB$13="","",'(GCG_GCM)'!$AB$13)</f>
        <v/>
      </c>
      <c r="E39" s="14">
        <f>IF('(Ground_JAM)'!$AB$13="","",'(Ground_JAM)'!$AB$13)</f>
        <v/>
      </c>
      <c r="F39" s="14">
        <f>IF('(GCG_JAM)'!$AB$13="","",'(GCG_JAM)'!$AB$13)</f>
        <v/>
      </c>
      <c r="G39" s="14">
        <f>IF('(Ground_LCA)'!$AB$13="","",'(Ground_LCA)'!$AB$13)</f>
        <v/>
      </c>
      <c r="H39" s="14">
        <f>IF('(GCG_LCA)'!$AB$13="","",'(GCG_LCA)'!$AB$13)</f>
        <v/>
      </c>
      <c r="I39" s="14">
        <f>IF('(Ground_STT)'!$AB$13="","",'(Ground_STT)'!$AB$13)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IF('(GCG_ATG)'!$AD$13="","",'(GCG_ATG)'!$AD$13)</f>
        <v/>
      </c>
      <c r="D40" s="14">
        <f>IF('(GCG_GCM)'!$AD$13="","",'(GCG_GCM)'!$AD$13)</f>
        <v/>
      </c>
      <c r="E40" s="14">
        <f>IF('(Ground_JAM)'!$AD$13="","",'(Ground_JAM)'!$AD$13)</f>
        <v/>
      </c>
      <c r="F40" s="14">
        <f>IF('(GCG_JAM)'!$AD$13="","",'(GCG_JAM)'!$AD$13)</f>
        <v/>
      </c>
      <c r="G40" s="14">
        <f>IF('(Ground_LCA)'!$AD$13="","",'(Ground_LCA)'!$AD$13)</f>
        <v/>
      </c>
      <c r="H40" s="14">
        <f>IF('(GCG_LCA)'!$AD$13="","",'(GCG_LCA)'!$AD$13)</f>
        <v/>
      </c>
      <c r="I40" s="14">
        <f>IF('(Ground_STT)'!$AD$13="","",'(Ground_STT)'!$AD$13)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IF('(GCG_ATG)'!$G$13="","",'(GCG_ATG)'!$G$13)</f>
        <v/>
      </c>
      <c r="D46" s="19">
        <f>IF('(GCG_GCM)'!$G$13="","",'(GCG_GCM)'!$G$13)</f>
        <v/>
      </c>
      <c r="E46" s="19">
        <f>IF('(Ground_JAM)'!$G$13="","",'(Ground_JAM)'!$G$13)</f>
        <v/>
      </c>
      <c r="F46" s="19">
        <f>IF('(GCG_JAM)'!$G$13="","",'(GCG_JAM)'!$G$13)</f>
        <v/>
      </c>
      <c r="G46" s="19">
        <f>IF('(Ground_LCA)'!$G$13="","",'(Ground_LCA)'!$G$13)</f>
        <v/>
      </c>
      <c r="H46" s="19">
        <f>IF('(GCG_LCA)'!$G$13="","",'(GCG_LCA)'!$G$13)</f>
        <v/>
      </c>
      <c r="I46" s="19">
        <f>IF('(Ground_STT)'!$G$13="","",'(Ground_STT)'!$G$13)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IF('(GCG_ATG)'!$O$13="","",'(GCG_ATG)'!$O$13)</f>
        <v/>
      </c>
      <c r="D47" s="19">
        <f>IF('(GCG_GCM)'!$O$13="","",'(GCG_GCM)'!$O$13)</f>
        <v/>
      </c>
      <c r="E47" s="19">
        <f>IF('(Ground_JAM)'!$O$13="","",'(Ground_JAM)'!$O$13)</f>
        <v/>
      </c>
      <c r="F47" s="19">
        <f>IF('(GCG_JAM)'!$O$13="","",'(GCG_JAM)'!$O$13)</f>
        <v/>
      </c>
      <c r="G47" s="19">
        <f>IF('(Ground_LCA)'!$O$13="","",'(Ground_LCA)'!$O$13)</f>
        <v/>
      </c>
      <c r="H47" s="19">
        <f>IF('(GCG_LCA)'!$O$13="","",'(GCG_LCA)'!$O$13)</f>
        <v/>
      </c>
      <c r="I47" s="19">
        <f>IF('(Ground_STT)'!$O$13="","",'(Ground_STT)'!$O$13)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NORTH CARIBBEAN</t>
        </is>
      </c>
      <c r="C1" s="26" t="inlineStr">
        <is>
          <t>1062</t>
        </is>
      </c>
      <c r="D1" s="26" t="inlineStr">
        <is>
          <t>1075</t>
        </is>
      </c>
      <c r="E1" s="26" t="inlineStr">
        <is>
          <t>1044</t>
        </is>
      </c>
      <c r="F1" s="26" t="inlineStr">
        <is>
          <t>1066</t>
        </is>
      </c>
      <c r="G1" s="26" t="inlineStr">
        <is>
          <t>1158</t>
        </is>
      </c>
      <c r="H1" s="26" t="inlineStr">
        <is>
          <t>1067</t>
        </is>
      </c>
      <c r="I1" s="26" t="inlineStr">
        <is>
          <t>1046</t>
        </is>
      </c>
      <c r="J1" s="3" t="n"/>
      <c r="K1" s="3" t="n"/>
      <c r="L1" s="3" t="n"/>
    </row>
    <row r="2" ht="72" customHeight="1">
      <c r="A2" s="4">
        <f>VALUE(TEXT(EDATE(DATE(LEFT(JUL!A2,4),RIGHT(JUL!A2,2),1),1),"yyyymm"))</f>
        <v/>
      </c>
      <c r="B2" s="5" t="inlineStr">
        <is>
          <t>AUG</t>
        </is>
      </c>
      <c r="C2" s="27" t="inlineStr">
        <is>
          <t>GCG Antigua</t>
        </is>
      </c>
      <c r="D2" s="27" t="inlineStr">
        <is>
          <t>GCG Grand Cayman</t>
        </is>
      </c>
      <c r="E2" s="27" t="inlineStr">
        <is>
          <t>GCG Aviation Ground Jamaica</t>
        </is>
      </c>
      <c r="F2" s="27" t="inlineStr">
        <is>
          <t>GCG Jamaica</t>
        </is>
      </c>
      <c r="G2" s="27" t="inlineStr">
        <is>
          <t>GCG Aviation Ground Saint Lucia</t>
        </is>
      </c>
      <c r="H2" s="27" t="inlineStr">
        <is>
          <t>GCG Saint Lucia</t>
        </is>
      </c>
      <c r="I2" s="27" t="inlineStr">
        <is>
          <t>GCG Ground Saint Thomas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IF(JUL!C5="","",JUL!C5)</f>
        <v/>
      </c>
      <c r="D31" s="11">
        <f>IF(JUL!D5="","",JUL!D5)</f>
        <v/>
      </c>
      <c r="E31" s="11">
        <f>IF(JUL!E5="","",JUL!E5)</f>
        <v/>
      </c>
      <c r="F31" s="11">
        <f>IF(JUL!F5="","",JUL!F5)</f>
        <v/>
      </c>
      <c r="G31" s="11">
        <f>IF(JUL!G5="","",JUL!G5)</f>
        <v/>
      </c>
      <c r="H31" s="11">
        <f>IF(JUL!H5="","",JUL!H5)</f>
        <v/>
      </c>
      <c r="I31" s="11">
        <f>IF(JUL!I5="","",JUL!I5)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IF('(GCG_ATG)'!$AB$14="","",'(GCG_ATG)'!$AB$14)</f>
        <v/>
      </c>
      <c r="D39" s="14">
        <f>IF('(GCG_GCM)'!$AB$14="","",'(GCG_GCM)'!$AB$14)</f>
        <v/>
      </c>
      <c r="E39" s="14">
        <f>IF('(Ground_JAM)'!$AB$14="","",'(Ground_JAM)'!$AB$14)</f>
        <v/>
      </c>
      <c r="F39" s="14">
        <f>IF('(GCG_JAM)'!$AB$14="","",'(GCG_JAM)'!$AB$14)</f>
        <v/>
      </c>
      <c r="G39" s="14">
        <f>IF('(Ground_LCA)'!$AB$14="","",'(Ground_LCA)'!$AB$14)</f>
        <v/>
      </c>
      <c r="H39" s="14">
        <f>IF('(GCG_LCA)'!$AB$14="","",'(GCG_LCA)'!$AB$14)</f>
        <v/>
      </c>
      <c r="I39" s="14">
        <f>IF('(Ground_STT)'!$AB$14="","",'(Ground_STT)'!$AB$14)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IF('(GCG_ATG)'!$AD$14="","",'(GCG_ATG)'!$AD$14)</f>
        <v/>
      </c>
      <c r="D40" s="14">
        <f>IF('(GCG_GCM)'!$AD$14="","",'(GCG_GCM)'!$AD$14)</f>
        <v/>
      </c>
      <c r="E40" s="14">
        <f>IF('(Ground_JAM)'!$AD$14="","",'(Ground_JAM)'!$AD$14)</f>
        <v/>
      </c>
      <c r="F40" s="14">
        <f>IF('(GCG_JAM)'!$AD$14="","",'(GCG_JAM)'!$AD$14)</f>
        <v/>
      </c>
      <c r="G40" s="14">
        <f>IF('(Ground_LCA)'!$AD$14="","",'(Ground_LCA)'!$AD$14)</f>
        <v/>
      </c>
      <c r="H40" s="14">
        <f>IF('(GCG_LCA)'!$AD$14="","",'(GCG_LCA)'!$AD$14)</f>
        <v/>
      </c>
      <c r="I40" s="14">
        <f>IF('(Ground_STT)'!$AD$14="","",'(Ground_STT)'!$AD$14)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IF('(GCG_ATG)'!$G$14="","",'(GCG_ATG)'!$G$14)</f>
        <v/>
      </c>
      <c r="D46" s="19">
        <f>IF('(GCG_GCM)'!$G$14="","",'(GCG_GCM)'!$G$14)</f>
        <v/>
      </c>
      <c r="E46" s="19">
        <f>IF('(Ground_JAM)'!$G$14="","",'(Ground_JAM)'!$G$14)</f>
        <v/>
      </c>
      <c r="F46" s="19">
        <f>IF('(GCG_JAM)'!$G$14="","",'(GCG_JAM)'!$G$14)</f>
        <v/>
      </c>
      <c r="G46" s="19">
        <f>IF('(Ground_LCA)'!$G$14="","",'(Ground_LCA)'!$G$14)</f>
        <v/>
      </c>
      <c r="H46" s="19">
        <f>IF('(GCG_LCA)'!$G$14="","",'(GCG_LCA)'!$G$14)</f>
        <v/>
      </c>
      <c r="I46" s="19">
        <f>IF('(Ground_STT)'!$G$14="","",'(Ground_STT)'!$G$14)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IF('(GCG_ATG)'!$O$14="","",'(GCG_ATG)'!$O$14)</f>
        <v/>
      </c>
      <c r="D47" s="19">
        <f>IF('(GCG_GCM)'!$O$14="","",'(GCG_GCM)'!$O$14)</f>
        <v/>
      </c>
      <c r="E47" s="19">
        <f>IF('(Ground_JAM)'!$O$14="","",'(Ground_JAM)'!$O$14)</f>
        <v/>
      </c>
      <c r="F47" s="19">
        <f>IF('(GCG_JAM)'!$O$14="","",'(GCG_JAM)'!$O$14)</f>
        <v/>
      </c>
      <c r="G47" s="19">
        <f>IF('(Ground_LCA)'!$O$14="","",'(Ground_LCA)'!$O$14)</f>
        <v/>
      </c>
      <c r="H47" s="19">
        <f>IF('(GCG_LCA)'!$O$14="","",'(GCG_LCA)'!$O$14)</f>
        <v/>
      </c>
      <c r="I47" s="19">
        <f>IF('(Ground_STT)'!$O$14="","",'(Ground_STT)'!$O$14)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NORTH CARIBBEAN</t>
        </is>
      </c>
      <c r="C1" s="26" t="inlineStr">
        <is>
          <t>1062</t>
        </is>
      </c>
      <c r="D1" s="26" t="inlineStr">
        <is>
          <t>1075</t>
        </is>
      </c>
      <c r="E1" s="26" t="inlineStr">
        <is>
          <t>1044</t>
        </is>
      </c>
      <c r="F1" s="26" t="inlineStr">
        <is>
          <t>1066</t>
        </is>
      </c>
      <c r="G1" s="26" t="inlineStr">
        <is>
          <t>1158</t>
        </is>
      </c>
      <c r="H1" s="26" t="inlineStr">
        <is>
          <t>1067</t>
        </is>
      </c>
      <c r="I1" s="26" t="inlineStr">
        <is>
          <t>1046</t>
        </is>
      </c>
      <c r="J1" s="3" t="n"/>
      <c r="K1" s="3" t="n"/>
      <c r="L1" s="3" t="n"/>
    </row>
    <row r="2" ht="72" customHeight="1">
      <c r="A2" s="4">
        <f>VALUE(TEXT(EDATE(DATE(LEFT(AUG!A2,4),RIGHT(AUG!A2,2),1),1),"yyyymm"))</f>
        <v/>
      </c>
      <c r="B2" s="5" t="inlineStr">
        <is>
          <t>SEP</t>
        </is>
      </c>
      <c r="C2" s="27" t="inlineStr">
        <is>
          <t>GCG Antigua</t>
        </is>
      </c>
      <c r="D2" s="27" t="inlineStr">
        <is>
          <t>GCG Grand Cayman</t>
        </is>
      </c>
      <c r="E2" s="27" t="inlineStr">
        <is>
          <t>GCG Aviation Ground Jamaica</t>
        </is>
      </c>
      <c r="F2" s="27" t="inlineStr">
        <is>
          <t>GCG Jamaica</t>
        </is>
      </c>
      <c r="G2" s="27" t="inlineStr">
        <is>
          <t>GCG Aviation Ground Saint Lucia</t>
        </is>
      </c>
      <c r="H2" s="27" t="inlineStr">
        <is>
          <t>GCG Saint Lucia</t>
        </is>
      </c>
      <c r="I2" s="27" t="inlineStr">
        <is>
          <t>GCG Ground Saint Thomas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IF(AUG!C5="","",AUG!C5)</f>
        <v/>
      </c>
      <c r="D31" s="11">
        <f>IF(AUG!D5="","",AUG!D5)</f>
        <v/>
      </c>
      <c r="E31" s="11">
        <f>IF(AUG!E5="","",AUG!E5)</f>
        <v/>
      </c>
      <c r="F31" s="11">
        <f>IF(AUG!F5="","",AUG!F5)</f>
        <v/>
      </c>
      <c r="G31" s="11">
        <f>IF(AUG!G5="","",AUG!G5)</f>
        <v/>
      </c>
      <c r="H31" s="11">
        <f>IF(AUG!H5="","",AUG!H5)</f>
        <v/>
      </c>
      <c r="I31" s="11">
        <f>IF(AUG!I5="","",AUG!I5)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IF('(GCG_ATG)'!$AB$15="","",'(GCG_ATG)'!$AB$15)</f>
        <v/>
      </c>
      <c r="D39" s="14">
        <f>IF('(GCG_GCM)'!$AB$15="","",'(GCG_GCM)'!$AB$15)</f>
        <v/>
      </c>
      <c r="E39" s="14">
        <f>IF('(Ground_JAM)'!$AB$15="","",'(Ground_JAM)'!$AB$15)</f>
        <v/>
      </c>
      <c r="F39" s="14">
        <f>IF('(GCG_JAM)'!$AB$15="","",'(GCG_JAM)'!$AB$15)</f>
        <v/>
      </c>
      <c r="G39" s="14">
        <f>IF('(Ground_LCA)'!$AB$15="","",'(Ground_LCA)'!$AB$15)</f>
        <v/>
      </c>
      <c r="H39" s="14">
        <f>IF('(GCG_LCA)'!$AB$15="","",'(GCG_LCA)'!$AB$15)</f>
        <v/>
      </c>
      <c r="I39" s="14">
        <f>IF('(Ground_STT)'!$AB$15="","",'(Ground_STT)'!$AB$15)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IF('(GCG_ATG)'!$AD$15="","",'(GCG_ATG)'!$AD$15)</f>
        <v/>
      </c>
      <c r="D40" s="14">
        <f>IF('(GCG_GCM)'!$AD$15="","",'(GCG_GCM)'!$AD$15)</f>
        <v/>
      </c>
      <c r="E40" s="14">
        <f>IF('(Ground_JAM)'!$AD$15="","",'(Ground_JAM)'!$AD$15)</f>
        <v/>
      </c>
      <c r="F40" s="14">
        <f>IF('(GCG_JAM)'!$AD$15="","",'(GCG_JAM)'!$AD$15)</f>
        <v/>
      </c>
      <c r="G40" s="14">
        <f>IF('(Ground_LCA)'!$AD$15="","",'(Ground_LCA)'!$AD$15)</f>
        <v/>
      </c>
      <c r="H40" s="14">
        <f>IF('(GCG_LCA)'!$AD$15="","",'(GCG_LCA)'!$AD$15)</f>
        <v/>
      </c>
      <c r="I40" s="14">
        <f>IF('(Ground_STT)'!$AD$15="","",'(Ground_STT)'!$AD$15)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IF('(GCG_ATG)'!$G$15="","",'(GCG_ATG)'!$G$15)</f>
        <v/>
      </c>
      <c r="D46" s="19">
        <f>IF('(GCG_GCM)'!$G$15="","",'(GCG_GCM)'!$G$15)</f>
        <v/>
      </c>
      <c r="E46" s="19">
        <f>IF('(Ground_JAM)'!$G$15="","",'(Ground_JAM)'!$G$15)</f>
        <v/>
      </c>
      <c r="F46" s="19">
        <f>IF('(GCG_JAM)'!$G$15="","",'(GCG_JAM)'!$G$15)</f>
        <v/>
      </c>
      <c r="G46" s="19">
        <f>IF('(Ground_LCA)'!$G$15="","",'(Ground_LCA)'!$G$15)</f>
        <v/>
      </c>
      <c r="H46" s="19">
        <f>IF('(GCG_LCA)'!$G$15="","",'(GCG_LCA)'!$G$15)</f>
        <v/>
      </c>
      <c r="I46" s="19">
        <f>IF('(Ground_STT)'!$G$15="","",'(Ground_STT)'!$G$15)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IF('(GCG_ATG)'!$O$15="","",'(GCG_ATG)'!$O$15)</f>
        <v/>
      </c>
      <c r="D47" s="19">
        <f>IF('(GCG_GCM)'!$O$15="","",'(GCG_GCM)'!$O$15)</f>
        <v/>
      </c>
      <c r="E47" s="19">
        <f>IF('(Ground_JAM)'!$O$15="","",'(Ground_JAM)'!$O$15)</f>
        <v/>
      </c>
      <c r="F47" s="19">
        <f>IF('(GCG_JAM)'!$O$15="","",'(GCG_JAM)'!$O$15)</f>
        <v/>
      </c>
      <c r="G47" s="19">
        <f>IF('(Ground_LCA)'!$O$15="","",'(Ground_LCA)'!$O$15)</f>
        <v/>
      </c>
      <c r="H47" s="19">
        <f>IF('(GCG_LCA)'!$O$15="","",'(GCG_LCA)'!$O$15)</f>
        <v/>
      </c>
      <c r="I47" s="19">
        <f>IF('(Ground_STT)'!$O$15="","",'(Ground_STT)'!$O$15)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Antigua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IF(OCT!$C$5="","",OCT!$C$5)</f>
        <v/>
      </c>
      <c r="D4" s="55" t="n"/>
      <c r="E4" s="56">
        <f>IF(OCT!$C$43="","",OCT!$C$43)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IF(OCT!$C$44="","",OCT!$C$44)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IF(NOV!$C$5="","",NOV!$C$5)</f>
        <v/>
      </c>
      <c r="D5" s="55" t="n"/>
      <c r="E5" s="56">
        <f>IF(NOV!$C$43="","",NOV!$C$43)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IF(NOV!$C$44="","",NOV!$C$44)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IF(DEC!$C$5="","",DEC!$C$5)</f>
        <v/>
      </c>
      <c r="D6" s="55" t="n"/>
      <c r="E6" s="56">
        <f>IF(DEC!$C$43="","",DEC!$C$43)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IF(DEC!$C$44="","",DEC!$C$44)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IF(JAN!$C$5="","",JAN!$C$5)</f>
        <v/>
      </c>
      <c r="D7" s="55" t="n"/>
      <c r="E7" s="56">
        <f>IF(JAN!$C$43="","",JAN!$C$43)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IF(JAN!$C$44="","",JAN!$C$44)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IF(FEB!$C$5="","",FEB!$C$5)</f>
        <v/>
      </c>
      <c r="D8" s="55" t="n"/>
      <c r="E8" s="56">
        <f>IF(FEB!$C$43="","",FEB!$C$43)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IF(FEB!$C$44="","",FEB!$C$44)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IF(MAR!$C$5="","",MAR!$C$5)</f>
        <v/>
      </c>
      <c r="D9" s="55" t="n"/>
      <c r="E9" s="56">
        <f>IF(MAR!$C$43="","",MAR!$C$43)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IF(MAR!$C$44="","",MAR!$C$44)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IF(APR!$C$5="","",APR!$C$5)</f>
        <v/>
      </c>
      <c r="D10" s="55" t="n"/>
      <c r="E10" s="56">
        <f>IF(APR!$C$43="","",APR!$C$43)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IF(APR!$C$44="","",APR!$C$44)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IF(MAY!$C$5="","",MAY!$C$5)</f>
        <v/>
      </c>
      <c r="D11" s="55" t="n"/>
      <c r="E11" s="56">
        <f>IF(MAY!$C$43="","",MAY!$C$43)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IF(MAY!$C$44="","",MAY!$C$44)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IF(JUN!$C$5="","",JUN!$C$5)</f>
        <v/>
      </c>
      <c r="D12" s="55" t="n"/>
      <c r="E12" s="56">
        <f>IF(JUN!$C$43="","",JUN!$C$43)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IF(JUN!$C$44="","",JUN!$C$44)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IF(JUL!$C$5="","",JUL!$C$5)</f>
        <v/>
      </c>
      <c r="D13" s="55" t="n"/>
      <c r="E13" s="56">
        <f>IF(JUL!$C$43="","",JUL!$C$43)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IF(JUL!$C$44="","",JUL!$C$44)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IF(AUG!$C$5="","",AUG!$C$5)</f>
        <v/>
      </c>
      <c r="D14" s="55" t="n"/>
      <c r="E14" s="56">
        <f>IF(AUG!$C$43="","",AUG!$C$43)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IF(AUG!$C$44="","",AUG!$C$44)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IF(SEP!$C$5="","",SEP!$C$5)</f>
        <v/>
      </c>
      <c r="D15" s="55" t="n"/>
      <c r="E15" s="56">
        <f>IF(SEP!$C$43="","",SEP!$C$43)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IF(SEP!$C$44="","",SEP!$C$44)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Grand Cayman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IF(OCT!$D$5="","",OCT!$D$5)</f>
        <v/>
      </c>
      <c r="D4" s="55" t="n"/>
      <c r="E4" s="56">
        <f>IF(OCT!$D$43="","",OCT!$D$43)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IF(OCT!$D$44="","",OCT!$D$44)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IF(NOV!$D$5="","",NOV!$D$5)</f>
        <v/>
      </c>
      <c r="D5" s="55" t="n"/>
      <c r="E5" s="56">
        <f>IF(NOV!$D$43="","",NOV!$D$43)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IF(NOV!$D$44="","",NOV!$D$44)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IF(DEC!$D$5="","",DEC!$D$5)</f>
        <v/>
      </c>
      <c r="D6" s="55" t="n"/>
      <c r="E6" s="56">
        <f>IF(DEC!$D$43="","",DEC!$D$43)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IF(DEC!$D$44="","",DEC!$D$44)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IF(JAN!$D$5="","",JAN!$D$5)</f>
        <v/>
      </c>
      <c r="D7" s="55" t="n"/>
      <c r="E7" s="56">
        <f>IF(JAN!$D$43="","",JAN!$D$43)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IF(JAN!$D$44="","",JAN!$D$44)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IF(FEB!$D$5="","",FEB!$D$5)</f>
        <v/>
      </c>
      <c r="D8" s="55" t="n"/>
      <c r="E8" s="56">
        <f>IF(FEB!$D$43="","",FEB!$D$43)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IF(FEB!$D$44="","",FEB!$D$44)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IF(MAR!$D$5="","",MAR!$D$5)</f>
        <v/>
      </c>
      <c r="D9" s="55" t="n"/>
      <c r="E9" s="56">
        <f>IF(MAR!$D$43="","",MAR!$D$43)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IF(MAR!$D$44="","",MAR!$D$44)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IF(APR!$D$5="","",APR!$D$5)</f>
        <v/>
      </c>
      <c r="D10" s="55" t="n"/>
      <c r="E10" s="56">
        <f>IF(APR!$D$43="","",APR!$D$43)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IF(APR!$D$44="","",APR!$D$44)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IF(MAY!$D$5="","",MAY!$D$5)</f>
        <v/>
      </c>
      <c r="D11" s="55" t="n"/>
      <c r="E11" s="56">
        <f>IF(MAY!$D$43="","",MAY!$D$43)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IF(MAY!$D$44="","",MAY!$D$44)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IF(JUN!$D$5="","",JUN!$D$5)</f>
        <v/>
      </c>
      <c r="D12" s="55" t="n"/>
      <c r="E12" s="56">
        <f>IF(JUN!$D$43="","",JUN!$D$43)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IF(JUN!$D$44="","",JUN!$D$44)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IF(JUL!$D$5="","",JUL!$D$5)</f>
        <v/>
      </c>
      <c r="D13" s="55" t="n"/>
      <c r="E13" s="56">
        <f>IF(JUL!$D$43="","",JUL!$D$43)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IF(JUL!$D$44="","",JUL!$D$44)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IF(AUG!$D$5="","",AUG!$D$5)</f>
        <v/>
      </c>
      <c r="D14" s="55" t="n"/>
      <c r="E14" s="56">
        <f>IF(AUG!$D$43="","",AUG!$D$43)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IF(AUG!$D$44="","",AUG!$D$44)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IF(SEP!$D$5="","",SEP!$D$5)</f>
        <v/>
      </c>
      <c r="D15" s="55" t="n"/>
      <c r="E15" s="56">
        <f>IF(SEP!$D$43="","",SEP!$D$43)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IF(SEP!$D$44="","",SEP!$D$44)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7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Aviation Ground Jamaica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IF(OCT!$E$5="","",OCT!$E$5)</f>
        <v/>
      </c>
      <c r="D4" s="55" t="n"/>
      <c r="E4" s="56">
        <f>IF(OCT!$E$43="","",OCT!$E$43)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IF(OCT!$E$44="","",OCT!$E$44)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IF($C4="","",SUMPRODUCT(($E$21:$E$70&gt;=$Z$4)*($E$21:$E$70&lt;=EOMONTH($Z4,0)),$G$21:$G$70))</f>
        <v/>
      </c>
      <c r="AB4" s="56">
        <f>IF(N(AA4)=0,"",SUMPRODUCT(($E$21:$E$70&gt;=$Z$4)*($E$21:$E$70&lt;=EOMONTH($Z4,0)),$F$21:$F$70,$G$21:$G$70)/AA4)</f>
        <v/>
      </c>
      <c r="AC4" s="59">
        <f>IF($C4="","",SUMPRODUCT(($L$21:$L$70&gt;=$Z$4)*($L$21:$L$70&lt;=EOMONTH($Z4,0)),$N$21:$N$70))</f>
        <v/>
      </c>
      <c r="AD4" s="56">
        <f>IF(N(AC4)=0,"",SUMPRODUCT(($L$21:$L$70&gt;=$Z$4)*($L$21:$L$70&lt;=EOMONTH($Z4,0)),$M$21:$M$70,$N$21:$N$70)/AC4)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IF(NOV!$E$5="","",NOV!$E$5)</f>
        <v/>
      </c>
      <c r="D5" s="55" t="n"/>
      <c r="E5" s="56">
        <f>IF(NOV!$E$43="","",NOV!$E$43)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IF(NOV!$E$44="","",NOV!$E$44)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IF($C5="","",SUMPRODUCT(($E$21:$E$70&gt;=$Z$4)*($E$21:$E$70&lt;=EOMONTH($Z5,0)),$G$21:$G$70))</f>
        <v/>
      </c>
      <c r="AB5" s="56">
        <f>IF(N(AA5)=0,"",SUMPRODUCT(($E$21:$E$70&gt;=$Z$4)*($E$21:$E$70&lt;=EOMONTH($Z5,0)),$F$21:$F$70,$G$21:$G$70)/AA5)</f>
        <v/>
      </c>
      <c r="AC5" s="59">
        <f>IF($C5="","",SUMPRODUCT(($L$21:$L$70&gt;=$Z$4)*($L$21:$L$70&lt;=EOMONTH($Z5,0)),$N$21:$N$70))</f>
        <v/>
      </c>
      <c r="AD5" s="56">
        <f>IF(N(AC5)=0,"",SUMPRODUCT(($L$21:$L$70&gt;=$Z$4)*($L$21:$L$70&lt;=EOMONTH($Z5,0)),$M$21:$M$70,$N$21:$N$70)/AC5)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IF(DEC!$E$5="","",DEC!$E$5)</f>
        <v/>
      </c>
      <c r="D6" s="55" t="n"/>
      <c r="E6" s="56">
        <f>IF(DEC!$E$43="","",DEC!$E$43)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IF(DEC!$E$44="","",DEC!$E$44)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IF($C6="","",SUMPRODUCT(($E$21:$E$70&gt;=$Z$4)*($E$21:$E$70&lt;=EOMONTH($Z6,0)),$G$21:$G$70))</f>
        <v/>
      </c>
      <c r="AB6" s="56">
        <f>IF(N(AA6)=0,"",SUMPRODUCT(($E$21:$E$70&gt;=$Z$4)*($E$21:$E$70&lt;=EOMONTH($Z6,0)),$F$21:$F$70,$G$21:$G$70)/AA6)</f>
        <v/>
      </c>
      <c r="AC6" s="59">
        <f>IF($C6="","",SUMPRODUCT(($L$21:$L$70&gt;=$Z$4)*($L$21:$L$70&lt;=EOMONTH($Z6,0)),$N$21:$N$70))</f>
        <v/>
      </c>
      <c r="AD6" s="56">
        <f>IF(N(AC6)=0,"",SUMPRODUCT(($L$21:$L$70&gt;=$Z$4)*($L$21:$L$70&lt;=EOMONTH($Z6,0)),$M$21:$M$70,$N$21:$N$70)/AC6)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IF(JAN!$E$5="","",JAN!$E$5)</f>
        <v/>
      </c>
      <c r="D7" s="55" t="n"/>
      <c r="E7" s="56">
        <f>IF(JAN!$E$43="","",JAN!$E$43)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IF(JAN!$E$44="","",JAN!$E$44)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IF($C7="","",SUMPRODUCT(($E$21:$E$70&gt;=$Z$4)*($E$21:$E$70&lt;=EOMONTH($Z7,0)),$G$21:$G$70))</f>
        <v/>
      </c>
      <c r="AB7" s="56">
        <f>IF(N(AA7)=0,"",SUMPRODUCT(($E$21:$E$70&gt;=$Z$4)*($E$21:$E$70&lt;=EOMONTH($Z7,0)),$F$21:$F$70,$G$21:$G$70)/AA7)</f>
        <v/>
      </c>
      <c r="AC7" s="59">
        <f>IF($C7="","",SUMPRODUCT(($L$21:$L$70&gt;=$Z$4)*($L$21:$L$70&lt;=EOMONTH($Z7,0)),$N$21:$N$70))</f>
        <v/>
      </c>
      <c r="AD7" s="56">
        <f>IF(N(AC7)=0,"",SUMPRODUCT(($L$21:$L$70&gt;=$Z$4)*($L$21:$L$70&lt;=EOMONTH($Z7,0)),$M$21:$M$70,$N$21:$N$70)/AC7)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IF(FEB!$E$5="","",FEB!$E$5)</f>
        <v/>
      </c>
      <c r="D8" s="55" t="n"/>
      <c r="E8" s="56">
        <f>IF(FEB!$E$43="","",FEB!$E$43)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IF(FEB!$E$44="","",FEB!$E$44)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IF($C8="","",SUMPRODUCT(($E$21:$E$70&gt;=$Z$4)*($E$21:$E$70&lt;=EOMONTH($Z8,0)),$G$21:$G$70))</f>
        <v/>
      </c>
      <c r="AB8" s="56">
        <f>IF(N(AA8)=0,"",SUMPRODUCT(($E$21:$E$70&gt;=$Z$4)*($E$21:$E$70&lt;=EOMONTH($Z8,0)),$F$21:$F$70,$G$21:$G$70)/AA8)</f>
        <v/>
      </c>
      <c r="AC8" s="59">
        <f>IF($C8="","",SUMPRODUCT(($L$21:$L$70&gt;=$Z$4)*($L$21:$L$70&lt;=EOMONTH($Z8,0)),$N$21:$N$70))</f>
        <v/>
      </c>
      <c r="AD8" s="56">
        <f>IF(N(AC8)=0,"",SUMPRODUCT(($L$21:$L$70&gt;=$Z$4)*($L$21:$L$70&lt;=EOMONTH($Z8,0)),$M$21:$M$70,$N$21:$N$70)/AC8)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IF(MAR!$E$5="","",MAR!$E$5)</f>
        <v/>
      </c>
      <c r="D9" s="55" t="n"/>
      <c r="E9" s="56">
        <f>IF(MAR!$E$43="","",MAR!$E$43)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IF(MAR!$E$44="","",MAR!$E$44)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IF($C9="","",SUMPRODUCT(($E$21:$E$70&gt;=$Z$4)*($E$21:$E$70&lt;=EOMONTH($Z9,0)),$G$21:$G$70))</f>
        <v/>
      </c>
      <c r="AB9" s="56">
        <f>IF(N(AA9)=0,"",SUMPRODUCT(($E$21:$E$70&gt;=$Z$4)*($E$21:$E$70&lt;=EOMONTH($Z9,0)),$F$21:$F$70,$G$21:$G$70)/AA9)</f>
        <v/>
      </c>
      <c r="AC9" s="59">
        <f>IF($C9="","",SUMPRODUCT(($L$21:$L$70&gt;=$Z$4)*($L$21:$L$70&lt;=EOMONTH($Z9,0)),$N$21:$N$70))</f>
        <v/>
      </c>
      <c r="AD9" s="56">
        <f>IF(N(AC9)=0,"",SUMPRODUCT(($L$21:$L$70&gt;=$Z$4)*($L$21:$L$70&lt;=EOMONTH($Z9,0)),$M$21:$M$70,$N$21:$N$70)/AC9)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IF(APR!$E$5="","",APR!$E$5)</f>
        <v/>
      </c>
      <c r="D10" s="55" t="n"/>
      <c r="E10" s="56">
        <f>IF(APR!$E$43="","",APR!$E$43)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IF(APR!$E$44="","",APR!$E$44)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IF($C10="","",SUMPRODUCT(($E$21:$E$70&gt;=$Z$4)*($E$21:$E$70&lt;=EOMONTH($Z10,0)),$G$21:$G$70))</f>
        <v/>
      </c>
      <c r="AB10" s="56">
        <f>IF(N(AA10)=0,"",SUMPRODUCT(($E$21:$E$70&gt;=$Z$4)*($E$21:$E$70&lt;=EOMONTH($Z10,0)),$F$21:$F$70,$G$21:$G$70)/AA10)</f>
        <v/>
      </c>
      <c r="AC10" s="59">
        <f>IF($C10="","",SUMPRODUCT(($L$21:$L$70&gt;=$Z$4)*($L$21:$L$70&lt;=EOMONTH($Z10,0)),$N$21:$N$70))</f>
        <v/>
      </c>
      <c r="AD10" s="56">
        <f>IF(N(AC10)=0,"",SUMPRODUCT(($L$21:$L$70&gt;=$Z$4)*($L$21:$L$70&lt;=EOMONTH($Z10,0)),$M$21:$M$70,$N$21:$N$70)/AC10)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IF(MAY!$E$5="","",MAY!$E$5)</f>
        <v/>
      </c>
      <c r="D11" s="55" t="n"/>
      <c r="E11" s="56">
        <f>IF(MAY!$E$43="","",MAY!$E$43)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IF(MAY!$E$44="","",MAY!$E$44)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IF($C11="","",SUMPRODUCT(($E$21:$E$70&gt;=$Z$4)*($E$21:$E$70&lt;=EOMONTH($Z11,0)),$G$21:$G$70))</f>
        <v/>
      </c>
      <c r="AB11" s="56">
        <f>IF(N(AA11)=0,"",SUMPRODUCT(($E$21:$E$70&gt;=$Z$4)*($E$21:$E$70&lt;=EOMONTH($Z11,0)),$F$21:$F$70,$G$21:$G$70)/AA11)</f>
        <v/>
      </c>
      <c r="AC11" s="59">
        <f>IF($C11="","",SUMPRODUCT(($L$21:$L$70&gt;=$Z$4)*($L$21:$L$70&lt;=EOMONTH($Z11,0)),$N$21:$N$70))</f>
        <v/>
      </c>
      <c r="AD11" s="56">
        <f>IF(N(AC11)=0,"",SUMPRODUCT(($L$21:$L$70&gt;=$Z$4)*($L$21:$L$70&lt;=EOMONTH($Z11,0)),$M$21:$M$70,$N$21:$N$70)/AC11)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IF(JUN!$E$5="","",JUN!$E$5)</f>
        <v/>
      </c>
      <c r="D12" s="55" t="n"/>
      <c r="E12" s="56">
        <f>IF(JUN!$E$43="","",JUN!$E$43)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IF(JUN!$E$44="","",JUN!$E$44)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IF($C12="","",SUMPRODUCT(($E$21:$E$70&gt;=$Z$4)*($E$21:$E$70&lt;=EOMONTH($Z12,0)),$G$21:$G$70))</f>
        <v/>
      </c>
      <c r="AB12" s="56">
        <f>IF(N(AA12)=0,"",SUMPRODUCT(($E$21:$E$70&gt;=$Z$4)*($E$21:$E$70&lt;=EOMONTH($Z12,0)),$F$21:$F$70,$G$21:$G$70)/AA12)</f>
        <v/>
      </c>
      <c r="AC12" s="59">
        <f>IF($C12="","",SUMPRODUCT(($L$21:$L$70&gt;=$Z$4)*($L$21:$L$70&lt;=EOMONTH($Z12,0)),$N$21:$N$70))</f>
        <v/>
      </c>
      <c r="AD12" s="56">
        <f>IF(N(AC12)=0,"",SUMPRODUCT(($L$21:$L$70&gt;=$Z$4)*($L$21:$L$70&lt;=EOMONTH($Z12,0)),$M$21:$M$70,$N$21:$N$70)/AC12)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IF(JUL!$E$5="","",JUL!$E$5)</f>
        <v/>
      </c>
      <c r="D13" s="55" t="n"/>
      <c r="E13" s="56">
        <f>IF(JUL!$E$43="","",JUL!$E$43)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IF(JUL!$E$44="","",JUL!$E$44)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IF($C13="","",SUMPRODUCT(($E$21:$E$70&gt;=$Z$4)*($E$21:$E$70&lt;=EOMONTH($Z13,0)),$G$21:$G$70))</f>
        <v/>
      </c>
      <c r="AB13" s="56">
        <f>IF(N(AA13)=0,"",SUMPRODUCT(($E$21:$E$70&gt;=$Z$4)*($E$21:$E$70&lt;=EOMONTH($Z13,0)),$F$21:$F$70,$G$21:$G$70)/AA13)</f>
        <v/>
      </c>
      <c r="AC13" s="59">
        <f>IF($C13="","",SUMPRODUCT(($L$21:$L$70&gt;=$Z$4)*($L$21:$L$70&lt;=EOMONTH($Z13,0)),$N$21:$N$70))</f>
        <v/>
      </c>
      <c r="AD13" s="56">
        <f>IF(N(AC13)=0,"",SUMPRODUCT(($L$21:$L$70&gt;=$Z$4)*($L$21:$L$70&lt;=EOMONTH($Z13,0)),$M$21:$M$70,$N$21:$N$70)/AC13)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IF(AUG!$E$5="","",AUG!$E$5)</f>
        <v/>
      </c>
      <c r="D14" s="55" t="n"/>
      <c r="E14" s="56">
        <f>IF(AUG!$E$43="","",AUG!$E$43)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IF(AUG!$E$44="","",AUG!$E$44)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IF($C14="","",SUMPRODUCT(($E$21:$E$70&gt;=$Z$4)*($E$21:$E$70&lt;=EOMONTH($Z14,0)),$G$21:$G$70))</f>
        <v/>
      </c>
      <c r="AB14" s="56">
        <f>IF(N(AA14)=0,"",SUMPRODUCT(($E$21:$E$70&gt;=$Z$4)*($E$21:$E$70&lt;=EOMONTH($Z14,0)),$F$21:$F$70,$G$21:$G$70)/AA14)</f>
        <v/>
      </c>
      <c r="AC14" s="59">
        <f>IF($C14="","",SUMPRODUCT(($L$21:$L$70&gt;=$Z$4)*($L$21:$L$70&lt;=EOMONTH($Z14,0)),$N$21:$N$70))</f>
        <v/>
      </c>
      <c r="AD14" s="56">
        <f>IF(N(AC14)=0,"",SUMPRODUCT(($L$21:$L$70&gt;=$Z$4)*($L$21:$L$70&lt;=EOMONTH($Z14,0)),$M$21:$M$70,$N$21:$N$70)/AC14)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IF(SEP!$E$5="","",SEP!$E$5)</f>
        <v/>
      </c>
      <c r="D15" s="55" t="n"/>
      <c r="E15" s="56">
        <f>IF(SEP!$E$43="","",SEP!$E$43)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IF(SEP!$E$44="","",SEP!$E$44)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IF($C15="","",SUMPRODUCT(($E$21:$E$70&gt;=$Z$4)*($E$21:$E$70&lt;=EOMONTH($Z15,0)),$G$21:$G$70))</f>
        <v/>
      </c>
      <c r="AB15" s="56">
        <f>IF(N(AA15)=0,"",SUMPRODUCT(($E$21:$E$70&gt;=$Z$4)*($E$21:$E$70&lt;=EOMONTH($Z15,0)),$F$21:$F$70,$G$21:$G$70)/AA15)</f>
        <v/>
      </c>
      <c r="AC15" s="59">
        <f>IF($C15="","",SUMPRODUCT(($L$21:$L$70&gt;=$Z$4)*($L$21:$L$70&lt;=EOMONTH($Z15,0)),$N$21:$N$70))</f>
        <v/>
      </c>
      <c r="AD15" s="56">
        <f>IF(N(AC15)=0,"",SUMPRODUCT(($L$21:$L$70&gt;=$Z$4)*($L$21:$L$70&lt;=EOMONTH($Z15,0)),$M$21:$M$70,$N$21:$N$70)/AC15)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SUMPRODUCT(($E$21:$E$70&gt;=$Z$4)*($E$21:$E$70&lt;=EOMONTH($Z$15,0)),$G$21:$G$70)</f>
        <v/>
      </c>
      <c r="AB16" s="62">
        <f>IF(N(AA16)=0,"",SUMPRODUCT(($E$21:$E$70&gt;=$Z$4)*($E$21:$E$70&lt;=EOMONTH($Z$15,0)),$F$21:$F$70,$G$21:$G$70)/AA16)</f>
        <v/>
      </c>
      <c r="AC16" s="65">
        <f>SUMPRODUCT(($L$21:$L$70&gt;=$Z$4)*($L$21:$L$70&lt;=EOMONTH($Z$15,0)),$N$21:$N$70)</f>
        <v/>
      </c>
      <c r="AD16" s="62">
        <f>IF(N(AC16)=0,"",SUMPRODUCT(($L$21:$L$70&gt;=$Z$4)*($L$21:$L$70&lt;=EOMONTH($Z$15,0)),$M$21:$M$70,$N$21:$N$70)/AC16)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60" t="n"/>
      <c r="B71" s="61" t="inlineStr">
        <is>
          <t>Total</t>
        </is>
      </c>
      <c r="C71" s="65">
        <f>SUM(C21:C70)</f>
        <v/>
      </c>
      <c r="D71" s="60" t="n"/>
      <c r="E71" s="60" t="n"/>
      <c r="F71" s="62">
        <f>IF(N(G71)=0,"",SUMPRODUCT(F21:F70,G21:G70)/G71)</f>
        <v/>
      </c>
      <c r="G71" s="65">
        <f>SUM(G21:G70)</f>
        <v/>
      </c>
      <c r="H71" s="60" t="n"/>
      <c r="I71" s="61" t="inlineStr">
        <is>
          <t>Total</t>
        </is>
      </c>
      <c r="J71" s="65">
        <f>SUM(J21:J70)</f>
        <v/>
      </c>
      <c r="K71" s="60" t="n"/>
      <c r="L71" s="60" t="n"/>
      <c r="M71" s="62">
        <f>IF(N(N71)=0,"",SUMPRODUCT(M21:M70,N21:N70)/N71)</f>
        <v/>
      </c>
      <c r="N71" s="65">
        <f>SUM(N21:N70)</f>
        <v/>
      </c>
    </row>
    <row r="72">
      <c r="B7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7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70" showDropDown="0" showInputMessage="0" showErrorMessage="1" allowBlank="1" error="No. of Posts must be a whole number &gt;= 1." type="whole" operator="greaterThanOrEqual">
      <formula1>1</formula1>
    </dataValidation>
    <dataValidation sqref="K21:L7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7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Jamaica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IF(OCT!$F$5="","",OCT!$F$5)</f>
        <v/>
      </c>
      <c r="D4" s="55" t="n"/>
      <c r="E4" s="56">
        <f>IF(OCT!$F$43="","",OCT!$F$43)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IF(OCT!$F$44="","",OCT!$F$44)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IF(NOV!$F$5="","",NOV!$F$5)</f>
        <v/>
      </c>
      <c r="D5" s="55" t="n"/>
      <c r="E5" s="56">
        <f>IF(NOV!$F$43="","",NOV!$F$43)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IF(NOV!$F$44="","",NOV!$F$44)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IF(DEC!$F$5="","",DEC!$F$5)</f>
        <v/>
      </c>
      <c r="D6" s="55" t="n"/>
      <c r="E6" s="56">
        <f>IF(DEC!$F$43="","",DEC!$F$43)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IF(DEC!$F$44="","",DEC!$F$44)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IF(JAN!$F$5="","",JAN!$F$5)</f>
        <v/>
      </c>
      <c r="D7" s="55" t="n"/>
      <c r="E7" s="56">
        <f>IF(JAN!$F$43="","",JAN!$F$43)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IF(JAN!$F$44="","",JAN!$F$44)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IF(FEB!$F$5="","",FEB!$F$5)</f>
        <v/>
      </c>
      <c r="D8" s="55" t="n"/>
      <c r="E8" s="56">
        <f>IF(FEB!$F$43="","",FEB!$F$43)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IF(FEB!$F$44="","",FEB!$F$44)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IF(MAR!$F$5="","",MAR!$F$5)</f>
        <v/>
      </c>
      <c r="D9" s="55" t="n"/>
      <c r="E9" s="56">
        <f>IF(MAR!$F$43="","",MAR!$F$43)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IF(MAR!$F$44="","",MAR!$F$44)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IF(APR!$F$5="","",APR!$F$5)</f>
        <v/>
      </c>
      <c r="D10" s="55" t="n"/>
      <c r="E10" s="56">
        <f>IF(APR!$F$43="","",APR!$F$43)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IF(APR!$F$44="","",APR!$F$44)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IF(MAY!$F$5="","",MAY!$F$5)</f>
        <v/>
      </c>
      <c r="D11" s="55" t="n"/>
      <c r="E11" s="56">
        <f>IF(MAY!$F$43="","",MAY!$F$43)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IF(MAY!$F$44="","",MAY!$F$44)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IF(JUN!$F$5="","",JUN!$F$5)</f>
        <v/>
      </c>
      <c r="D12" s="55" t="n"/>
      <c r="E12" s="56">
        <f>IF(JUN!$F$43="","",JUN!$F$43)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IF(JUN!$F$44="","",JUN!$F$44)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IF(JUL!$F$5="","",JUL!$F$5)</f>
        <v/>
      </c>
      <c r="D13" s="55" t="n"/>
      <c r="E13" s="56">
        <f>IF(JUL!$F$43="","",JUL!$F$43)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IF(JUL!$F$44="","",JUL!$F$44)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IF(AUG!$F$5="","",AUG!$F$5)</f>
        <v/>
      </c>
      <c r="D14" s="55" t="n"/>
      <c r="E14" s="56">
        <f>IF(AUG!$F$43="","",AUG!$F$43)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IF(AUG!$F$44="","",AUG!$F$44)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IF(SEP!$F$5="","",SEP!$F$5)</f>
        <v/>
      </c>
      <c r="D15" s="55" t="n"/>
      <c r="E15" s="56">
        <f>IF(SEP!$F$43="","",SEP!$F$43)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IF(SEP!$F$44="","",SEP!$F$44)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7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Aviation Ground Saint Lucia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IF(OCT!$G$5="","",OCT!$G$5)</f>
        <v/>
      </c>
      <c r="D4" s="55" t="n"/>
      <c r="E4" s="56">
        <f>IF(OCT!$G$43="","",OCT!$G$43)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IF(OCT!$G$44="","",OCT!$G$44)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IF($C4="","",SUMPRODUCT(($E$21:$E$70&gt;=$Z$4)*($E$21:$E$70&lt;=EOMONTH($Z4,0)),$G$21:$G$70))</f>
        <v/>
      </c>
      <c r="AB4" s="56">
        <f>IF(N(AA4)=0,"",SUMPRODUCT(($E$21:$E$70&gt;=$Z$4)*($E$21:$E$70&lt;=EOMONTH($Z4,0)),$F$21:$F$70,$G$21:$G$70)/AA4)</f>
        <v/>
      </c>
      <c r="AC4" s="59">
        <f>IF($C4="","",SUMPRODUCT(($L$21:$L$70&gt;=$Z$4)*($L$21:$L$70&lt;=EOMONTH($Z4,0)),$N$21:$N$70))</f>
        <v/>
      </c>
      <c r="AD4" s="56">
        <f>IF(N(AC4)=0,"",SUMPRODUCT(($L$21:$L$70&gt;=$Z$4)*($L$21:$L$70&lt;=EOMONTH($Z4,0)),$M$21:$M$70,$N$21:$N$70)/AC4)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IF(NOV!$G$5="","",NOV!$G$5)</f>
        <v/>
      </c>
      <c r="D5" s="55" t="n"/>
      <c r="E5" s="56">
        <f>IF(NOV!$G$43="","",NOV!$G$43)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IF(NOV!$G$44="","",NOV!$G$44)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IF($C5="","",SUMPRODUCT(($E$21:$E$70&gt;=$Z$4)*($E$21:$E$70&lt;=EOMONTH($Z5,0)),$G$21:$G$70))</f>
        <v/>
      </c>
      <c r="AB5" s="56">
        <f>IF(N(AA5)=0,"",SUMPRODUCT(($E$21:$E$70&gt;=$Z$4)*($E$21:$E$70&lt;=EOMONTH($Z5,0)),$F$21:$F$70,$G$21:$G$70)/AA5)</f>
        <v/>
      </c>
      <c r="AC5" s="59">
        <f>IF($C5="","",SUMPRODUCT(($L$21:$L$70&gt;=$Z$4)*($L$21:$L$70&lt;=EOMONTH($Z5,0)),$N$21:$N$70))</f>
        <v/>
      </c>
      <c r="AD5" s="56">
        <f>IF(N(AC5)=0,"",SUMPRODUCT(($L$21:$L$70&gt;=$Z$4)*($L$21:$L$70&lt;=EOMONTH($Z5,0)),$M$21:$M$70,$N$21:$N$70)/AC5)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IF(DEC!$G$5="","",DEC!$G$5)</f>
        <v/>
      </c>
      <c r="D6" s="55" t="n"/>
      <c r="E6" s="56">
        <f>IF(DEC!$G$43="","",DEC!$G$43)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IF(DEC!$G$44="","",DEC!$G$44)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IF($C6="","",SUMPRODUCT(($E$21:$E$70&gt;=$Z$4)*($E$21:$E$70&lt;=EOMONTH($Z6,0)),$G$21:$G$70))</f>
        <v/>
      </c>
      <c r="AB6" s="56">
        <f>IF(N(AA6)=0,"",SUMPRODUCT(($E$21:$E$70&gt;=$Z$4)*($E$21:$E$70&lt;=EOMONTH($Z6,0)),$F$21:$F$70,$G$21:$G$70)/AA6)</f>
        <v/>
      </c>
      <c r="AC6" s="59">
        <f>IF($C6="","",SUMPRODUCT(($L$21:$L$70&gt;=$Z$4)*($L$21:$L$70&lt;=EOMONTH($Z6,0)),$N$21:$N$70))</f>
        <v/>
      </c>
      <c r="AD6" s="56">
        <f>IF(N(AC6)=0,"",SUMPRODUCT(($L$21:$L$70&gt;=$Z$4)*($L$21:$L$70&lt;=EOMONTH($Z6,0)),$M$21:$M$70,$N$21:$N$70)/AC6)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IF(JAN!$G$5="","",JAN!$G$5)</f>
        <v/>
      </c>
      <c r="D7" s="55" t="n"/>
      <c r="E7" s="56">
        <f>IF(JAN!$G$43="","",JAN!$G$43)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IF(JAN!$G$44="","",JAN!$G$44)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IF($C7="","",SUMPRODUCT(($E$21:$E$70&gt;=$Z$4)*($E$21:$E$70&lt;=EOMONTH($Z7,0)),$G$21:$G$70))</f>
        <v/>
      </c>
      <c r="AB7" s="56">
        <f>IF(N(AA7)=0,"",SUMPRODUCT(($E$21:$E$70&gt;=$Z$4)*($E$21:$E$70&lt;=EOMONTH($Z7,0)),$F$21:$F$70,$G$21:$G$70)/AA7)</f>
        <v/>
      </c>
      <c r="AC7" s="59">
        <f>IF($C7="","",SUMPRODUCT(($L$21:$L$70&gt;=$Z$4)*($L$21:$L$70&lt;=EOMONTH($Z7,0)),$N$21:$N$70))</f>
        <v/>
      </c>
      <c r="AD7" s="56">
        <f>IF(N(AC7)=0,"",SUMPRODUCT(($L$21:$L$70&gt;=$Z$4)*($L$21:$L$70&lt;=EOMONTH($Z7,0)),$M$21:$M$70,$N$21:$N$70)/AC7)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IF(FEB!$G$5="","",FEB!$G$5)</f>
        <v/>
      </c>
      <c r="D8" s="55" t="n"/>
      <c r="E8" s="56">
        <f>IF(FEB!$G$43="","",FEB!$G$43)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IF(FEB!$G$44="","",FEB!$G$44)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IF($C8="","",SUMPRODUCT(($E$21:$E$70&gt;=$Z$4)*($E$21:$E$70&lt;=EOMONTH($Z8,0)),$G$21:$G$70))</f>
        <v/>
      </c>
      <c r="AB8" s="56">
        <f>IF(N(AA8)=0,"",SUMPRODUCT(($E$21:$E$70&gt;=$Z$4)*($E$21:$E$70&lt;=EOMONTH($Z8,0)),$F$21:$F$70,$G$21:$G$70)/AA8)</f>
        <v/>
      </c>
      <c r="AC8" s="59">
        <f>IF($C8="","",SUMPRODUCT(($L$21:$L$70&gt;=$Z$4)*($L$21:$L$70&lt;=EOMONTH($Z8,0)),$N$21:$N$70))</f>
        <v/>
      </c>
      <c r="AD8" s="56">
        <f>IF(N(AC8)=0,"",SUMPRODUCT(($L$21:$L$70&gt;=$Z$4)*($L$21:$L$70&lt;=EOMONTH($Z8,0)),$M$21:$M$70,$N$21:$N$70)/AC8)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IF(MAR!$G$5="","",MAR!$G$5)</f>
        <v/>
      </c>
      <c r="D9" s="55" t="n"/>
      <c r="E9" s="56">
        <f>IF(MAR!$G$43="","",MAR!$G$43)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IF(MAR!$G$44="","",MAR!$G$44)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IF($C9="","",SUMPRODUCT(($E$21:$E$70&gt;=$Z$4)*($E$21:$E$70&lt;=EOMONTH($Z9,0)),$G$21:$G$70))</f>
        <v/>
      </c>
      <c r="AB9" s="56">
        <f>IF(N(AA9)=0,"",SUMPRODUCT(($E$21:$E$70&gt;=$Z$4)*($E$21:$E$70&lt;=EOMONTH($Z9,0)),$F$21:$F$70,$G$21:$G$70)/AA9)</f>
        <v/>
      </c>
      <c r="AC9" s="59">
        <f>IF($C9="","",SUMPRODUCT(($L$21:$L$70&gt;=$Z$4)*($L$21:$L$70&lt;=EOMONTH($Z9,0)),$N$21:$N$70))</f>
        <v/>
      </c>
      <c r="AD9" s="56">
        <f>IF(N(AC9)=0,"",SUMPRODUCT(($L$21:$L$70&gt;=$Z$4)*($L$21:$L$70&lt;=EOMONTH($Z9,0)),$M$21:$M$70,$N$21:$N$70)/AC9)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IF(APR!$G$5="","",APR!$G$5)</f>
        <v/>
      </c>
      <c r="D10" s="55" t="n"/>
      <c r="E10" s="56">
        <f>IF(APR!$G$43="","",APR!$G$43)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IF(APR!$G$44="","",APR!$G$44)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IF($C10="","",SUMPRODUCT(($E$21:$E$70&gt;=$Z$4)*($E$21:$E$70&lt;=EOMONTH($Z10,0)),$G$21:$G$70))</f>
        <v/>
      </c>
      <c r="AB10" s="56">
        <f>IF(N(AA10)=0,"",SUMPRODUCT(($E$21:$E$70&gt;=$Z$4)*($E$21:$E$70&lt;=EOMONTH($Z10,0)),$F$21:$F$70,$G$21:$G$70)/AA10)</f>
        <v/>
      </c>
      <c r="AC10" s="59">
        <f>IF($C10="","",SUMPRODUCT(($L$21:$L$70&gt;=$Z$4)*($L$21:$L$70&lt;=EOMONTH($Z10,0)),$N$21:$N$70))</f>
        <v/>
      </c>
      <c r="AD10" s="56">
        <f>IF(N(AC10)=0,"",SUMPRODUCT(($L$21:$L$70&gt;=$Z$4)*($L$21:$L$70&lt;=EOMONTH($Z10,0)),$M$21:$M$70,$N$21:$N$70)/AC10)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IF(MAY!$G$5="","",MAY!$G$5)</f>
        <v/>
      </c>
      <c r="D11" s="55" t="n"/>
      <c r="E11" s="56">
        <f>IF(MAY!$G$43="","",MAY!$G$43)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IF(MAY!$G$44="","",MAY!$G$44)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IF($C11="","",SUMPRODUCT(($E$21:$E$70&gt;=$Z$4)*($E$21:$E$70&lt;=EOMONTH($Z11,0)),$G$21:$G$70))</f>
        <v/>
      </c>
      <c r="AB11" s="56">
        <f>IF(N(AA11)=0,"",SUMPRODUCT(($E$21:$E$70&gt;=$Z$4)*($E$21:$E$70&lt;=EOMONTH($Z11,0)),$F$21:$F$70,$G$21:$G$70)/AA11)</f>
        <v/>
      </c>
      <c r="AC11" s="59">
        <f>IF($C11="","",SUMPRODUCT(($L$21:$L$70&gt;=$Z$4)*($L$21:$L$70&lt;=EOMONTH($Z11,0)),$N$21:$N$70))</f>
        <v/>
      </c>
      <c r="AD11" s="56">
        <f>IF(N(AC11)=0,"",SUMPRODUCT(($L$21:$L$70&gt;=$Z$4)*($L$21:$L$70&lt;=EOMONTH($Z11,0)),$M$21:$M$70,$N$21:$N$70)/AC11)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IF(JUN!$G$5="","",JUN!$G$5)</f>
        <v/>
      </c>
      <c r="D12" s="55" t="n"/>
      <c r="E12" s="56">
        <f>IF(JUN!$G$43="","",JUN!$G$43)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IF(JUN!$G$44="","",JUN!$G$44)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IF($C12="","",SUMPRODUCT(($E$21:$E$70&gt;=$Z$4)*($E$21:$E$70&lt;=EOMONTH($Z12,0)),$G$21:$G$70))</f>
        <v/>
      </c>
      <c r="AB12" s="56">
        <f>IF(N(AA12)=0,"",SUMPRODUCT(($E$21:$E$70&gt;=$Z$4)*($E$21:$E$70&lt;=EOMONTH($Z12,0)),$F$21:$F$70,$G$21:$G$70)/AA12)</f>
        <v/>
      </c>
      <c r="AC12" s="59">
        <f>IF($C12="","",SUMPRODUCT(($L$21:$L$70&gt;=$Z$4)*($L$21:$L$70&lt;=EOMONTH($Z12,0)),$N$21:$N$70))</f>
        <v/>
      </c>
      <c r="AD12" s="56">
        <f>IF(N(AC12)=0,"",SUMPRODUCT(($L$21:$L$70&gt;=$Z$4)*($L$21:$L$70&lt;=EOMONTH($Z12,0)),$M$21:$M$70,$N$21:$N$70)/AC12)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IF(JUL!$G$5="","",JUL!$G$5)</f>
        <v/>
      </c>
      <c r="D13" s="55" t="n"/>
      <c r="E13" s="56">
        <f>IF(JUL!$G$43="","",JUL!$G$43)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IF(JUL!$G$44="","",JUL!$G$44)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IF($C13="","",SUMPRODUCT(($E$21:$E$70&gt;=$Z$4)*($E$21:$E$70&lt;=EOMONTH($Z13,0)),$G$21:$G$70))</f>
        <v/>
      </c>
      <c r="AB13" s="56">
        <f>IF(N(AA13)=0,"",SUMPRODUCT(($E$21:$E$70&gt;=$Z$4)*($E$21:$E$70&lt;=EOMONTH($Z13,0)),$F$21:$F$70,$G$21:$G$70)/AA13)</f>
        <v/>
      </c>
      <c r="AC13" s="59">
        <f>IF($C13="","",SUMPRODUCT(($L$21:$L$70&gt;=$Z$4)*($L$21:$L$70&lt;=EOMONTH($Z13,0)),$N$21:$N$70))</f>
        <v/>
      </c>
      <c r="AD13" s="56">
        <f>IF(N(AC13)=0,"",SUMPRODUCT(($L$21:$L$70&gt;=$Z$4)*($L$21:$L$70&lt;=EOMONTH($Z13,0)),$M$21:$M$70,$N$21:$N$70)/AC13)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IF(AUG!$G$5="","",AUG!$G$5)</f>
        <v/>
      </c>
      <c r="D14" s="55" t="n"/>
      <c r="E14" s="56">
        <f>IF(AUG!$G$43="","",AUG!$G$43)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IF(AUG!$G$44="","",AUG!$G$44)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IF($C14="","",SUMPRODUCT(($E$21:$E$70&gt;=$Z$4)*($E$21:$E$70&lt;=EOMONTH($Z14,0)),$G$21:$G$70))</f>
        <v/>
      </c>
      <c r="AB14" s="56">
        <f>IF(N(AA14)=0,"",SUMPRODUCT(($E$21:$E$70&gt;=$Z$4)*($E$21:$E$70&lt;=EOMONTH($Z14,0)),$F$21:$F$70,$G$21:$G$70)/AA14)</f>
        <v/>
      </c>
      <c r="AC14" s="59">
        <f>IF($C14="","",SUMPRODUCT(($L$21:$L$70&gt;=$Z$4)*($L$21:$L$70&lt;=EOMONTH($Z14,0)),$N$21:$N$70))</f>
        <v/>
      </c>
      <c r="AD14" s="56">
        <f>IF(N(AC14)=0,"",SUMPRODUCT(($L$21:$L$70&gt;=$Z$4)*($L$21:$L$70&lt;=EOMONTH($Z14,0)),$M$21:$M$70,$N$21:$N$70)/AC14)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IF(SEP!$G$5="","",SEP!$G$5)</f>
        <v/>
      </c>
      <c r="D15" s="55" t="n"/>
      <c r="E15" s="56">
        <f>IF(SEP!$G$43="","",SEP!$G$43)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IF(SEP!$G$44="","",SEP!$G$44)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IF($C15="","",SUMPRODUCT(($E$21:$E$70&gt;=$Z$4)*($E$21:$E$70&lt;=EOMONTH($Z15,0)),$G$21:$G$70))</f>
        <v/>
      </c>
      <c r="AB15" s="56">
        <f>IF(N(AA15)=0,"",SUMPRODUCT(($E$21:$E$70&gt;=$Z$4)*($E$21:$E$70&lt;=EOMONTH($Z15,0)),$F$21:$F$70,$G$21:$G$70)/AA15)</f>
        <v/>
      </c>
      <c r="AC15" s="59">
        <f>IF($C15="","",SUMPRODUCT(($L$21:$L$70&gt;=$Z$4)*($L$21:$L$70&lt;=EOMONTH($Z15,0)),$N$21:$N$70))</f>
        <v/>
      </c>
      <c r="AD15" s="56">
        <f>IF(N(AC15)=0,"",SUMPRODUCT(($L$21:$L$70&gt;=$Z$4)*($L$21:$L$70&lt;=EOMONTH($Z15,0)),$M$21:$M$70,$N$21:$N$70)/AC15)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SUMPRODUCT(($E$21:$E$70&gt;=$Z$4)*($E$21:$E$70&lt;=EOMONTH($Z$15,0)),$G$21:$G$70)</f>
        <v/>
      </c>
      <c r="AB16" s="62">
        <f>IF(N(AA16)=0,"",SUMPRODUCT(($E$21:$E$70&gt;=$Z$4)*($E$21:$E$70&lt;=EOMONTH($Z$15,0)),$F$21:$F$70,$G$21:$G$70)/AA16)</f>
        <v/>
      </c>
      <c r="AC16" s="65">
        <f>SUMPRODUCT(($L$21:$L$70&gt;=$Z$4)*($L$21:$L$70&lt;=EOMONTH($Z$15,0)),$N$21:$N$70)</f>
        <v/>
      </c>
      <c r="AD16" s="62">
        <f>IF(N(AC16)=0,"",SUMPRODUCT(($L$21:$L$70&gt;=$Z$4)*($L$21:$L$70&lt;=EOMONTH($Z$15,0)),$M$21:$M$70,$N$21:$N$70)/AC16)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60" t="n"/>
      <c r="B71" s="61" t="inlineStr">
        <is>
          <t>Total</t>
        </is>
      </c>
      <c r="C71" s="65">
        <f>SUM(C21:C70)</f>
        <v/>
      </c>
      <c r="D71" s="60" t="n"/>
      <c r="E71" s="60" t="n"/>
      <c r="F71" s="62">
        <f>IF(N(G71)=0,"",SUMPRODUCT(F21:F70,G21:G70)/G71)</f>
        <v/>
      </c>
      <c r="G71" s="65">
        <f>SUM(G21:G70)</f>
        <v/>
      </c>
      <c r="H71" s="60" t="n"/>
      <c r="I71" s="61" t="inlineStr">
        <is>
          <t>Total</t>
        </is>
      </c>
      <c r="J71" s="65">
        <f>SUM(J21:J70)</f>
        <v/>
      </c>
      <c r="K71" s="60" t="n"/>
      <c r="L71" s="60" t="n"/>
      <c r="M71" s="62">
        <f>IF(N(N71)=0,"",SUMPRODUCT(M21:M70,N21:N70)/N71)</f>
        <v/>
      </c>
      <c r="N71" s="65">
        <f>SUM(N21:N70)</f>
        <v/>
      </c>
    </row>
    <row r="72">
      <c r="B7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7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70" showDropDown="0" showInputMessage="0" showErrorMessage="1" allowBlank="1" error="No. of Posts must be a whole number &gt;= 1." type="whole" operator="greaterThanOrEqual">
      <formula1>1</formula1>
    </dataValidation>
    <dataValidation sqref="K21:L7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7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7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Saint Lucia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IF(OCT!$H$5="","",OCT!$H$5)</f>
        <v/>
      </c>
      <c r="D4" s="55" t="n"/>
      <c r="E4" s="56">
        <f>IF(OCT!$H$43="","",OCT!$H$43)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IF(OCT!$H$44="","",OCT!$H$44)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IF($C4="","",SUMPRODUCT(($E$21:$E$70&gt;=$Z$4)*($E$21:$E$70&lt;=EOMONTH($Z4,0)),$G$21:$G$70))</f>
        <v/>
      </c>
      <c r="AB4" s="56">
        <f>IF(N(AA4)=0,"",SUMPRODUCT(($E$21:$E$70&gt;=$Z$4)*($E$21:$E$70&lt;=EOMONTH($Z4,0)),$F$21:$F$70,$G$21:$G$70)/AA4)</f>
        <v/>
      </c>
      <c r="AC4" s="59">
        <f>IF($C4="","",SUMPRODUCT(($L$21:$L$70&gt;=$Z$4)*($L$21:$L$70&lt;=EOMONTH($Z4,0)),$N$21:$N$70))</f>
        <v/>
      </c>
      <c r="AD4" s="56">
        <f>IF(N(AC4)=0,"",SUMPRODUCT(($L$21:$L$70&gt;=$Z$4)*($L$21:$L$70&lt;=EOMONTH($Z4,0)),$M$21:$M$70,$N$21:$N$70)/AC4)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IF(NOV!$H$5="","",NOV!$H$5)</f>
        <v/>
      </c>
      <c r="D5" s="55" t="n"/>
      <c r="E5" s="56">
        <f>IF(NOV!$H$43="","",NOV!$H$43)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IF(NOV!$H$44="","",NOV!$H$44)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IF($C5="","",SUMPRODUCT(($E$21:$E$70&gt;=$Z$4)*($E$21:$E$70&lt;=EOMONTH($Z5,0)),$G$21:$G$70))</f>
        <v/>
      </c>
      <c r="AB5" s="56">
        <f>IF(N(AA5)=0,"",SUMPRODUCT(($E$21:$E$70&gt;=$Z$4)*($E$21:$E$70&lt;=EOMONTH($Z5,0)),$F$21:$F$70,$G$21:$G$70)/AA5)</f>
        <v/>
      </c>
      <c r="AC5" s="59">
        <f>IF($C5="","",SUMPRODUCT(($L$21:$L$70&gt;=$Z$4)*($L$21:$L$70&lt;=EOMONTH($Z5,0)),$N$21:$N$70))</f>
        <v/>
      </c>
      <c r="AD5" s="56">
        <f>IF(N(AC5)=0,"",SUMPRODUCT(($L$21:$L$70&gt;=$Z$4)*($L$21:$L$70&lt;=EOMONTH($Z5,0)),$M$21:$M$70,$N$21:$N$70)/AC5)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IF(DEC!$H$5="","",DEC!$H$5)</f>
        <v/>
      </c>
      <c r="D6" s="55" t="n"/>
      <c r="E6" s="56">
        <f>IF(DEC!$H$43="","",DEC!$H$43)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IF(DEC!$H$44="","",DEC!$H$44)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IF($C6="","",SUMPRODUCT(($E$21:$E$70&gt;=$Z$4)*($E$21:$E$70&lt;=EOMONTH($Z6,0)),$G$21:$G$70))</f>
        <v/>
      </c>
      <c r="AB6" s="56">
        <f>IF(N(AA6)=0,"",SUMPRODUCT(($E$21:$E$70&gt;=$Z$4)*($E$21:$E$70&lt;=EOMONTH($Z6,0)),$F$21:$F$70,$G$21:$G$70)/AA6)</f>
        <v/>
      </c>
      <c r="AC6" s="59">
        <f>IF($C6="","",SUMPRODUCT(($L$21:$L$70&gt;=$Z$4)*($L$21:$L$70&lt;=EOMONTH($Z6,0)),$N$21:$N$70))</f>
        <v/>
      </c>
      <c r="AD6" s="56">
        <f>IF(N(AC6)=0,"",SUMPRODUCT(($L$21:$L$70&gt;=$Z$4)*($L$21:$L$70&lt;=EOMONTH($Z6,0)),$M$21:$M$70,$N$21:$N$70)/AC6)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IF(JAN!$H$5="","",JAN!$H$5)</f>
        <v/>
      </c>
      <c r="D7" s="55" t="n"/>
      <c r="E7" s="56">
        <f>IF(JAN!$H$43="","",JAN!$H$43)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IF(JAN!$H$44="","",JAN!$H$44)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IF($C7="","",SUMPRODUCT(($E$21:$E$70&gt;=$Z$4)*($E$21:$E$70&lt;=EOMONTH($Z7,0)),$G$21:$G$70))</f>
        <v/>
      </c>
      <c r="AB7" s="56">
        <f>IF(N(AA7)=0,"",SUMPRODUCT(($E$21:$E$70&gt;=$Z$4)*($E$21:$E$70&lt;=EOMONTH($Z7,0)),$F$21:$F$70,$G$21:$G$70)/AA7)</f>
        <v/>
      </c>
      <c r="AC7" s="59">
        <f>IF($C7="","",SUMPRODUCT(($L$21:$L$70&gt;=$Z$4)*($L$21:$L$70&lt;=EOMONTH($Z7,0)),$N$21:$N$70))</f>
        <v/>
      </c>
      <c r="AD7" s="56">
        <f>IF(N(AC7)=0,"",SUMPRODUCT(($L$21:$L$70&gt;=$Z$4)*($L$21:$L$70&lt;=EOMONTH($Z7,0)),$M$21:$M$70,$N$21:$N$70)/AC7)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IF(FEB!$H$5="","",FEB!$H$5)</f>
        <v/>
      </c>
      <c r="D8" s="55" t="n"/>
      <c r="E8" s="56">
        <f>IF(FEB!$H$43="","",FEB!$H$43)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IF(FEB!$H$44="","",FEB!$H$44)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IF($C8="","",SUMPRODUCT(($E$21:$E$70&gt;=$Z$4)*($E$21:$E$70&lt;=EOMONTH($Z8,0)),$G$21:$G$70))</f>
        <v/>
      </c>
      <c r="AB8" s="56">
        <f>IF(N(AA8)=0,"",SUMPRODUCT(($E$21:$E$70&gt;=$Z$4)*($E$21:$E$70&lt;=EOMONTH($Z8,0)),$F$21:$F$70,$G$21:$G$70)/AA8)</f>
        <v/>
      </c>
      <c r="AC8" s="59">
        <f>IF($C8="","",SUMPRODUCT(($L$21:$L$70&gt;=$Z$4)*($L$21:$L$70&lt;=EOMONTH($Z8,0)),$N$21:$N$70))</f>
        <v/>
      </c>
      <c r="AD8" s="56">
        <f>IF(N(AC8)=0,"",SUMPRODUCT(($L$21:$L$70&gt;=$Z$4)*($L$21:$L$70&lt;=EOMONTH($Z8,0)),$M$21:$M$70,$N$21:$N$70)/AC8)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IF(MAR!$H$5="","",MAR!$H$5)</f>
        <v/>
      </c>
      <c r="D9" s="55" t="n"/>
      <c r="E9" s="56">
        <f>IF(MAR!$H$43="","",MAR!$H$43)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IF(MAR!$H$44="","",MAR!$H$44)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IF($C9="","",SUMPRODUCT(($E$21:$E$70&gt;=$Z$4)*($E$21:$E$70&lt;=EOMONTH($Z9,0)),$G$21:$G$70))</f>
        <v/>
      </c>
      <c r="AB9" s="56">
        <f>IF(N(AA9)=0,"",SUMPRODUCT(($E$21:$E$70&gt;=$Z$4)*($E$21:$E$70&lt;=EOMONTH($Z9,0)),$F$21:$F$70,$G$21:$G$70)/AA9)</f>
        <v/>
      </c>
      <c r="AC9" s="59">
        <f>IF($C9="","",SUMPRODUCT(($L$21:$L$70&gt;=$Z$4)*($L$21:$L$70&lt;=EOMONTH($Z9,0)),$N$21:$N$70))</f>
        <v/>
      </c>
      <c r="AD9" s="56">
        <f>IF(N(AC9)=0,"",SUMPRODUCT(($L$21:$L$70&gt;=$Z$4)*($L$21:$L$70&lt;=EOMONTH($Z9,0)),$M$21:$M$70,$N$21:$N$70)/AC9)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IF(APR!$H$5="","",APR!$H$5)</f>
        <v/>
      </c>
      <c r="D10" s="55" t="n"/>
      <c r="E10" s="56">
        <f>IF(APR!$H$43="","",APR!$H$43)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IF(APR!$H$44="","",APR!$H$44)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IF($C10="","",SUMPRODUCT(($E$21:$E$70&gt;=$Z$4)*($E$21:$E$70&lt;=EOMONTH($Z10,0)),$G$21:$G$70))</f>
        <v/>
      </c>
      <c r="AB10" s="56">
        <f>IF(N(AA10)=0,"",SUMPRODUCT(($E$21:$E$70&gt;=$Z$4)*($E$21:$E$70&lt;=EOMONTH($Z10,0)),$F$21:$F$70,$G$21:$G$70)/AA10)</f>
        <v/>
      </c>
      <c r="AC10" s="59">
        <f>IF($C10="","",SUMPRODUCT(($L$21:$L$70&gt;=$Z$4)*($L$21:$L$70&lt;=EOMONTH($Z10,0)),$N$21:$N$70))</f>
        <v/>
      </c>
      <c r="AD10" s="56">
        <f>IF(N(AC10)=0,"",SUMPRODUCT(($L$21:$L$70&gt;=$Z$4)*($L$21:$L$70&lt;=EOMONTH($Z10,0)),$M$21:$M$70,$N$21:$N$70)/AC10)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IF(MAY!$H$5="","",MAY!$H$5)</f>
        <v/>
      </c>
      <c r="D11" s="55" t="n"/>
      <c r="E11" s="56">
        <f>IF(MAY!$H$43="","",MAY!$H$43)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IF(MAY!$H$44="","",MAY!$H$44)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IF($C11="","",SUMPRODUCT(($E$21:$E$70&gt;=$Z$4)*($E$21:$E$70&lt;=EOMONTH($Z11,0)),$G$21:$G$70))</f>
        <v/>
      </c>
      <c r="AB11" s="56">
        <f>IF(N(AA11)=0,"",SUMPRODUCT(($E$21:$E$70&gt;=$Z$4)*($E$21:$E$70&lt;=EOMONTH($Z11,0)),$F$21:$F$70,$G$21:$G$70)/AA11)</f>
        <v/>
      </c>
      <c r="AC11" s="59">
        <f>IF($C11="","",SUMPRODUCT(($L$21:$L$70&gt;=$Z$4)*($L$21:$L$70&lt;=EOMONTH($Z11,0)),$N$21:$N$70))</f>
        <v/>
      </c>
      <c r="AD11" s="56">
        <f>IF(N(AC11)=0,"",SUMPRODUCT(($L$21:$L$70&gt;=$Z$4)*($L$21:$L$70&lt;=EOMONTH($Z11,0)),$M$21:$M$70,$N$21:$N$70)/AC11)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IF(JUN!$H$5="","",JUN!$H$5)</f>
        <v/>
      </c>
      <c r="D12" s="55" t="n"/>
      <c r="E12" s="56">
        <f>IF(JUN!$H$43="","",JUN!$H$43)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IF(JUN!$H$44="","",JUN!$H$44)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IF($C12="","",SUMPRODUCT(($E$21:$E$70&gt;=$Z$4)*($E$21:$E$70&lt;=EOMONTH($Z12,0)),$G$21:$G$70))</f>
        <v/>
      </c>
      <c r="AB12" s="56">
        <f>IF(N(AA12)=0,"",SUMPRODUCT(($E$21:$E$70&gt;=$Z$4)*($E$21:$E$70&lt;=EOMONTH($Z12,0)),$F$21:$F$70,$G$21:$G$70)/AA12)</f>
        <v/>
      </c>
      <c r="AC12" s="59">
        <f>IF($C12="","",SUMPRODUCT(($L$21:$L$70&gt;=$Z$4)*($L$21:$L$70&lt;=EOMONTH($Z12,0)),$N$21:$N$70))</f>
        <v/>
      </c>
      <c r="AD12" s="56">
        <f>IF(N(AC12)=0,"",SUMPRODUCT(($L$21:$L$70&gt;=$Z$4)*($L$21:$L$70&lt;=EOMONTH($Z12,0)),$M$21:$M$70,$N$21:$N$70)/AC12)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IF(JUL!$H$5="","",JUL!$H$5)</f>
        <v/>
      </c>
      <c r="D13" s="55" t="n"/>
      <c r="E13" s="56">
        <f>IF(JUL!$H$43="","",JUL!$H$43)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IF(JUL!$H$44="","",JUL!$H$44)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IF($C13="","",SUMPRODUCT(($E$21:$E$70&gt;=$Z$4)*($E$21:$E$70&lt;=EOMONTH($Z13,0)),$G$21:$G$70))</f>
        <v/>
      </c>
      <c r="AB13" s="56">
        <f>IF(N(AA13)=0,"",SUMPRODUCT(($E$21:$E$70&gt;=$Z$4)*($E$21:$E$70&lt;=EOMONTH($Z13,0)),$F$21:$F$70,$G$21:$G$70)/AA13)</f>
        <v/>
      </c>
      <c r="AC13" s="59">
        <f>IF($C13="","",SUMPRODUCT(($L$21:$L$70&gt;=$Z$4)*($L$21:$L$70&lt;=EOMONTH($Z13,0)),$N$21:$N$70))</f>
        <v/>
      </c>
      <c r="AD13" s="56">
        <f>IF(N(AC13)=0,"",SUMPRODUCT(($L$21:$L$70&gt;=$Z$4)*($L$21:$L$70&lt;=EOMONTH($Z13,0)),$M$21:$M$70,$N$21:$N$70)/AC13)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IF(AUG!$H$5="","",AUG!$H$5)</f>
        <v/>
      </c>
      <c r="D14" s="55" t="n"/>
      <c r="E14" s="56">
        <f>IF(AUG!$H$43="","",AUG!$H$43)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IF(AUG!$H$44="","",AUG!$H$44)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IF($C14="","",SUMPRODUCT(($E$21:$E$70&gt;=$Z$4)*($E$21:$E$70&lt;=EOMONTH($Z14,0)),$G$21:$G$70))</f>
        <v/>
      </c>
      <c r="AB14" s="56">
        <f>IF(N(AA14)=0,"",SUMPRODUCT(($E$21:$E$70&gt;=$Z$4)*($E$21:$E$70&lt;=EOMONTH($Z14,0)),$F$21:$F$70,$G$21:$G$70)/AA14)</f>
        <v/>
      </c>
      <c r="AC14" s="59">
        <f>IF($C14="","",SUMPRODUCT(($L$21:$L$70&gt;=$Z$4)*($L$21:$L$70&lt;=EOMONTH($Z14,0)),$N$21:$N$70))</f>
        <v/>
      </c>
      <c r="AD14" s="56">
        <f>IF(N(AC14)=0,"",SUMPRODUCT(($L$21:$L$70&gt;=$Z$4)*($L$21:$L$70&lt;=EOMONTH($Z14,0)),$M$21:$M$70,$N$21:$N$70)/AC14)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IF(SEP!$H$5="","",SEP!$H$5)</f>
        <v/>
      </c>
      <c r="D15" s="55" t="n"/>
      <c r="E15" s="56">
        <f>IF(SEP!$H$43="","",SEP!$H$43)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IF(SEP!$H$44="","",SEP!$H$44)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IF($C15="","",SUMPRODUCT(($E$21:$E$70&gt;=$Z$4)*($E$21:$E$70&lt;=EOMONTH($Z15,0)),$G$21:$G$70))</f>
        <v/>
      </c>
      <c r="AB15" s="56">
        <f>IF(N(AA15)=0,"",SUMPRODUCT(($E$21:$E$70&gt;=$Z$4)*($E$21:$E$70&lt;=EOMONTH($Z15,0)),$F$21:$F$70,$G$21:$G$70)/AA15)</f>
        <v/>
      </c>
      <c r="AC15" s="59">
        <f>IF($C15="","",SUMPRODUCT(($L$21:$L$70&gt;=$Z$4)*($L$21:$L$70&lt;=EOMONTH($Z15,0)),$N$21:$N$70))</f>
        <v/>
      </c>
      <c r="AD15" s="56">
        <f>IF(N(AC15)=0,"",SUMPRODUCT(($L$21:$L$70&gt;=$Z$4)*($L$21:$L$70&lt;=EOMONTH($Z15,0)),$M$21:$M$70,$N$21:$N$70)/AC15)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SUMPRODUCT(($E$21:$E$70&gt;=$Z$4)*($E$21:$E$70&lt;=EOMONTH($Z$15,0)),$G$21:$G$70)</f>
        <v/>
      </c>
      <c r="AB16" s="62">
        <f>IF(N(AA16)=0,"",SUMPRODUCT(($E$21:$E$70&gt;=$Z$4)*($E$21:$E$70&lt;=EOMONTH($Z$15,0)),$F$21:$F$70,$G$21:$G$70)/AA16)</f>
        <v/>
      </c>
      <c r="AC16" s="65">
        <f>SUMPRODUCT(($L$21:$L$70&gt;=$Z$4)*($L$21:$L$70&lt;=EOMONTH($Z$15,0)),$N$21:$N$70)</f>
        <v/>
      </c>
      <c r="AD16" s="62">
        <f>IF(N(AC16)=0,"",SUMPRODUCT(($L$21:$L$70&gt;=$Z$4)*($L$21:$L$70&lt;=EOMONTH($Z$15,0)),$M$21:$M$70,$N$21:$N$70)/AC16)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60" t="n"/>
      <c r="B71" s="61" t="inlineStr">
        <is>
          <t>Total</t>
        </is>
      </c>
      <c r="C71" s="65">
        <f>SUM(C21:C70)</f>
        <v/>
      </c>
      <c r="D71" s="60" t="n"/>
      <c r="E71" s="60" t="n"/>
      <c r="F71" s="62">
        <f>IF(N(G71)=0,"",SUMPRODUCT(F21:F70,G21:G70)/G71)</f>
        <v/>
      </c>
      <c r="G71" s="65">
        <f>SUM(G21:G70)</f>
        <v/>
      </c>
      <c r="H71" s="60" t="n"/>
      <c r="I71" s="61" t="inlineStr">
        <is>
          <t>Total</t>
        </is>
      </c>
      <c r="J71" s="65">
        <f>SUM(J21:J70)</f>
        <v/>
      </c>
      <c r="K71" s="60" t="n"/>
      <c r="L71" s="60" t="n"/>
      <c r="M71" s="62">
        <f>IF(N(N71)=0,"",SUMPRODUCT(M21:M70,N21:N70)/N71)</f>
        <v/>
      </c>
      <c r="N71" s="65">
        <f>SUM(N21:N70)</f>
        <v/>
      </c>
    </row>
    <row r="72">
      <c r="B7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7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70" showDropDown="0" showInputMessage="0" showErrorMessage="1" allowBlank="1" error="No. of Posts must be a whole number &gt;= 1." type="whole" operator="greaterThanOrEqual">
      <formula1>1</formula1>
    </dataValidation>
    <dataValidation sqref="K21:L7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7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Ground Saint Thomas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IF(OCT!$I$5="","",OCT!$I$5)</f>
        <v/>
      </c>
      <c r="D4" s="55" t="n"/>
      <c r="E4" s="56">
        <f>IF(OCT!$I$43="","",OCT!$I$43)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IF(OCT!$I$44="","",OCT!$I$44)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IF(NOV!$I$5="","",NOV!$I$5)</f>
        <v/>
      </c>
      <c r="D5" s="55" t="n"/>
      <c r="E5" s="56">
        <f>IF(NOV!$I$43="","",NOV!$I$43)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IF(NOV!$I$44="","",NOV!$I$44)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IF(DEC!$I$5="","",DEC!$I$5)</f>
        <v/>
      </c>
      <c r="D6" s="55" t="n"/>
      <c r="E6" s="56">
        <f>IF(DEC!$I$43="","",DEC!$I$43)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IF(DEC!$I$44="","",DEC!$I$44)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IF(JAN!$I$5="","",JAN!$I$5)</f>
        <v/>
      </c>
      <c r="D7" s="55" t="n"/>
      <c r="E7" s="56">
        <f>IF(JAN!$I$43="","",JAN!$I$43)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IF(JAN!$I$44="","",JAN!$I$44)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IF(FEB!$I$5="","",FEB!$I$5)</f>
        <v/>
      </c>
      <c r="D8" s="55" t="n"/>
      <c r="E8" s="56">
        <f>IF(FEB!$I$43="","",FEB!$I$43)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IF(FEB!$I$44="","",FEB!$I$44)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IF(MAR!$I$5="","",MAR!$I$5)</f>
        <v/>
      </c>
      <c r="D9" s="55" t="n"/>
      <c r="E9" s="56">
        <f>IF(MAR!$I$43="","",MAR!$I$43)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IF(MAR!$I$44="","",MAR!$I$44)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IF(APR!$I$5="","",APR!$I$5)</f>
        <v/>
      </c>
      <c r="D10" s="55" t="n"/>
      <c r="E10" s="56">
        <f>IF(APR!$I$43="","",APR!$I$43)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IF(APR!$I$44="","",APR!$I$44)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IF(MAY!$I$5="","",MAY!$I$5)</f>
        <v/>
      </c>
      <c r="D11" s="55" t="n"/>
      <c r="E11" s="56">
        <f>IF(MAY!$I$43="","",MAY!$I$43)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IF(MAY!$I$44="","",MAY!$I$44)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IF(JUN!$I$5="","",JUN!$I$5)</f>
        <v/>
      </c>
      <c r="D12" s="55" t="n"/>
      <c r="E12" s="56">
        <f>IF(JUN!$I$43="","",JUN!$I$43)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IF(JUN!$I$44="","",JUN!$I$44)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IF(JUL!$I$5="","",JUL!$I$5)</f>
        <v/>
      </c>
      <c r="D13" s="55" t="n"/>
      <c r="E13" s="56">
        <f>IF(JUL!$I$43="","",JUL!$I$43)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IF(JUL!$I$44="","",JUL!$I$44)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IF(AUG!$I$5="","",AUG!$I$5)</f>
        <v/>
      </c>
      <c r="D14" s="55" t="n"/>
      <c r="E14" s="56">
        <f>IF(AUG!$I$43="","",AUG!$I$43)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IF(AUG!$I$44="","",AUG!$I$44)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IF(SEP!$I$5="","",SEP!$I$5)</f>
        <v/>
      </c>
      <c r="D15" s="55" t="n"/>
      <c r="E15" s="56">
        <f>IF(SEP!$I$43="","",SEP!$I$43)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IF(SEP!$I$44="","",SEP!$I$44)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2026-09-26T17:33:44Z</dcterms:created>
  <dcterms:modified xsi:type="dcterms:W3CDTF">2026-09-26T17:33:50Z</dcterms:modified>
</cp:coreProperties>
</file>