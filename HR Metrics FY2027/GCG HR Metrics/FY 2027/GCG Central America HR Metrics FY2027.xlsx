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" sheetId="1" state="visible" r:id="rId1"/>
    <sheet name="OCT" sheetId="2" state="visible" r:id="rId2"/>
    <sheet name="NOV" sheetId="3" state="visible" r:id="rId3"/>
    <sheet name="DEC" sheetId="4" state="visible" r:id="rId4"/>
    <sheet name="JAN" sheetId="5" state="visible" r:id="rId5"/>
    <sheet name="FEB" sheetId="6" state="visible" r:id="rId6"/>
    <sheet name="MAR" sheetId="7" state="visible" r:id="rId7"/>
    <sheet name="APR" sheetId="8" state="visible" r:id="rId8"/>
    <sheet name="MAY" sheetId="9" state="visible" r:id="rId9"/>
    <sheet name="JUN" sheetId="10" state="visible" r:id="rId10"/>
    <sheet name="JUL" sheetId="11" state="visible" r:id="rId11"/>
    <sheet name="AUG" sheetId="12" state="visible" r:id="rId12"/>
    <sheet name="SEP" sheetId="13" state="visible" r:id="rId13"/>
    <sheet name="(Culinary_CRI)" sheetId="14" state="visible" r:id="rId14"/>
    <sheet name="(Food_GTM)" sheetId="15" state="visible" r:id="rId15"/>
    <sheet name="(GCG_GTM)" sheetId="16" state="visible" r:id="rId16"/>
    <sheet name="(Ground_HND)" sheetId="17" state="visible" r:id="rId17"/>
    <sheet name="(GCG_HND)" sheetId="18" state="visible" r:id="rId18"/>
    <sheet name="(Concess_PAN)" sheetId="19" state="visible" r:id="rId19"/>
    <sheet name="(GCG_SLV)" sheetId="20" state="visible" r:id="rId20"/>
    <sheet name="(Food_SLV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0.0%"/>
    <numFmt numFmtId="166" formatCode="#,##0.0"/>
    <numFmt numFmtId="167" formatCode="yyyy-mm-dd h:mm:ss"/>
    <numFmt numFmtId="168" formatCode="mmmm-yy"/>
    <numFmt numFmtId="169" formatCode="mm/dd/yyyy"/>
  </numFmts>
  <fonts count="18">
    <font>
      <name val="Calibri"/>
      <family val="2"/>
      <color theme="1"/>
      <sz val="11"/>
      <scheme val="minor"/>
    </font>
    <font>
      <name val="Calibri"/>
      <color rgb="FFBFBFBF"/>
      <sz val="12"/>
    </font>
    <font>
      <name val="Calibri"/>
      <color rgb="FFFFFFFF"/>
      <sz val="14"/>
    </font>
    <font>
      <name val="Calibri"/>
      <b val="1"/>
      <color rgb="FFF2CEEF"/>
      <sz val="12"/>
    </font>
    <font>
      <name val="Aptos Narrow"/>
      <family val="2"/>
      <color theme="1"/>
      <sz val="11"/>
      <scheme val="minor"/>
    </font>
    <font>
      <name val="Calibri"/>
      <color rgb="FFF2CEEF"/>
      <sz val="12"/>
    </font>
    <font>
      <name val="Calibri"/>
      <color rgb="FFFFFFFF"/>
      <sz val="16"/>
    </font>
    <font>
      <name val="Calibri"/>
      <color rgb="FF31216B"/>
      <sz val="12"/>
    </font>
    <font>
      <name val="Calibri"/>
      <color rgb="FFFFFFFF"/>
      <sz val="12"/>
    </font>
    <font>
      <name val="Calibri"/>
      <color rgb="FF808080"/>
      <sz val="12"/>
    </font>
    <font>
      <name val="Calibri"/>
      <color rgb="FF0E2841"/>
      <sz val="12"/>
    </font>
    <font>
      <name val="Calibri"/>
      <color rgb="FF000000"/>
      <sz val="12"/>
    </font>
    <font>
      <name val="Aptos Narrow"/>
      <family val="2"/>
      <color rgb="FFF2CEEF"/>
      <sz val="11"/>
      <scheme val="minor"/>
    </font>
    <font>
      <name val="Calibri"/>
      <b val="1"/>
      <color rgb="FFFFFFFF"/>
      <sz val="12"/>
    </font>
    <font>
      <name val="Calibri"/>
      <color rgb="FF000000"/>
      <sz val="14"/>
    </font>
    <font>
      <name val="Calibri"/>
      <color rgb="FFC00000"/>
      <sz val="14"/>
    </font>
    <font>
      <name val="Calibri"/>
      <b val="1"/>
      <color rgb="FF0E2841"/>
      <sz val="12"/>
    </font>
    <font>
      <name val="Calibri"/>
      <i val="1"/>
      <color rgb="FFC00000"/>
      <sz val="11"/>
    </font>
  </fonts>
  <fills count="14">
    <fill>
      <patternFill/>
    </fill>
    <fill>
      <patternFill patternType="gray125"/>
    </fill>
    <fill>
      <patternFill patternType="solid">
        <fgColor rgb="FF59595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31216B"/>
        <bgColor indexed="64"/>
      </patternFill>
    </fill>
    <fill>
      <patternFill patternType="solid">
        <fgColor rgb="FF0E284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</patternFill>
    </fill>
    <fill>
      <patternFill patternType="solid">
        <fgColor rgb="FF595959"/>
      </patternFill>
    </fill>
    <fill>
      <patternFill patternType="solid">
        <fgColor rgb="FFBDD7EE"/>
      </patternFill>
    </fill>
    <fill>
      <patternFill patternType="solid">
        <fgColor rgb="FFD9D9D9"/>
      </patternFill>
    </fill>
  </fills>
  <borders count="14">
    <border>
      <left/>
      <right/>
      <top/>
      <bottom/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/>
    </xf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0" fontId="13" fillId="2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13" fillId="8" borderId="0" applyAlignment="1" pivotButton="0" quotePrefix="0" xfId="0">
      <alignment horizontal="center"/>
    </xf>
    <xf numFmtId="0" fontId="9" fillId="2" borderId="0" pivotButton="0" quotePrefix="0" xfId="0"/>
    <xf numFmtId="0" fontId="10" fillId="3" borderId="0" applyAlignment="1" pivotButton="0" quotePrefix="0" xfId="0">
      <alignment horizontal="left"/>
    </xf>
    <xf numFmtId="0" fontId="10" fillId="0" borderId="0" applyAlignment="1" pivotButton="0" quotePrefix="0" xfId="0">
      <alignment horizontal="center"/>
    </xf>
    <xf numFmtId="166" fontId="10" fillId="9" borderId="0" applyAlignment="1" pivotButton="0" quotePrefix="0" xfId="0">
      <alignment horizontal="center"/>
    </xf>
    <xf numFmtId="0" fontId="8" fillId="4" borderId="0" applyAlignment="1" pivotButton="0" quotePrefix="0" xfId="0">
      <alignment horizontal="left"/>
    </xf>
    <xf numFmtId="1" fontId="10" fillId="0" borderId="0" applyAlignment="1" pivotButton="0" quotePrefix="0" xfId="0">
      <alignment horizontal="center"/>
    </xf>
    <xf numFmtId="1" fontId="10" fillId="9" borderId="0" applyAlignment="1" pivotButton="0" quotePrefix="0" xfId="0">
      <alignment horizontal="center"/>
    </xf>
    <xf numFmtId="164" fontId="10" fillId="0" borderId="0" applyAlignment="1" pivotButton="0" quotePrefix="0" xfId="0">
      <alignment horizontal="center"/>
    </xf>
    <xf numFmtId="164" fontId="10" fillId="9" borderId="0" applyAlignment="1" pivotButton="0" quotePrefix="0" xfId="0">
      <alignment horizontal="center"/>
    </xf>
    <xf numFmtId="0" fontId="8" fillId="2" borderId="0" applyAlignment="1" pivotButton="0" quotePrefix="0" xfId="0">
      <alignment horizontal="left"/>
    </xf>
    <xf numFmtId="165" fontId="10" fillId="0" borderId="0" applyAlignment="1" pivotButton="0" quotePrefix="0" xfId="0">
      <alignment horizontal="center"/>
    </xf>
    <xf numFmtId="165" fontId="10" fillId="9" borderId="0" applyAlignment="1" pivotButton="0" quotePrefix="0" xfId="0">
      <alignment horizontal="center"/>
    </xf>
    <xf numFmtId="0" fontId="8" fillId="5" borderId="0" applyAlignment="1" pivotButton="0" quotePrefix="0" xfId="0">
      <alignment horizontal="left"/>
    </xf>
    <xf numFmtId="0" fontId="10" fillId="6" borderId="0" applyAlignment="1" pivotButton="0" quotePrefix="0" xfId="0">
      <alignment horizontal="left"/>
    </xf>
    <xf numFmtId="9" fontId="10" fillId="0" borderId="0" applyAlignment="1" pivotButton="0" quotePrefix="0" xfId="0">
      <alignment horizontal="center"/>
    </xf>
    <xf numFmtId="9" fontId="10" fillId="9" borderId="0" applyAlignment="1" pivotButton="0" quotePrefix="0" xfId="0">
      <alignment horizontal="center"/>
    </xf>
    <xf numFmtId="0" fontId="8" fillId="2" borderId="0" pivotButton="0" quotePrefix="0" xfId="0"/>
    <xf numFmtId="49" fontId="3" fillId="2" borderId="0" applyAlignment="1" pivotButton="0" quotePrefix="0" xfId="0">
      <alignment horizontal="center"/>
    </xf>
    <xf numFmtId="0" fontId="7" fillId="3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/>
    </xf>
    <xf numFmtId="0" fontId="3" fillId="2" borderId="0" pivotButton="0" quotePrefix="0" xfId="0"/>
    <xf numFmtId="0" fontId="10" fillId="0" borderId="0" applyAlignment="1" applyProtection="1" pivotButton="0" quotePrefix="0" xfId="0">
      <alignment horizontal="center"/>
      <protection locked="0" hidden="0"/>
    </xf>
    <xf numFmtId="0" fontId="8" fillId="4" borderId="0" applyAlignment="1" pivotButton="0" quotePrefix="0" xfId="0">
      <alignment horizontal="center"/>
    </xf>
    <xf numFmtId="1" fontId="10" fillId="0" borderId="0" applyAlignment="1" applyProtection="1" pivotButton="0" quotePrefix="0" xfId="0">
      <alignment horizontal="center"/>
      <protection locked="0" hidden="0"/>
    </xf>
    <xf numFmtId="1" fontId="8" fillId="4" borderId="0" applyAlignment="1" pivotButton="0" quotePrefix="0" xfId="0">
      <alignment horizontal="center"/>
    </xf>
    <xf numFmtId="164" fontId="8" fillId="4" borderId="0" applyAlignment="1" pivotButton="0" quotePrefix="0" xfId="0">
      <alignment horizontal="center"/>
    </xf>
    <xf numFmtId="164" fontId="11" fillId="4" borderId="0" applyAlignment="1" pivotButton="0" quotePrefix="0" xfId="0">
      <alignment horizontal="center"/>
    </xf>
    <xf numFmtId="165" fontId="8" fillId="4" borderId="0" applyAlignment="1" pivotButton="0" quotePrefix="0" xfId="0">
      <alignment horizontal="center"/>
    </xf>
    <xf numFmtId="9" fontId="10" fillId="0" borderId="0" applyAlignment="1" applyProtection="1" pivotButton="0" quotePrefix="0" xfId="0">
      <alignment horizontal="center"/>
      <protection locked="0" hidden="0"/>
    </xf>
    <xf numFmtId="9" fontId="8" fillId="4" borderId="0" applyAlignment="1" pivotButton="0" quotePrefix="0" xfId="0">
      <alignment horizontal="center"/>
    </xf>
    <xf numFmtId="0" fontId="12" fillId="2" borderId="0" applyAlignment="1" pivotButton="0" quotePrefix="0" xfId="0">
      <alignment horizontal="center"/>
    </xf>
    <xf numFmtId="0" fontId="14" fillId="10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165" fontId="14" fillId="10" borderId="2" applyAlignment="1" pivotButton="0" quotePrefix="0" xfId="0">
      <alignment horizontal="center" vertical="center" wrapText="1"/>
    </xf>
    <xf numFmtId="164" fontId="14" fillId="10" borderId="2" applyAlignment="1" pivotButton="0" quotePrefix="0" xfId="0">
      <alignment horizontal="center" vertical="center" wrapText="1"/>
    </xf>
    <xf numFmtId="0" fontId="15" fillId="10" borderId="2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0" fontId="13" fillId="11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168" fontId="7" fillId="0" borderId="2" applyAlignment="1" pivotButton="0" quotePrefix="0" xfId="0">
      <alignment horizontal="left" vertical="center" wrapText="1"/>
    </xf>
    <xf numFmtId="1" fontId="7" fillId="12" borderId="2" applyAlignment="1" applyProtection="1" pivotButton="0" quotePrefix="0" xfId="0">
      <alignment horizontal="center" vertical="center" wrapText="1"/>
      <protection locked="0" hidden="0"/>
    </xf>
    <xf numFmtId="164" fontId="7" fillId="0" borderId="2" applyAlignment="1" pivotButton="0" quotePrefix="0" xfId="0">
      <alignment horizontal="center" vertical="center" wrapText="1"/>
    </xf>
    <xf numFmtId="3" fontId="7" fillId="0" borderId="2" applyAlignment="1" pivotButton="0" quotePrefix="0" xfId="0">
      <alignment horizontal="center" vertical="center" wrapText="1"/>
    </xf>
    <xf numFmtId="10" fontId="7" fillId="0" borderId="2" applyAlignment="1" pivotButton="0" quotePrefix="0" xfId="0">
      <alignment horizontal="center" vertical="center" wrapText="1"/>
    </xf>
    <xf numFmtId="1" fontId="7" fillId="0" borderId="2" applyAlignment="1" pivotButton="0" quotePrefix="0" xfId="0">
      <alignment horizontal="center" vertical="center" wrapText="1"/>
    </xf>
    <xf numFmtId="0" fontId="7" fillId="13" borderId="2" applyAlignment="1" pivotButton="0" quotePrefix="0" xfId="0">
      <alignment horizontal="center" vertical="center" wrapText="1"/>
    </xf>
    <xf numFmtId="0" fontId="16" fillId="13" borderId="2" applyAlignment="1" pivotButton="0" quotePrefix="0" xfId="0">
      <alignment horizontal="right"/>
    </xf>
    <xf numFmtId="164" fontId="16" fillId="13" borderId="2" applyAlignment="1" pivotButton="0" quotePrefix="0" xfId="0">
      <alignment horizontal="center" vertical="center" wrapText="1"/>
    </xf>
    <xf numFmtId="3" fontId="16" fillId="13" borderId="2" applyAlignment="1" pivotButton="0" quotePrefix="0" xfId="0">
      <alignment horizontal="center" vertical="center" wrapText="1"/>
    </xf>
    <xf numFmtId="10" fontId="16" fillId="13" borderId="2" applyAlignment="1" pivotButton="0" quotePrefix="0" xfId="0">
      <alignment horizontal="center" vertical="center" wrapText="1"/>
    </xf>
    <xf numFmtId="1" fontId="16" fillId="13" borderId="2" applyAlignment="1" pivotButton="0" quotePrefix="0" xfId="0">
      <alignment horizontal="center" vertical="center" wrapText="1"/>
    </xf>
    <xf numFmtId="0" fontId="17" fillId="0" borderId="0" pivotButton="0" quotePrefix="0" xfId="0"/>
    <xf numFmtId="0" fontId="7" fillId="12" borderId="2" applyAlignment="1" applyProtection="1" pivotButton="0" quotePrefix="0" xfId="0">
      <alignment horizontal="left" vertical="center" wrapText="1"/>
      <protection locked="0" hidden="0"/>
    </xf>
    <xf numFmtId="169" fontId="7" fillId="12" borderId="2" applyAlignment="1" applyProtection="1" pivotButton="0" quotePrefix="0" xfId="0">
      <alignment horizontal="center" vertical="center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comments/comment1.xml><?xml version="1.0" encoding="utf-8"?>
<comments xmlns="http://schemas.openxmlformats.org/spreadsheetml/2006/main">
  <authors>
    <author>HR Metrics</author>
  </authors>
  <commentList>
    <comment ref="M2" authorId="0" shapeId="0">
      <text>
        <t>TRUE = the Headcount = 1.00/0.75/0.50/0.25 split does not add up to Employee Headcount (row 5). Difference shown in row 11.</t>
      </text>
    </comment>
  </commentList>
</comments>
</file>

<file path=xl/comments/comment2.xml><?xml version="1.0" encoding="utf-8"?>
<comments xmlns="http://schemas.openxmlformats.org/spreadsheetml/2006/main">
  <authors>
    <author>HR Metrics</author>
  </authors>
  <commentList>
    <comment ref="M2" authorId="0" shapeId="0">
      <text>
        <t>TRUE = the Headcount = 1.00/0.75/0.50/0.25 split does not add up to Employee Headcount (row 5). Difference shown in row 11.</t>
      </text>
    </comment>
  </commentList>
</comments>
</file>

<file path=xl/comments/comment3.xml><?xml version="1.0" encoding="utf-8"?>
<comments xmlns="http://schemas.openxmlformats.org/spreadsheetml/2006/main">
  <authors>
    <author>HR Metrics</author>
  </authors>
  <commentList>
    <comment ref="M2" authorId="0" shapeId="0">
      <text>
        <t>TRUE = the Headcount = 1.00/0.75/0.50/0.25 split does not add up to Employee Headcount (row 5). Difference shown in row 11.</t>
      </text>
    </comment>
  </commentList>
</comments>
</file>

<file path=xl/comments/comment4.xml><?xml version="1.0" encoding="utf-8"?>
<comments xmlns="http://schemas.openxmlformats.org/spreadsheetml/2006/main">
  <authors>
    <author>HR Metrics</author>
  </authors>
  <commentList>
    <comment ref="M2" authorId="0" shapeId="0">
      <text>
        <t>TRUE = the Headcount = 1.00/0.75/0.50/0.25 split does not add up to Employee Headcount (row 5). Difference shown in row 11.</t>
      </text>
    </comment>
  </commentList>
</comments>
</file>

<file path=xl/comments/comment5.xml><?xml version="1.0" encoding="utf-8"?>
<comments xmlns="http://schemas.openxmlformats.org/spreadsheetml/2006/main">
  <authors>
    <author>HR Metrics</author>
  </authors>
  <commentList>
    <comment ref="M2" authorId="0" shapeId="0">
      <text>
        <t>TRUE = the Headcount = 1.00/0.75/0.50/0.25 split does not add up to Employee Headcount (row 5). Difference shown in row 11.</t>
      </text>
    </comment>
  </commentList>
</comments>
</file>

<file path=xl/comments/comment6.xml><?xml version="1.0" encoding="utf-8"?>
<comments xmlns="http://schemas.openxmlformats.org/spreadsheetml/2006/main">
  <authors>
    <author>HR Metrics</author>
  </authors>
  <commentList>
    <comment ref="M2" authorId="0" shapeId="0">
      <text>
        <t>TRUE = the Headcount = 1.00/0.75/0.50/0.25 split does not add up to Employee Headcount (row 5). Difference shown in row 11.</t>
      </text>
    </comment>
  </commentList>
</comments>
</file>

<file path=xl/comments/comment7.xml><?xml version="1.0" encoding="utf-8"?>
<comments xmlns="http://schemas.openxmlformats.org/spreadsheetml/2006/main">
  <authors>
    <author>HR Metrics</author>
  </authors>
  <commentList>
    <comment ref="M2" authorId="0" shapeId="0">
      <text>
        <t>TRUE = the Headcount = 1.00/0.75/0.50/0.25 split does not add up to Employee Headcount (row 5). Difference shown in row 11.</t>
      </text>
    </comment>
  </commentList>
</comments>
</file>

<file path=xl/comments/comment8.xml><?xml version="1.0" encoding="utf-8"?>
<comments xmlns="http://schemas.openxmlformats.org/spreadsheetml/2006/main">
  <authors>
    <author>HR Metrics</author>
  </authors>
  <commentList>
    <comment ref="M2" authorId="0" shapeId="0">
      <text>
        <t>TRUE = the Headcount = 1.00/0.75/0.50/0.25 split does not add up to Employee Headcount (row 5). Difference shown in row 11.</t>
      </text>
    </comment>
  </commentList>
</comments>
</file>

<file path=xl/comments/comment9.xml><?xml version="1.0" encoding="utf-8"?>
<comments xmlns="http://schemas.openxmlformats.org/spreadsheetml/2006/main">
  <authors>
    <author>HR Metrics</author>
  </authors>
  <commentList>
    <comment ref="M2" authorId="0" shapeId="0">
      <text>
        <t>TRUE = the Headcount = 1.00/0.75/0.50/0.25 split does not add up to Employee Headcount (row 5). Difference shown in row 11.</t>
      </text>
    </comment>
  </commentList>
</comments>
</file>

<file path=xl/comments/comment10.xml><?xml version="1.0" encoding="utf-8"?>
<comments xmlns="http://schemas.openxmlformats.org/spreadsheetml/2006/main">
  <authors>
    <author>HR Metrics</author>
  </authors>
  <commentList>
    <comment ref="M2" authorId="0" shapeId="0">
      <text>
        <t>TRUE = the Headcount = 1.00/0.75/0.50/0.25 split does not add up to Employee Headcount (row 5). Difference shown in row 11.</t>
      </text>
    </comment>
  </commentList>
</comments>
</file>

<file path=xl/comments/comment11.xml><?xml version="1.0" encoding="utf-8"?>
<comments xmlns="http://schemas.openxmlformats.org/spreadsheetml/2006/main">
  <authors>
    <author>HR Metrics</author>
  </authors>
  <commentList>
    <comment ref="M2" authorId="0" shapeId="0">
      <text>
        <t>TRUE = the Headcount = 1.00/0.75/0.50/0.25 split does not add up to Employee Headcount (row 5). Difference shown in row 11.</t>
      </text>
    </comment>
  </commentList>
</comments>
</file>

<file path=xl/comments/comment12.xml><?xml version="1.0" encoding="utf-8"?>
<comments xmlns="http://schemas.openxmlformats.org/spreadsheetml/2006/main">
  <authors>
    <author>HR Metrics</author>
  </authors>
  <commentList>
    <comment ref="M2" authorId="0" shapeId="0">
      <text>
        <t>TRUE = the Headcount = 1.00/0.75/0.50/0.25 split does not add up to Employee Headcount (row 5). Difference shown in row 11.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3.7265625" customWidth="1" min="3" max="3"/>
    <col width="13.7265625" customWidth="1" min="19" max="19"/>
    <col width="8.26953125" customWidth="1" min="20" max="20"/>
    <col width="13.54296875" customWidth="1" min="21" max="21"/>
    <col width="8.81640625" customWidth="1" min="22" max="22"/>
    <col width="20.26953125" customWidth="1" min="35" max="35"/>
    <col width="8.81640625" customWidth="1" min="36" max="36"/>
  </cols>
  <sheetData>
    <row r="1" ht="18.75" customHeight="1">
      <c r="A1" s="1" t="n"/>
      <c r="B1" s="2" t="inlineStr">
        <is>
          <t>GCG CENTRAL AMERICA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</row>
    <row r="2" ht="30" customHeight="1">
      <c r="A2" s="4" t="inlineStr">
        <is>
          <t>FY2027</t>
        </is>
      </c>
      <c r="B2" s="5" t="inlineStr">
        <is>
          <t>Quarter</t>
        </is>
      </c>
      <c r="C2" s="6" t="inlineStr">
        <is>
          <t>OCT</t>
        </is>
      </c>
      <c r="D2" s="6" t="inlineStr">
        <is>
          <t>NOV</t>
        </is>
      </c>
      <c r="E2" s="6" t="inlineStr">
        <is>
          <t>DEC</t>
        </is>
      </c>
      <c r="F2" s="7" t="inlineStr">
        <is>
          <t>∑Q1</t>
        </is>
      </c>
      <c r="G2" s="6" t="inlineStr">
        <is>
          <t>JAN</t>
        </is>
      </c>
      <c r="H2" s="6" t="inlineStr">
        <is>
          <t>FEB</t>
        </is>
      </c>
      <c r="I2" s="6" t="inlineStr">
        <is>
          <t>MAR</t>
        </is>
      </c>
      <c r="J2" s="7" t="inlineStr">
        <is>
          <t>∑Q2</t>
        </is>
      </c>
      <c r="K2" s="6" t="inlineStr">
        <is>
          <t>APR</t>
        </is>
      </c>
      <c r="L2" s="6" t="inlineStr">
        <is>
          <t>MAY</t>
        </is>
      </c>
      <c r="M2" s="6" t="inlineStr">
        <is>
          <t>JUN</t>
        </is>
      </c>
      <c r="N2" s="7" t="inlineStr">
        <is>
          <t>∑Q3</t>
        </is>
      </c>
      <c r="O2" s="6" t="inlineStr">
        <is>
          <t>JUL</t>
        </is>
      </c>
      <c r="P2" s="6" t="inlineStr">
        <is>
          <t>AUG</t>
        </is>
      </c>
      <c r="Q2" s="6" t="inlineStr">
        <is>
          <t>SEP</t>
        </is>
      </c>
      <c r="R2" s="7" t="inlineStr">
        <is>
          <t>∑Q4</t>
        </is>
      </c>
      <c r="S2" s="8" t="inlineStr">
        <is>
          <t>FY2027</t>
        </is>
      </c>
    </row>
    <row r="3" ht="18.75" customHeight="1">
      <c r="A3" s="9" t="n"/>
      <c r="B3" s="10" t="inlineStr">
        <is>
          <t>Permanent (Regular) Headcount</t>
        </is>
      </c>
      <c r="C3" s="11">
        <f>OCT!K3</f>
        <v/>
      </c>
      <c r="D3" s="11">
        <f>NOV!K3</f>
        <v/>
      </c>
      <c r="E3" s="11">
        <f>DEC!K3</f>
        <v/>
      </c>
      <c r="F3" s="12">
        <f>IFERROR(AVERAGE(C3:E3),"")</f>
        <v/>
      </c>
      <c r="G3" s="11">
        <f>JAN!K3</f>
        <v/>
      </c>
      <c r="H3" s="11">
        <f>FEB!K3</f>
        <v/>
      </c>
      <c r="I3" s="11">
        <f>MAR!K3</f>
        <v/>
      </c>
      <c r="J3" s="12">
        <f>IFERROR(AVERAGE(G3:I3),"")</f>
        <v/>
      </c>
      <c r="K3" s="11">
        <f>APR!K3</f>
        <v/>
      </c>
      <c r="L3" s="11">
        <f>MAY!K3</f>
        <v/>
      </c>
      <c r="M3" s="11">
        <f>JUN!K3</f>
        <v/>
      </c>
      <c r="N3" s="12">
        <f>IFERROR(AVERAGE(K3:M3),"")</f>
        <v/>
      </c>
      <c r="O3" s="11">
        <f>JUL!K3</f>
        <v/>
      </c>
      <c r="P3" s="11">
        <f>AUG!K3</f>
        <v/>
      </c>
      <c r="Q3" s="11">
        <f>SEP!K3</f>
        <v/>
      </c>
      <c r="R3" s="12">
        <f>IFERROR(AVERAGE(O3:Q3),"")</f>
        <v/>
      </c>
      <c r="S3" s="12">
        <f>IFERROR(AVERAGE(C3:E3,G3:I3,K3:M3,O3:Q3),"")</f>
        <v/>
      </c>
    </row>
    <row r="4" ht="18.75" customHeight="1">
      <c r="A4" s="3" t="n"/>
      <c r="B4" s="10" t="inlineStr">
        <is>
          <t>Temporary (Fix Term) Headcount</t>
        </is>
      </c>
      <c r="C4" s="11">
        <f>OCT!K4</f>
        <v/>
      </c>
      <c r="D4" s="11">
        <f>NOV!K4</f>
        <v/>
      </c>
      <c r="E4" s="11">
        <f>DEC!K4</f>
        <v/>
      </c>
      <c r="F4" s="12">
        <f>IFERROR(AVERAGE(C4:E4),"")</f>
        <v/>
      </c>
      <c r="G4" s="11">
        <f>JAN!K4</f>
        <v/>
      </c>
      <c r="H4" s="11">
        <f>FEB!K4</f>
        <v/>
      </c>
      <c r="I4" s="11">
        <f>MAR!K4</f>
        <v/>
      </c>
      <c r="J4" s="12">
        <f>IFERROR(AVERAGE(G4:I4),"")</f>
        <v/>
      </c>
      <c r="K4" s="11">
        <f>APR!K4</f>
        <v/>
      </c>
      <c r="L4" s="11">
        <f>MAY!K4</f>
        <v/>
      </c>
      <c r="M4" s="11">
        <f>JUN!K4</f>
        <v/>
      </c>
      <c r="N4" s="12">
        <f>IFERROR(AVERAGE(K4:M4),"")</f>
        <v/>
      </c>
      <c r="O4" s="11">
        <f>JUL!K4</f>
        <v/>
      </c>
      <c r="P4" s="11">
        <f>AUG!K4</f>
        <v/>
      </c>
      <c r="Q4" s="11">
        <f>SEP!K4</f>
        <v/>
      </c>
      <c r="R4" s="12">
        <f>IFERROR(AVERAGE(O4:Q4),"")</f>
        <v/>
      </c>
      <c r="S4" s="12">
        <f>IFERROR(AVERAGE(C4:E4,G4:I4,K4:M4,O4:Q4),"")</f>
        <v/>
      </c>
    </row>
    <row r="5" ht="18.75" customHeight="1">
      <c r="A5" s="3" t="n"/>
      <c r="B5" s="13" t="inlineStr">
        <is>
          <t>Employee Headcount (Productivity)</t>
        </is>
      </c>
      <c r="C5" s="11">
        <f>OCT!K5</f>
        <v/>
      </c>
      <c r="D5" s="11">
        <f>NOV!K5</f>
        <v/>
      </c>
      <c r="E5" s="11">
        <f>DEC!K5</f>
        <v/>
      </c>
      <c r="F5" s="12">
        <f>IF(COUNT(F3:F4)=0,"",SUM(F3:F4))</f>
        <v/>
      </c>
      <c r="G5" s="11">
        <f>JAN!K5</f>
        <v/>
      </c>
      <c r="H5" s="11">
        <f>FEB!K5</f>
        <v/>
      </c>
      <c r="I5" s="11">
        <f>MAR!K5</f>
        <v/>
      </c>
      <c r="J5" s="12">
        <f>IF(COUNT(J3:J4)=0,"",SUM(J3:J4))</f>
        <v/>
      </c>
      <c r="K5" s="11">
        <f>APR!K5</f>
        <v/>
      </c>
      <c r="L5" s="11">
        <f>MAY!K5</f>
        <v/>
      </c>
      <c r="M5" s="11">
        <f>JUN!K5</f>
        <v/>
      </c>
      <c r="N5" s="12">
        <f>IF(COUNT(N3:N4)=0,"",SUM(N3:N4))</f>
        <v/>
      </c>
      <c r="O5" s="11">
        <f>JUL!K5</f>
        <v/>
      </c>
      <c r="P5" s="11">
        <f>AUG!K5</f>
        <v/>
      </c>
      <c r="Q5" s="11">
        <f>SEP!K5</f>
        <v/>
      </c>
      <c r="R5" s="12">
        <f>IF(COUNT(R3:R4)=0,"",SUM(R3:R4))</f>
        <v/>
      </c>
      <c r="S5" s="12">
        <f>IF(COUNT(S3:S4)=0,"",SUM(S3:S4))</f>
        <v/>
      </c>
    </row>
    <row r="6" ht="18.75" customHeight="1">
      <c r="A6" s="3" t="n"/>
      <c r="B6" s="10" t="inlineStr">
        <is>
          <t>Headcount = 1.00</t>
        </is>
      </c>
      <c r="C6" s="11">
        <f>OCT!K6</f>
        <v/>
      </c>
      <c r="D6" s="11">
        <f>NOV!K6</f>
        <v/>
      </c>
      <c r="E6" s="11">
        <f>DEC!K6</f>
        <v/>
      </c>
      <c r="F6" s="12">
        <f>IFERROR(AVERAGE(C6:E6),"")</f>
        <v/>
      </c>
      <c r="G6" s="11">
        <f>JAN!K6</f>
        <v/>
      </c>
      <c r="H6" s="11">
        <f>FEB!K6</f>
        <v/>
      </c>
      <c r="I6" s="11">
        <f>MAR!K6</f>
        <v/>
      </c>
      <c r="J6" s="12">
        <f>IFERROR(AVERAGE(G6:I6),"")</f>
        <v/>
      </c>
      <c r="K6" s="11">
        <f>APR!K6</f>
        <v/>
      </c>
      <c r="L6" s="11">
        <f>MAY!K6</f>
        <v/>
      </c>
      <c r="M6" s="11">
        <f>JUN!K6</f>
        <v/>
      </c>
      <c r="N6" s="12">
        <f>IFERROR(AVERAGE(K6:M6),"")</f>
        <v/>
      </c>
      <c r="O6" s="11">
        <f>JUL!K6</f>
        <v/>
      </c>
      <c r="P6" s="11">
        <f>AUG!K6</f>
        <v/>
      </c>
      <c r="Q6" s="11">
        <f>SEP!K6</f>
        <v/>
      </c>
      <c r="R6" s="12">
        <f>IFERROR(AVERAGE(O6:Q6),"")</f>
        <v/>
      </c>
      <c r="S6" s="12">
        <f>IFERROR(AVERAGE(C6:E6,G6:I6,K6:M6,O6:Q6),"")</f>
        <v/>
      </c>
    </row>
    <row r="7" ht="18.75" customHeight="1">
      <c r="A7" s="3" t="n"/>
      <c r="B7" s="10" t="inlineStr">
        <is>
          <t>Headcount = 0.75</t>
        </is>
      </c>
      <c r="C7" s="11">
        <f>OCT!K7</f>
        <v/>
      </c>
      <c r="D7" s="11">
        <f>NOV!K7</f>
        <v/>
      </c>
      <c r="E7" s="11">
        <f>DEC!K7</f>
        <v/>
      </c>
      <c r="F7" s="12">
        <f>IFERROR(AVERAGE(C7:E7),"")</f>
        <v/>
      </c>
      <c r="G7" s="11">
        <f>JAN!K7</f>
        <v/>
      </c>
      <c r="H7" s="11">
        <f>FEB!K7</f>
        <v/>
      </c>
      <c r="I7" s="11">
        <f>MAR!K7</f>
        <v/>
      </c>
      <c r="J7" s="12">
        <f>IFERROR(AVERAGE(G7:I7),"")</f>
        <v/>
      </c>
      <c r="K7" s="11">
        <f>APR!K7</f>
        <v/>
      </c>
      <c r="L7" s="11">
        <f>MAY!K7</f>
        <v/>
      </c>
      <c r="M7" s="11">
        <f>JUN!K7</f>
        <v/>
      </c>
      <c r="N7" s="12">
        <f>IFERROR(AVERAGE(K7:M7),"")</f>
        <v/>
      </c>
      <c r="O7" s="11">
        <f>JUL!K7</f>
        <v/>
      </c>
      <c r="P7" s="11">
        <f>AUG!K7</f>
        <v/>
      </c>
      <c r="Q7" s="11">
        <f>SEP!K7</f>
        <v/>
      </c>
      <c r="R7" s="12">
        <f>IFERROR(AVERAGE(O7:Q7),"")</f>
        <v/>
      </c>
      <c r="S7" s="12">
        <f>IFERROR(AVERAGE(C7:E7,G7:I7,K7:M7,O7:Q7),"")</f>
        <v/>
      </c>
    </row>
    <row r="8" ht="18.75" customHeight="1">
      <c r="A8" s="3" t="n"/>
      <c r="B8" s="10" t="inlineStr">
        <is>
          <t>Headcount = 0.50</t>
        </is>
      </c>
      <c r="C8" s="11">
        <f>OCT!K8</f>
        <v/>
      </c>
      <c r="D8" s="11">
        <f>NOV!K8</f>
        <v/>
      </c>
      <c r="E8" s="11">
        <f>DEC!K8</f>
        <v/>
      </c>
      <c r="F8" s="12">
        <f>IFERROR(AVERAGE(C8:E8),"")</f>
        <v/>
      </c>
      <c r="G8" s="11">
        <f>JAN!K8</f>
        <v/>
      </c>
      <c r="H8" s="11">
        <f>FEB!K8</f>
        <v/>
      </c>
      <c r="I8" s="11">
        <f>MAR!K8</f>
        <v/>
      </c>
      <c r="J8" s="12">
        <f>IFERROR(AVERAGE(G8:I8),"")</f>
        <v/>
      </c>
      <c r="K8" s="11">
        <f>APR!K8</f>
        <v/>
      </c>
      <c r="L8" s="11">
        <f>MAY!K8</f>
        <v/>
      </c>
      <c r="M8" s="11">
        <f>JUN!K8</f>
        <v/>
      </c>
      <c r="N8" s="12">
        <f>IFERROR(AVERAGE(K8:M8),"")</f>
        <v/>
      </c>
      <c r="O8" s="11">
        <f>JUL!K8</f>
        <v/>
      </c>
      <c r="P8" s="11">
        <f>AUG!K8</f>
        <v/>
      </c>
      <c r="Q8" s="11">
        <f>SEP!K8</f>
        <v/>
      </c>
      <c r="R8" s="12">
        <f>IFERROR(AVERAGE(O8:Q8),"")</f>
        <v/>
      </c>
      <c r="S8" s="12">
        <f>IFERROR(AVERAGE(C8:E8,G8:I8,K8:M8,O8:Q8),"")</f>
        <v/>
      </c>
    </row>
    <row r="9" ht="18.75" customHeight="1">
      <c r="A9" s="3" t="n"/>
      <c r="B9" s="10" t="inlineStr">
        <is>
          <t>Headcount = 0.25</t>
        </is>
      </c>
      <c r="C9" s="11">
        <f>OCT!K9</f>
        <v/>
      </c>
      <c r="D9" s="11">
        <f>NOV!K9</f>
        <v/>
      </c>
      <c r="E9" s="11">
        <f>DEC!K9</f>
        <v/>
      </c>
      <c r="F9" s="12">
        <f>IFERROR(AVERAGE(C9:E9),"")</f>
        <v/>
      </c>
      <c r="G9" s="11">
        <f>JAN!K9</f>
        <v/>
      </c>
      <c r="H9" s="11">
        <f>FEB!K9</f>
        <v/>
      </c>
      <c r="I9" s="11">
        <f>MAR!K9</f>
        <v/>
      </c>
      <c r="J9" s="12">
        <f>IFERROR(AVERAGE(G9:I9),"")</f>
        <v/>
      </c>
      <c r="K9" s="11">
        <f>APR!K9</f>
        <v/>
      </c>
      <c r="L9" s="11">
        <f>MAY!K9</f>
        <v/>
      </c>
      <c r="M9" s="11">
        <f>JUN!K9</f>
        <v/>
      </c>
      <c r="N9" s="12">
        <f>IFERROR(AVERAGE(K9:M9),"")</f>
        <v/>
      </c>
      <c r="O9" s="11">
        <f>JUL!K9</f>
        <v/>
      </c>
      <c r="P9" s="11">
        <f>AUG!K9</f>
        <v/>
      </c>
      <c r="Q9" s="11">
        <f>SEP!K9</f>
        <v/>
      </c>
      <c r="R9" s="12">
        <f>IFERROR(AVERAGE(O9:Q9),"")</f>
        <v/>
      </c>
      <c r="S9" s="12">
        <f>IFERROR(AVERAGE(C9:E9,G9:I9,K9:M9,O9:Q9),"")</f>
        <v/>
      </c>
    </row>
    <row r="10" ht="18.75" customHeight="1">
      <c r="A10" s="3" t="n"/>
      <c r="B10" s="10" t="inlineStr">
        <is>
          <t>Standard Monthly Hours (FTE basis)</t>
        </is>
      </c>
      <c r="C10" s="14">
        <f>OCT!K10</f>
        <v/>
      </c>
      <c r="D10" s="14">
        <f>NOV!K10</f>
        <v/>
      </c>
      <c r="E10" s="14">
        <f>DEC!K10</f>
        <v/>
      </c>
      <c r="F10" s="15">
        <f>IFERROR(AVERAGE(C10:E10),"")</f>
        <v/>
      </c>
      <c r="G10" s="14">
        <f>JAN!K10</f>
        <v/>
      </c>
      <c r="H10" s="14">
        <f>FEB!K10</f>
        <v/>
      </c>
      <c r="I10" s="14">
        <f>MAR!K10</f>
        <v/>
      </c>
      <c r="J10" s="15">
        <f>IFERROR(AVERAGE(G10:I10),"")</f>
        <v/>
      </c>
      <c r="K10" s="14">
        <f>APR!K10</f>
        <v/>
      </c>
      <c r="L10" s="14">
        <f>MAY!K10</f>
        <v/>
      </c>
      <c r="M10" s="14">
        <f>JUN!K10</f>
        <v/>
      </c>
      <c r="N10" s="15">
        <f>IFERROR(AVERAGE(K10:M10),"")</f>
        <v/>
      </c>
      <c r="O10" s="14">
        <f>JUL!K10</f>
        <v/>
      </c>
      <c r="P10" s="14">
        <f>AUG!K10</f>
        <v/>
      </c>
      <c r="Q10" s="14">
        <f>SEP!K10</f>
        <v/>
      </c>
      <c r="R10" s="15">
        <f>IFERROR(AVERAGE(O10:Q10),"")</f>
        <v/>
      </c>
      <c r="S10" s="15">
        <f>IFERROR(AVERAGE(C10:E10,G10:I10,K10:M10,O10:Q10),"")</f>
        <v/>
      </c>
    </row>
    <row r="11" ht="18.75" customHeight="1">
      <c r="A11" s="3" t="n"/>
      <c r="B11" s="13" t="inlineStr">
        <is>
          <t>Employee FTE (Finance)</t>
        </is>
      </c>
      <c r="C11" s="16">
        <f>OCT!K11</f>
        <v/>
      </c>
      <c r="D11" s="16">
        <f>NOV!K11</f>
        <v/>
      </c>
      <c r="E11" s="16">
        <f>DEC!K11</f>
        <v/>
      </c>
      <c r="F11" s="17">
        <f>IF(COUNT(F6:F9)=0,"",N(F6)+N(F7)*0.75+N(F8)*0.5+N(F9)*0.25)</f>
        <v/>
      </c>
      <c r="G11" s="16">
        <f>JAN!K11</f>
        <v/>
      </c>
      <c r="H11" s="16">
        <f>FEB!K11</f>
        <v/>
      </c>
      <c r="I11" s="16">
        <f>MAR!K11</f>
        <v/>
      </c>
      <c r="J11" s="17">
        <f>IF(COUNT(J6:J9)=0,"",N(J6)+N(J7)*0.75+N(J8)*0.5+N(J9)*0.25)</f>
        <v/>
      </c>
      <c r="K11" s="16">
        <f>APR!K11</f>
        <v/>
      </c>
      <c r="L11" s="16">
        <f>MAY!K11</f>
        <v/>
      </c>
      <c r="M11" s="16">
        <f>JUN!K11</f>
        <v/>
      </c>
      <c r="N11" s="17">
        <f>IF(COUNT(N6:N9)=0,"",N(N6)+N(N7)*0.75+N(N8)*0.5+N(N9)*0.25)</f>
        <v/>
      </c>
      <c r="O11" s="16">
        <f>JUL!K11</f>
        <v/>
      </c>
      <c r="P11" s="16">
        <f>AUG!K11</f>
        <v/>
      </c>
      <c r="Q11" s="16">
        <f>SEP!K11</f>
        <v/>
      </c>
      <c r="R11" s="17">
        <f>IF(COUNT(R6:R9)=0,"",N(R6)+N(R7)*0.75+N(R8)*0.5+N(R9)*0.25)</f>
        <v/>
      </c>
      <c r="S11" s="17">
        <f>IF(COUNT(S6:S9)=0,"",N(S6)+N(S7)*0.75+N(S8)*0.5+N(S9)*0.25)</f>
        <v/>
      </c>
    </row>
    <row r="12" ht="18.75" customHeight="1">
      <c r="A12" s="3" t="n"/>
      <c r="B12" s="10" t="inlineStr">
        <is>
          <t>Subcontracted Workforce HC</t>
        </is>
      </c>
      <c r="C12" s="11">
        <f>OCT!K12</f>
        <v/>
      </c>
      <c r="D12" s="11">
        <f>NOV!K12</f>
        <v/>
      </c>
      <c r="E12" s="11">
        <f>DEC!K12</f>
        <v/>
      </c>
      <c r="F12" s="12">
        <f>IFERROR(AVERAGE(C12:E12),"")</f>
        <v/>
      </c>
      <c r="G12" s="11">
        <f>JAN!K12</f>
        <v/>
      </c>
      <c r="H12" s="11">
        <f>FEB!K12</f>
        <v/>
      </c>
      <c r="I12" s="11">
        <f>MAR!K12</f>
        <v/>
      </c>
      <c r="J12" s="12">
        <f>IFERROR(AVERAGE(G12:I12),"")</f>
        <v/>
      </c>
      <c r="K12" s="11">
        <f>APR!K12</f>
        <v/>
      </c>
      <c r="L12" s="11">
        <f>MAY!K12</f>
        <v/>
      </c>
      <c r="M12" s="11">
        <f>JUN!K12</f>
        <v/>
      </c>
      <c r="N12" s="12">
        <f>IFERROR(AVERAGE(K12:M12),"")</f>
        <v/>
      </c>
      <c r="O12" s="11">
        <f>JUL!K12</f>
        <v/>
      </c>
      <c r="P12" s="11">
        <f>AUG!K12</f>
        <v/>
      </c>
      <c r="Q12" s="11">
        <f>SEP!K12</f>
        <v/>
      </c>
      <c r="R12" s="12">
        <f>IFERROR(AVERAGE(O12:Q12),"")</f>
        <v/>
      </c>
      <c r="S12" s="12">
        <f>IFERROR(AVERAGE(C12:E12,G12:I12,K12:M12,O12:Q12),"")</f>
        <v/>
      </c>
    </row>
    <row r="13" ht="18.75" customHeight="1">
      <c r="A13" s="3" t="n"/>
      <c r="B13" s="10" t="inlineStr">
        <is>
          <t>Subcontracted Productive Hours</t>
        </is>
      </c>
      <c r="C13" s="14">
        <f>OCT!K13</f>
        <v/>
      </c>
      <c r="D13" s="14">
        <f>NOV!K13</f>
        <v/>
      </c>
      <c r="E13" s="14">
        <f>DEC!K13</f>
        <v/>
      </c>
      <c r="F13" s="15">
        <f>IFERROR(AVERAGE(C13:E13),"")</f>
        <v/>
      </c>
      <c r="G13" s="14">
        <f>JAN!K13</f>
        <v/>
      </c>
      <c r="H13" s="14">
        <f>FEB!K13</f>
        <v/>
      </c>
      <c r="I13" s="14">
        <f>MAR!K13</f>
        <v/>
      </c>
      <c r="J13" s="15">
        <f>IFERROR(AVERAGE(G13:I13),"")</f>
        <v/>
      </c>
      <c r="K13" s="14">
        <f>APR!K13</f>
        <v/>
      </c>
      <c r="L13" s="14">
        <f>MAY!K13</f>
        <v/>
      </c>
      <c r="M13" s="14">
        <f>JUN!K13</f>
        <v/>
      </c>
      <c r="N13" s="15">
        <f>IFERROR(AVERAGE(K13:M13),"")</f>
        <v/>
      </c>
      <c r="O13" s="14">
        <f>JUL!K13</f>
        <v/>
      </c>
      <c r="P13" s="14">
        <f>AUG!K13</f>
        <v/>
      </c>
      <c r="Q13" s="14">
        <f>SEP!K13</f>
        <v/>
      </c>
      <c r="R13" s="15">
        <f>IFERROR(AVERAGE(O13:Q13),"")</f>
        <v/>
      </c>
      <c r="S13" s="15">
        <f>IFERROR(AVERAGE(C13:E13,G13:I13,K13:M13,O13:Q13),"")</f>
        <v/>
      </c>
    </row>
    <row r="14" ht="18.75" customHeight="1">
      <c r="A14" s="3" t="n"/>
      <c r="B14" s="13" t="inlineStr">
        <is>
          <t>Subcontracted FTE</t>
        </is>
      </c>
      <c r="C14" s="16">
        <f>OCT!K14</f>
        <v/>
      </c>
      <c r="D14" s="16">
        <f>NOV!K14</f>
        <v/>
      </c>
      <c r="E14" s="16">
        <f>DEC!K14</f>
        <v/>
      </c>
      <c r="F14" s="17">
        <f>IFERROR(F13/F10,"")</f>
        <v/>
      </c>
      <c r="G14" s="16">
        <f>JAN!K14</f>
        <v/>
      </c>
      <c r="H14" s="16">
        <f>FEB!K14</f>
        <v/>
      </c>
      <c r="I14" s="16">
        <f>MAR!K14</f>
        <v/>
      </c>
      <c r="J14" s="17">
        <f>IFERROR(J13/J10,"")</f>
        <v/>
      </c>
      <c r="K14" s="16">
        <f>APR!K14</f>
        <v/>
      </c>
      <c r="L14" s="16">
        <f>MAY!K14</f>
        <v/>
      </c>
      <c r="M14" s="16">
        <f>JUN!K14</f>
        <v/>
      </c>
      <c r="N14" s="17">
        <f>IFERROR(N13/N10,"")</f>
        <v/>
      </c>
      <c r="O14" s="16">
        <f>JUL!K14</f>
        <v/>
      </c>
      <c r="P14" s="16">
        <f>AUG!K14</f>
        <v/>
      </c>
      <c r="Q14" s="16">
        <f>SEP!K14</f>
        <v/>
      </c>
      <c r="R14" s="17">
        <f>IFERROR(R13/R10,"")</f>
        <v/>
      </c>
      <c r="S14" s="17">
        <f>IFERROR(S13/S10,"")</f>
        <v/>
      </c>
    </row>
    <row r="15" ht="18.75" customHeight="1">
      <c r="A15" s="3" t="n"/>
      <c r="B15" s="18" t="inlineStr">
        <is>
          <t>Total Operational Workforce</t>
        </is>
      </c>
      <c r="C15" s="11">
        <f>OCT!K15</f>
        <v/>
      </c>
      <c r="D15" s="11">
        <f>NOV!K15</f>
        <v/>
      </c>
      <c r="E15" s="11">
        <f>DEC!K15</f>
        <v/>
      </c>
      <c r="F15" s="12">
        <f>IF(COUNT(F5,F12)=0,"",SUM(F5,F12))</f>
        <v/>
      </c>
      <c r="G15" s="11">
        <f>JAN!K15</f>
        <v/>
      </c>
      <c r="H15" s="11">
        <f>FEB!K15</f>
        <v/>
      </c>
      <c r="I15" s="11">
        <f>MAR!K15</f>
        <v/>
      </c>
      <c r="J15" s="12">
        <f>IF(COUNT(J5,J12)=0,"",SUM(J5,J12))</f>
        <v/>
      </c>
      <c r="K15" s="11">
        <f>APR!K15</f>
        <v/>
      </c>
      <c r="L15" s="11">
        <f>MAY!K15</f>
        <v/>
      </c>
      <c r="M15" s="11">
        <f>JUN!K15</f>
        <v/>
      </c>
      <c r="N15" s="12">
        <f>IF(COUNT(N5,N12)=0,"",SUM(N5,N12))</f>
        <v/>
      </c>
      <c r="O15" s="11">
        <f>JUL!K15</f>
        <v/>
      </c>
      <c r="P15" s="11">
        <f>AUG!K15</f>
        <v/>
      </c>
      <c r="Q15" s="11">
        <f>SEP!K15</f>
        <v/>
      </c>
      <c r="R15" s="12">
        <f>IF(COUNT(R5,R12)=0,"",SUM(R5,R12))</f>
        <v/>
      </c>
      <c r="S15" s="12">
        <f>IF(COUNT(S5,S12)=0,"",SUM(S5,S12))</f>
        <v/>
      </c>
    </row>
    <row r="16" ht="18.75" customHeight="1">
      <c r="A16" s="3" t="n"/>
      <c r="B16" s="18" t="inlineStr">
        <is>
          <t>Total Operational FTE</t>
        </is>
      </c>
      <c r="C16" s="16">
        <f>OCT!K16</f>
        <v/>
      </c>
      <c r="D16" s="16">
        <f>NOV!K16</f>
        <v/>
      </c>
      <c r="E16" s="16">
        <f>DEC!K16</f>
        <v/>
      </c>
      <c r="F16" s="17">
        <f>IF(COUNT(F11,F14)=0,"",SUM(F11,F14))</f>
        <v/>
      </c>
      <c r="G16" s="16">
        <f>JAN!K16</f>
        <v/>
      </c>
      <c r="H16" s="16">
        <f>FEB!K16</f>
        <v/>
      </c>
      <c r="I16" s="16">
        <f>MAR!K16</f>
        <v/>
      </c>
      <c r="J16" s="17">
        <f>IF(COUNT(J11,J14)=0,"",SUM(J11,J14))</f>
        <v/>
      </c>
      <c r="K16" s="16">
        <f>APR!K16</f>
        <v/>
      </c>
      <c r="L16" s="16">
        <f>MAY!K16</f>
        <v/>
      </c>
      <c r="M16" s="16">
        <f>JUN!K16</f>
        <v/>
      </c>
      <c r="N16" s="17">
        <f>IF(COUNT(N11,N14)=0,"",SUM(N11,N14))</f>
        <v/>
      </c>
      <c r="O16" s="16">
        <f>JUL!K16</f>
        <v/>
      </c>
      <c r="P16" s="16">
        <f>AUG!K16</f>
        <v/>
      </c>
      <c r="Q16" s="16">
        <f>SEP!K16</f>
        <v/>
      </c>
      <c r="R16" s="17">
        <f>IF(COUNT(R11,R14)=0,"",SUM(R11,R14))</f>
        <v/>
      </c>
      <c r="S16" s="17">
        <f>IF(COUNT(S11,S14)=0,"",SUM(S11,S14))</f>
        <v/>
      </c>
    </row>
    <row r="17" ht="18.75" customHeight="1">
      <c r="A17" s="3" t="n"/>
      <c r="B17" s="13" t="inlineStr">
        <is>
          <t>Subcontracted Share of Workforce (%)</t>
        </is>
      </c>
      <c r="C17" s="19">
        <f>OCT!K17</f>
        <v/>
      </c>
      <c r="D17" s="19">
        <f>NOV!K17</f>
        <v/>
      </c>
      <c r="E17" s="19">
        <f>DEC!K17</f>
        <v/>
      </c>
      <c r="F17" s="20">
        <f>IFERROR(F12/F15,"")</f>
        <v/>
      </c>
      <c r="G17" s="19">
        <f>JAN!K17</f>
        <v/>
      </c>
      <c r="H17" s="19">
        <f>FEB!K17</f>
        <v/>
      </c>
      <c r="I17" s="19">
        <f>MAR!K17</f>
        <v/>
      </c>
      <c r="J17" s="20">
        <f>IFERROR(J12/J15,"")</f>
        <v/>
      </c>
      <c r="K17" s="19">
        <f>APR!K17</f>
        <v/>
      </c>
      <c r="L17" s="19">
        <f>MAY!K17</f>
        <v/>
      </c>
      <c r="M17" s="19">
        <f>JUN!K17</f>
        <v/>
      </c>
      <c r="N17" s="20">
        <f>IFERROR(N12/N15,"")</f>
        <v/>
      </c>
      <c r="O17" s="19">
        <f>JUL!K17</f>
        <v/>
      </c>
      <c r="P17" s="19">
        <f>AUG!K17</f>
        <v/>
      </c>
      <c r="Q17" s="19">
        <f>SEP!K17</f>
        <v/>
      </c>
      <c r="R17" s="20">
        <f>IFERROR(R12/R15,"")</f>
        <v/>
      </c>
      <c r="S17" s="20">
        <f>IFERROR(S12/S15,"")</f>
        <v/>
      </c>
    </row>
    <row r="18" ht="18.75" customHeight="1">
      <c r="A18" s="3" t="n"/>
      <c r="B18" s="10" t="inlineStr">
        <is>
          <t>FTE HR Team</t>
        </is>
      </c>
      <c r="C18" s="11">
        <f>OCT!K18</f>
        <v/>
      </c>
      <c r="D18" s="11">
        <f>NOV!K18</f>
        <v/>
      </c>
      <c r="E18" s="11">
        <f>DEC!K18</f>
        <v/>
      </c>
      <c r="F18" s="12">
        <f>IFERROR(AVERAGE(C18:E18),"")</f>
        <v/>
      </c>
      <c r="G18" s="11">
        <f>JAN!K18</f>
        <v/>
      </c>
      <c r="H18" s="11">
        <f>FEB!K18</f>
        <v/>
      </c>
      <c r="I18" s="11">
        <f>MAR!K18</f>
        <v/>
      </c>
      <c r="J18" s="12">
        <f>IFERROR(AVERAGE(G18:I18),"")</f>
        <v/>
      </c>
      <c r="K18" s="11">
        <f>APR!K18</f>
        <v/>
      </c>
      <c r="L18" s="11">
        <f>MAY!K18</f>
        <v/>
      </c>
      <c r="M18" s="11">
        <f>JUN!K18</f>
        <v/>
      </c>
      <c r="N18" s="12">
        <f>IFERROR(AVERAGE(K18:M18),"")</f>
        <v/>
      </c>
      <c r="O18" s="11">
        <f>JUL!K18</f>
        <v/>
      </c>
      <c r="P18" s="11">
        <f>AUG!K18</f>
        <v/>
      </c>
      <c r="Q18" s="11">
        <f>SEP!K18</f>
        <v/>
      </c>
      <c r="R18" s="12">
        <f>IFERROR(AVERAGE(O18:Q18),"")</f>
        <v/>
      </c>
      <c r="S18" s="12">
        <f>IFERROR(AVERAGE(C18:E18,G18:I18,K18:M18,O18:Q18),"")</f>
        <v/>
      </c>
    </row>
    <row r="19" ht="18.75" customHeight="1">
      <c r="A19" s="3" t="n"/>
      <c r="B19" s="10" t="inlineStr">
        <is>
          <t>Permanent Hires</t>
        </is>
      </c>
      <c r="C19" s="11">
        <f>OCT!K19</f>
        <v/>
      </c>
      <c r="D19" s="11">
        <f>NOV!K19</f>
        <v/>
      </c>
      <c r="E19" s="11">
        <f>DEC!K19</f>
        <v/>
      </c>
      <c r="F19" s="12">
        <f>IF(COUNT(C19:E19)=0,"",SUM(C19:E19))</f>
        <v/>
      </c>
      <c r="G19" s="11">
        <f>JAN!K19</f>
        <v/>
      </c>
      <c r="H19" s="11">
        <f>FEB!K19</f>
        <v/>
      </c>
      <c r="I19" s="11">
        <f>MAR!K19</f>
        <v/>
      </c>
      <c r="J19" s="12">
        <f>IF(COUNT(G19:I19)=0,"",SUM(G19:I19))</f>
        <v/>
      </c>
      <c r="K19" s="11">
        <f>APR!K19</f>
        <v/>
      </c>
      <c r="L19" s="11">
        <f>MAY!K19</f>
        <v/>
      </c>
      <c r="M19" s="11">
        <f>JUN!K19</f>
        <v/>
      </c>
      <c r="N19" s="12">
        <f>IF(COUNT(K19:M19)=0,"",SUM(K19:M19))</f>
        <v/>
      </c>
      <c r="O19" s="11">
        <f>JUL!K19</f>
        <v/>
      </c>
      <c r="P19" s="11">
        <f>AUG!K19</f>
        <v/>
      </c>
      <c r="Q19" s="11">
        <f>SEP!K19</f>
        <v/>
      </c>
      <c r="R19" s="12">
        <f>IF(COUNT(O19:Q19)=0,"",SUM(O19:Q19))</f>
        <v/>
      </c>
      <c r="S19" s="12">
        <f>IF(COUNT(C19:E19,G19:I19,K19:M19,O19:Q19)=0,"",SUM(C19:E19,G19:I19,K19:M19,O19:Q19))</f>
        <v/>
      </c>
    </row>
    <row r="20" ht="18.75" customHeight="1">
      <c r="A20" s="3" t="n"/>
      <c r="B20" s="10" t="inlineStr">
        <is>
          <t>Temporary Hires</t>
        </is>
      </c>
      <c r="C20" s="11">
        <f>OCT!K20</f>
        <v/>
      </c>
      <c r="D20" s="11">
        <f>NOV!K20</f>
        <v/>
      </c>
      <c r="E20" s="11">
        <f>DEC!K20</f>
        <v/>
      </c>
      <c r="F20" s="12">
        <f>IF(COUNT(C20:E20)=0,"",SUM(C20:E20))</f>
        <v/>
      </c>
      <c r="G20" s="11">
        <f>JAN!K20</f>
        <v/>
      </c>
      <c r="H20" s="11">
        <f>FEB!K20</f>
        <v/>
      </c>
      <c r="I20" s="11">
        <f>MAR!K20</f>
        <v/>
      </c>
      <c r="J20" s="12">
        <f>IF(COUNT(G20:I20)=0,"",SUM(G20:I20))</f>
        <v/>
      </c>
      <c r="K20" s="11">
        <f>APR!K20</f>
        <v/>
      </c>
      <c r="L20" s="11">
        <f>MAY!K20</f>
        <v/>
      </c>
      <c r="M20" s="11">
        <f>JUN!K20</f>
        <v/>
      </c>
      <c r="N20" s="12">
        <f>IF(COUNT(K20:M20)=0,"",SUM(K20:M20))</f>
        <v/>
      </c>
      <c r="O20" s="11">
        <f>JUL!K20</f>
        <v/>
      </c>
      <c r="P20" s="11">
        <f>AUG!K20</f>
        <v/>
      </c>
      <c r="Q20" s="11">
        <f>SEP!K20</f>
        <v/>
      </c>
      <c r="R20" s="12">
        <f>IF(COUNT(O20:Q20)=0,"",SUM(O20:Q20))</f>
        <v/>
      </c>
      <c r="S20" s="12">
        <f>IF(COUNT(C20:E20,G20:I20,K20:M20,O20:Q20)=0,"",SUM(C20:E20,G20:I20,K20:M20,O20:Q20))</f>
        <v/>
      </c>
    </row>
    <row r="21" ht="18.75" customHeight="1">
      <c r="A21" s="3" t="n"/>
      <c r="B21" s="13" t="inlineStr">
        <is>
          <t>Total Hires</t>
        </is>
      </c>
      <c r="C21" s="11">
        <f>OCT!K21</f>
        <v/>
      </c>
      <c r="D21" s="11">
        <f>NOV!K21</f>
        <v/>
      </c>
      <c r="E21" s="11">
        <f>DEC!K21</f>
        <v/>
      </c>
      <c r="F21" s="12">
        <f>IF(COUNT(F19:F20)=0,"",SUM(F19:F20))</f>
        <v/>
      </c>
      <c r="G21" s="11">
        <f>JAN!K21</f>
        <v/>
      </c>
      <c r="H21" s="11">
        <f>FEB!K21</f>
        <v/>
      </c>
      <c r="I21" s="11">
        <f>MAR!K21</f>
        <v/>
      </c>
      <c r="J21" s="12">
        <f>IF(COUNT(J19:J20)=0,"",SUM(J19:J20))</f>
        <v/>
      </c>
      <c r="K21" s="11">
        <f>APR!K21</f>
        <v/>
      </c>
      <c r="L21" s="11">
        <f>MAY!K21</f>
        <v/>
      </c>
      <c r="M21" s="11">
        <f>JUN!K21</f>
        <v/>
      </c>
      <c r="N21" s="12">
        <f>IF(COUNT(N19:N20)=0,"",SUM(N19:N20))</f>
        <v/>
      </c>
      <c r="O21" s="11">
        <f>JUL!K21</f>
        <v/>
      </c>
      <c r="P21" s="11">
        <f>AUG!K21</f>
        <v/>
      </c>
      <c r="Q21" s="11">
        <f>SEP!K21</f>
        <v/>
      </c>
      <c r="R21" s="12">
        <f>IF(COUNT(R19:R20)=0,"",SUM(R19:R20))</f>
        <v/>
      </c>
      <c r="S21" s="12">
        <f>IF(COUNT(S19:S20)=0,"",SUM(S19:S20))</f>
        <v/>
      </c>
    </row>
    <row r="22" ht="18.75" customHeight="1">
      <c r="A22" s="3" t="n"/>
      <c r="B22" s="10" t="inlineStr">
        <is>
          <t>Permanent Exits</t>
        </is>
      </c>
      <c r="C22" s="11">
        <f>OCT!K22</f>
        <v/>
      </c>
      <c r="D22" s="11">
        <f>NOV!K22</f>
        <v/>
      </c>
      <c r="E22" s="11">
        <f>DEC!K22</f>
        <v/>
      </c>
      <c r="F22" s="12">
        <f>IF(COUNT(C22:E22)=0,"",SUM(C22:E22))</f>
        <v/>
      </c>
      <c r="G22" s="11">
        <f>JAN!K22</f>
        <v/>
      </c>
      <c r="H22" s="11">
        <f>FEB!K22</f>
        <v/>
      </c>
      <c r="I22" s="11">
        <f>MAR!K22</f>
        <v/>
      </c>
      <c r="J22" s="12">
        <f>IF(COUNT(G22:I22)=0,"",SUM(G22:I22))</f>
        <v/>
      </c>
      <c r="K22" s="11">
        <f>APR!K22</f>
        <v/>
      </c>
      <c r="L22" s="11">
        <f>MAY!K22</f>
        <v/>
      </c>
      <c r="M22" s="11">
        <f>JUN!K22</f>
        <v/>
      </c>
      <c r="N22" s="12">
        <f>IF(COUNT(K22:M22)=0,"",SUM(K22:M22))</f>
        <v/>
      </c>
      <c r="O22" s="11">
        <f>JUL!K22</f>
        <v/>
      </c>
      <c r="P22" s="11">
        <f>AUG!K22</f>
        <v/>
      </c>
      <c r="Q22" s="11">
        <f>SEP!K22</f>
        <v/>
      </c>
      <c r="R22" s="12">
        <f>IF(COUNT(O22:Q22)=0,"",SUM(O22:Q22))</f>
        <v/>
      </c>
      <c r="S22" s="12">
        <f>IF(COUNT(C22:E22,G22:I22,K22:M22,O22:Q22)=0,"",SUM(C22:E22,G22:I22,K22:M22,O22:Q22))</f>
        <v/>
      </c>
    </row>
    <row r="23" ht="18.75" customHeight="1">
      <c r="A23" s="3" t="n"/>
      <c r="B23" s="10" t="inlineStr">
        <is>
          <t>Temporary Exits</t>
        </is>
      </c>
      <c r="C23" s="11">
        <f>OCT!K23</f>
        <v/>
      </c>
      <c r="D23" s="11">
        <f>NOV!K23</f>
        <v/>
      </c>
      <c r="E23" s="11">
        <f>DEC!K23</f>
        <v/>
      </c>
      <c r="F23" s="12">
        <f>IF(COUNT(C23:E23)=0,"",SUM(C23:E23))</f>
        <v/>
      </c>
      <c r="G23" s="11">
        <f>JAN!K23</f>
        <v/>
      </c>
      <c r="H23" s="11">
        <f>FEB!K23</f>
        <v/>
      </c>
      <c r="I23" s="11">
        <f>MAR!K23</f>
        <v/>
      </c>
      <c r="J23" s="12">
        <f>IF(COUNT(G23:I23)=0,"",SUM(G23:I23))</f>
        <v/>
      </c>
      <c r="K23" s="11">
        <f>APR!K23</f>
        <v/>
      </c>
      <c r="L23" s="11">
        <f>MAY!K23</f>
        <v/>
      </c>
      <c r="M23" s="11">
        <f>JUN!K23</f>
        <v/>
      </c>
      <c r="N23" s="12">
        <f>IF(COUNT(K23:M23)=0,"",SUM(K23:M23))</f>
        <v/>
      </c>
      <c r="O23" s="11">
        <f>JUL!K23</f>
        <v/>
      </c>
      <c r="P23" s="11">
        <f>AUG!K23</f>
        <v/>
      </c>
      <c r="Q23" s="11">
        <f>SEP!K23</f>
        <v/>
      </c>
      <c r="R23" s="12">
        <f>IF(COUNT(O23:Q23)=0,"",SUM(O23:Q23))</f>
        <v/>
      </c>
      <c r="S23" s="12">
        <f>IF(COUNT(C23:E23,G23:I23,K23:M23,O23:Q23)=0,"",SUM(C23:E23,G23:I23,K23:M23,O23:Q23))</f>
        <v/>
      </c>
    </row>
    <row r="24" ht="18.75" customHeight="1">
      <c r="A24" s="3" t="n"/>
      <c r="B24" s="13" t="inlineStr">
        <is>
          <t>Total Exits</t>
        </is>
      </c>
      <c r="C24" s="11">
        <f>OCT!K24</f>
        <v/>
      </c>
      <c r="D24" s="11">
        <f>NOV!K24</f>
        <v/>
      </c>
      <c r="E24" s="11">
        <f>DEC!K24</f>
        <v/>
      </c>
      <c r="F24" s="12">
        <f>IF(COUNT(F22:F23)=0,"",SUM(F22:F23))</f>
        <v/>
      </c>
      <c r="G24" s="11">
        <f>JAN!K24</f>
        <v/>
      </c>
      <c r="H24" s="11">
        <f>FEB!K24</f>
        <v/>
      </c>
      <c r="I24" s="11">
        <f>MAR!K24</f>
        <v/>
      </c>
      <c r="J24" s="12">
        <f>IF(COUNT(J22:J23)=0,"",SUM(J22:J23))</f>
        <v/>
      </c>
      <c r="K24" s="11">
        <f>APR!K24</f>
        <v/>
      </c>
      <c r="L24" s="11">
        <f>MAY!K24</f>
        <v/>
      </c>
      <c r="M24" s="11">
        <f>JUN!K24</f>
        <v/>
      </c>
      <c r="N24" s="12">
        <f>IF(COUNT(N22:N23)=0,"",SUM(N22:N23))</f>
        <v/>
      </c>
      <c r="O24" s="11">
        <f>JUL!K24</f>
        <v/>
      </c>
      <c r="P24" s="11">
        <f>AUG!K24</f>
        <v/>
      </c>
      <c r="Q24" s="11">
        <f>SEP!K24</f>
        <v/>
      </c>
      <c r="R24" s="12">
        <f>IF(COUNT(R22:R23)=0,"",SUM(R22:R23))</f>
        <v/>
      </c>
      <c r="S24" s="12">
        <f>IF(COUNT(S22:S23)=0,"",SUM(S22:S23))</f>
        <v/>
      </c>
    </row>
    <row r="25" ht="18.75" customHeight="1">
      <c r="A25" s="3" t="n"/>
      <c r="B25" s="21" t="inlineStr">
        <is>
          <t>Permanent Turnover (%)</t>
        </is>
      </c>
      <c r="C25" s="19">
        <f>OCT!K25</f>
        <v/>
      </c>
      <c r="D25" s="19">
        <f>NOV!K25</f>
        <v/>
      </c>
      <c r="E25" s="19">
        <f>DEC!K25</f>
        <v/>
      </c>
      <c r="F25" s="20">
        <f>IF(COUNT(F31,F32)&lt;2,"",IF((F32+F31)=0,"",N(F22)/((F32+F31)/2)))</f>
        <v/>
      </c>
      <c r="G25" s="19">
        <f>JAN!K25</f>
        <v/>
      </c>
      <c r="H25" s="19">
        <f>FEB!K25</f>
        <v/>
      </c>
      <c r="I25" s="19">
        <f>MAR!K25</f>
        <v/>
      </c>
      <c r="J25" s="20">
        <f>IF(COUNT(J31,J32)&lt;2,"",IF((J32+J31)=0,"",N(J22)/((J32+J31)/2)))</f>
        <v/>
      </c>
      <c r="K25" s="19">
        <f>APR!K25</f>
        <v/>
      </c>
      <c r="L25" s="19">
        <f>MAY!K25</f>
        <v/>
      </c>
      <c r="M25" s="19">
        <f>JUN!K25</f>
        <v/>
      </c>
      <c r="N25" s="20">
        <f>IF(COUNT(N31,N32)&lt;2,"",IF((N32+N31)=0,"",N(N22)/((N32+N31)/2)))</f>
        <v/>
      </c>
      <c r="O25" s="19">
        <f>JUL!K25</f>
        <v/>
      </c>
      <c r="P25" s="19">
        <f>AUG!K25</f>
        <v/>
      </c>
      <c r="Q25" s="19">
        <f>SEP!K25</f>
        <v/>
      </c>
      <c r="R25" s="20">
        <f>IF(COUNT(R31,R32)&lt;2,"",IF((R32+R31)=0,"",N(R22)/((R32+R31)/2)))</f>
        <v/>
      </c>
      <c r="S25" s="20">
        <f>IF(COUNT(S31,S32)&lt;2,"",IF((S32+S31)=0,"",N(S22)/((S32+S31)/2)))</f>
        <v/>
      </c>
    </row>
    <row r="26" ht="18.75" customHeight="1">
      <c r="A26" s="3" t="n"/>
      <c r="B26" s="21" t="inlineStr">
        <is>
          <t>Temporary Turnover (%)</t>
        </is>
      </c>
      <c r="C26" s="19">
        <f>OCT!K26</f>
        <v/>
      </c>
      <c r="D26" s="19">
        <f>NOV!K26</f>
        <v/>
      </c>
      <c r="E26" s="19">
        <f>DEC!K26</f>
        <v/>
      </c>
      <c r="F26" s="20">
        <f>IF(COUNT(F31,F32)&lt;2,"",IF((F32+F31)=0,"",N(F23)/((F32+F31)/2)))</f>
        <v/>
      </c>
      <c r="G26" s="19">
        <f>JAN!K26</f>
        <v/>
      </c>
      <c r="H26" s="19">
        <f>FEB!K26</f>
        <v/>
      </c>
      <c r="I26" s="19">
        <f>MAR!K26</f>
        <v/>
      </c>
      <c r="J26" s="20">
        <f>IF(COUNT(J31,J32)&lt;2,"",IF((J32+J31)=0,"",N(J23)/((J32+J31)/2)))</f>
        <v/>
      </c>
      <c r="K26" s="19">
        <f>APR!K26</f>
        <v/>
      </c>
      <c r="L26" s="19">
        <f>MAY!K26</f>
        <v/>
      </c>
      <c r="M26" s="19">
        <f>JUN!K26</f>
        <v/>
      </c>
      <c r="N26" s="20">
        <f>IF(COUNT(N31,N32)&lt;2,"",IF((N32+N31)=0,"",N(N23)/((N32+N31)/2)))</f>
        <v/>
      </c>
      <c r="O26" s="19">
        <f>JUL!K26</f>
        <v/>
      </c>
      <c r="P26" s="19">
        <f>AUG!K26</f>
        <v/>
      </c>
      <c r="Q26" s="19">
        <f>SEP!K26</f>
        <v/>
      </c>
      <c r="R26" s="20">
        <f>IF(COUNT(R31,R32)&lt;2,"",IF((R32+R31)=0,"",N(R23)/((R32+R31)/2)))</f>
        <v/>
      </c>
      <c r="S26" s="20">
        <f>IF(COUNT(S31,S32)&lt;2,"",IF((S32+S31)=0,"",N(S23)/((S32+S31)/2)))</f>
        <v/>
      </c>
    </row>
    <row r="27" ht="18.75" customHeight="1">
      <c r="A27" s="3" t="n"/>
      <c r="B27" s="22" t="inlineStr">
        <is>
          <t>Voluntary Terminations</t>
        </is>
      </c>
      <c r="C27" s="11">
        <f>OCT!K27</f>
        <v/>
      </c>
      <c r="D27" s="11">
        <f>NOV!K27</f>
        <v/>
      </c>
      <c r="E27" s="11">
        <f>DEC!K27</f>
        <v/>
      </c>
      <c r="F27" s="12">
        <f>IF(COUNT(C27:E27)=0,"",SUM(C27:E27))</f>
        <v/>
      </c>
      <c r="G27" s="11">
        <f>JAN!K27</f>
        <v/>
      </c>
      <c r="H27" s="11">
        <f>FEB!K27</f>
        <v/>
      </c>
      <c r="I27" s="11">
        <f>MAR!K27</f>
        <v/>
      </c>
      <c r="J27" s="12">
        <f>IF(COUNT(G27:I27)=0,"",SUM(G27:I27))</f>
        <v/>
      </c>
      <c r="K27" s="11">
        <f>APR!K27</f>
        <v/>
      </c>
      <c r="L27" s="11">
        <f>MAY!K27</f>
        <v/>
      </c>
      <c r="M27" s="11">
        <f>JUN!K27</f>
        <v/>
      </c>
      <c r="N27" s="12">
        <f>IF(COUNT(K27:M27)=0,"",SUM(K27:M27))</f>
        <v/>
      </c>
      <c r="O27" s="11">
        <f>JUL!K27</f>
        <v/>
      </c>
      <c r="P27" s="11">
        <f>AUG!K27</f>
        <v/>
      </c>
      <c r="Q27" s="11">
        <f>SEP!K27</f>
        <v/>
      </c>
      <c r="R27" s="12">
        <f>IF(COUNT(O27:Q27)=0,"",SUM(O27:Q27))</f>
        <v/>
      </c>
      <c r="S27" s="12">
        <f>IF(COUNT(C27:E27,G27:I27,K27:M27,O27:Q27)=0,"",SUM(C27:E27,G27:I27,K27:M27,O27:Q27))</f>
        <v/>
      </c>
    </row>
    <row r="28" ht="18.75" customHeight="1">
      <c r="A28" s="3" t="n"/>
      <c r="B28" s="22" t="inlineStr">
        <is>
          <t>Involuntary Terminations</t>
        </is>
      </c>
      <c r="C28" s="11">
        <f>OCT!K28</f>
        <v/>
      </c>
      <c r="D28" s="11">
        <f>NOV!K28</f>
        <v/>
      </c>
      <c r="E28" s="11">
        <f>DEC!K28</f>
        <v/>
      </c>
      <c r="F28" s="12">
        <f>IF(COUNT(C28:E28)=0,"",SUM(C28:E28))</f>
        <v/>
      </c>
      <c r="G28" s="11">
        <f>JAN!K28</f>
        <v/>
      </c>
      <c r="H28" s="11">
        <f>FEB!K28</f>
        <v/>
      </c>
      <c r="I28" s="11">
        <f>MAR!K28</f>
        <v/>
      </c>
      <c r="J28" s="12">
        <f>IF(COUNT(G28:I28)=0,"",SUM(G28:I28))</f>
        <v/>
      </c>
      <c r="K28" s="11">
        <f>APR!K28</f>
        <v/>
      </c>
      <c r="L28" s="11">
        <f>MAY!K28</f>
        <v/>
      </c>
      <c r="M28" s="11">
        <f>JUN!K28</f>
        <v/>
      </c>
      <c r="N28" s="12">
        <f>IF(COUNT(K28:M28)=0,"",SUM(K28:M28))</f>
        <v/>
      </c>
      <c r="O28" s="11">
        <f>JUL!K28</f>
        <v/>
      </c>
      <c r="P28" s="11">
        <f>AUG!K28</f>
        <v/>
      </c>
      <c r="Q28" s="11">
        <f>SEP!K28</f>
        <v/>
      </c>
      <c r="R28" s="12">
        <f>IF(COUNT(O28:Q28)=0,"",SUM(O28:Q28))</f>
        <v/>
      </c>
      <c r="S28" s="12">
        <f>IF(COUNT(C28:E28,G28:I28,K28:M28,O28:Q28)=0,"",SUM(C28:E28,G28:I28,K28:M28,O28:Q28))</f>
        <v/>
      </c>
    </row>
    <row r="29" ht="18.75" customHeight="1">
      <c r="A29" s="3" t="n"/>
      <c r="B29" s="21" t="inlineStr">
        <is>
          <t>Voluntary Turnover (%)</t>
        </is>
      </c>
      <c r="C29" s="19">
        <f>OCT!K29</f>
        <v/>
      </c>
      <c r="D29" s="19">
        <f>NOV!K29</f>
        <v/>
      </c>
      <c r="E29" s="19">
        <f>DEC!K29</f>
        <v/>
      </c>
      <c r="F29" s="20">
        <f>IF(COUNT(F31,F32)&lt;2,"",IF((F32+F31)=0,"",N(F27)/((F32+F31)/2)))</f>
        <v/>
      </c>
      <c r="G29" s="19">
        <f>JAN!K29</f>
        <v/>
      </c>
      <c r="H29" s="19">
        <f>FEB!K29</f>
        <v/>
      </c>
      <c r="I29" s="19">
        <f>MAR!K29</f>
        <v/>
      </c>
      <c r="J29" s="20">
        <f>IF(COUNT(J31,J32)&lt;2,"",IF((J32+J31)=0,"",N(J27)/((J32+J31)/2)))</f>
        <v/>
      </c>
      <c r="K29" s="19">
        <f>APR!K29</f>
        <v/>
      </c>
      <c r="L29" s="19">
        <f>MAY!K29</f>
        <v/>
      </c>
      <c r="M29" s="19">
        <f>JUN!K29</f>
        <v/>
      </c>
      <c r="N29" s="20">
        <f>IF(COUNT(N31,N32)&lt;2,"",IF((N32+N31)=0,"",N(N27)/((N32+N31)/2)))</f>
        <v/>
      </c>
      <c r="O29" s="19">
        <f>JUL!K29</f>
        <v/>
      </c>
      <c r="P29" s="19">
        <f>AUG!K29</f>
        <v/>
      </c>
      <c r="Q29" s="19">
        <f>SEP!K29</f>
        <v/>
      </c>
      <c r="R29" s="20">
        <f>IF(COUNT(R31,R32)&lt;2,"",IF((R32+R31)=0,"",N(R27)/((R32+R31)/2)))</f>
        <v/>
      </c>
      <c r="S29" s="20">
        <f>IF(COUNT(S31,S32)&lt;2,"",IF((S32+S31)=0,"",N(S27)/((S32+S31)/2)))</f>
        <v/>
      </c>
    </row>
    <row r="30" ht="18.75" customHeight="1">
      <c r="A30" s="3" t="n"/>
      <c r="B30" s="21" t="inlineStr">
        <is>
          <t>Involuntary Turnover (%)</t>
        </is>
      </c>
      <c r="C30" s="19">
        <f>OCT!K30</f>
        <v/>
      </c>
      <c r="D30" s="19">
        <f>NOV!K30</f>
        <v/>
      </c>
      <c r="E30" s="19">
        <f>DEC!K30</f>
        <v/>
      </c>
      <c r="F30" s="20">
        <f>IF(COUNT(F31,F32)&lt;2,"",IF((F32+F31)=0,"",N(F28)/((F32+F31)/2)))</f>
        <v/>
      </c>
      <c r="G30" s="19">
        <f>JAN!K30</f>
        <v/>
      </c>
      <c r="H30" s="19">
        <f>FEB!K30</f>
        <v/>
      </c>
      <c r="I30" s="19">
        <f>MAR!K30</f>
        <v/>
      </c>
      <c r="J30" s="20">
        <f>IF(COUNT(J31,J32)&lt;2,"",IF((J32+J31)=0,"",N(J28)/((J32+J31)/2)))</f>
        <v/>
      </c>
      <c r="K30" s="19">
        <f>APR!K30</f>
        <v/>
      </c>
      <c r="L30" s="19">
        <f>MAY!K30</f>
        <v/>
      </c>
      <c r="M30" s="19">
        <f>JUN!K30</f>
        <v/>
      </c>
      <c r="N30" s="20">
        <f>IF(COUNT(N31,N32)&lt;2,"",IF((N32+N31)=0,"",N(N28)/((N32+N31)/2)))</f>
        <v/>
      </c>
      <c r="O30" s="19">
        <f>JUL!K30</f>
        <v/>
      </c>
      <c r="P30" s="19">
        <f>AUG!K30</f>
        <v/>
      </c>
      <c r="Q30" s="19">
        <f>SEP!K30</f>
        <v/>
      </c>
      <c r="R30" s="20">
        <f>IF(COUNT(R31,R32)&lt;2,"",IF((R32+R31)=0,"",N(R28)/((R32+R31)/2)))</f>
        <v/>
      </c>
      <c r="S30" s="20">
        <f>IF(COUNT(S31,S32)&lt;2,"",IF((S32+S31)=0,"",N(S28)/((S32+S31)/2)))</f>
        <v/>
      </c>
    </row>
    <row r="31" ht="18.75" customHeight="1">
      <c r="A31" s="3" t="n"/>
      <c r="B31" s="10" t="inlineStr">
        <is>
          <t>Headcount last Month</t>
        </is>
      </c>
      <c r="C31" s="11">
        <f>OCT!K31</f>
        <v/>
      </c>
      <c r="D31" s="11">
        <f>NOV!K31</f>
        <v/>
      </c>
      <c r="E31" s="11">
        <f>DEC!K31</f>
        <v/>
      </c>
      <c r="F31" s="12">
        <f>IFERROR(AVERAGE(C31:E31),"")</f>
        <v/>
      </c>
      <c r="G31" s="11">
        <f>JAN!K31</f>
        <v/>
      </c>
      <c r="H31" s="11">
        <f>FEB!K31</f>
        <v/>
      </c>
      <c r="I31" s="11">
        <f>MAR!K31</f>
        <v/>
      </c>
      <c r="J31" s="12">
        <f>IFERROR(AVERAGE(G31:I31),"")</f>
        <v/>
      </c>
      <c r="K31" s="11">
        <f>APR!K31</f>
        <v/>
      </c>
      <c r="L31" s="11">
        <f>MAY!K31</f>
        <v/>
      </c>
      <c r="M31" s="11">
        <f>JUN!K31</f>
        <v/>
      </c>
      <c r="N31" s="12">
        <f>IFERROR(AVERAGE(K31:M31),"")</f>
        <v/>
      </c>
      <c r="O31" s="11">
        <f>JUL!K31</f>
        <v/>
      </c>
      <c r="P31" s="11">
        <f>AUG!K31</f>
        <v/>
      </c>
      <c r="Q31" s="11">
        <f>SEP!K31</f>
        <v/>
      </c>
      <c r="R31" s="12">
        <f>IFERROR(AVERAGE(O31:Q31),"")</f>
        <v/>
      </c>
      <c r="S31" s="12">
        <f>IFERROR(AVERAGE(C31:E31,G31:I31,K31:M31,O31:Q31),"")</f>
        <v/>
      </c>
    </row>
    <row r="32" ht="18.75" customHeight="1">
      <c r="A32" s="3" t="n"/>
      <c r="B32" s="13" t="inlineStr">
        <is>
          <t>Headcount this Month</t>
        </is>
      </c>
      <c r="C32" s="11">
        <f>OCT!K32</f>
        <v/>
      </c>
      <c r="D32" s="11">
        <f>NOV!K32</f>
        <v/>
      </c>
      <c r="E32" s="11">
        <f>DEC!K32</f>
        <v/>
      </c>
      <c r="F32" s="12">
        <f>IFERROR(AVERAGE(C32:E32),"")</f>
        <v/>
      </c>
      <c r="G32" s="11">
        <f>JAN!K32</f>
        <v/>
      </c>
      <c r="H32" s="11">
        <f>FEB!K32</f>
        <v/>
      </c>
      <c r="I32" s="11">
        <f>MAR!K32</f>
        <v/>
      </c>
      <c r="J32" s="12">
        <f>IFERROR(AVERAGE(G32:I32),"")</f>
        <v/>
      </c>
      <c r="K32" s="11">
        <f>APR!K32</f>
        <v/>
      </c>
      <c r="L32" s="11">
        <f>MAY!K32</f>
        <v/>
      </c>
      <c r="M32" s="11">
        <f>JUN!K32</f>
        <v/>
      </c>
      <c r="N32" s="12">
        <f>IFERROR(AVERAGE(K32:M32),"")</f>
        <v/>
      </c>
      <c r="O32" s="11">
        <f>JUL!K32</f>
        <v/>
      </c>
      <c r="P32" s="11">
        <f>AUG!K32</f>
        <v/>
      </c>
      <c r="Q32" s="11">
        <f>SEP!K32</f>
        <v/>
      </c>
      <c r="R32" s="12">
        <f>IFERROR(AVERAGE(O32:Q32),"")</f>
        <v/>
      </c>
      <c r="S32" s="12">
        <f>IFERROR(AVERAGE(C32:E32,G32:I32,K32:M32,O32:Q32),"")</f>
        <v/>
      </c>
    </row>
    <row r="33" ht="18.75" customHeight="1">
      <c r="A33" s="3" t="n"/>
      <c r="B33" s="13" t="inlineStr">
        <is>
          <t>Full Turnover (%)</t>
        </is>
      </c>
      <c r="C33" s="19">
        <f>OCT!K33</f>
        <v/>
      </c>
      <c r="D33" s="19">
        <f>NOV!K33</f>
        <v/>
      </c>
      <c r="E33" s="19">
        <f>DEC!K33</f>
        <v/>
      </c>
      <c r="F33" s="20">
        <f>IF(COUNT(F31,F32)&lt;2,"",IF((F32+F31)=0,"",N(F24)/((F32+F31)/2)))</f>
        <v/>
      </c>
      <c r="G33" s="19">
        <f>JAN!K33</f>
        <v/>
      </c>
      <c r="H33" s="19">
        <f>FEB!K33</f>
        <v/>
      </c>
      <c r="I33" s="19">
        <f>MAR!K33</f>
        <v/>
      </c>
      <c r="J33" s="20">
        <f>IF(COUNT(J31,J32)&lt;2,"",IF((J32+J31)=0,"",N(J24)/((J32+J31)/2)))</f>
        <v/>
      </c>
      <c r="K33" s="19">
        <f>APR!K33</f>
        <v/>
      </c>
      <c r="L33" s="19">
        <f>MAY!K33</f>
        <v/>
      </c>
      <c r="M33" s="19">
        <f>JUN!K33</f>
        <v/>
      </c>
      <c r="N33" s="20">
        <f>IF(COUNT(N31,N32)&lt;2,"",IF((N32+N31)=0,"",N(N24)/((N32+N31)/2)))</f>
        <v/>
      </c>
      <c r="O33" s="19">
        <f>JUL!K33</f>
        <v/>
      </c>
      <c r="P33" s="19">
        <f>AUG!K33</f>
        <v/>
      </c>
      <c r="Q33" s="19">
        <f>SEP!K33</f>
        <v/>
      </c>
      <c r="R33" s="20">
        <f>IF(COUNT(R31,R32)&lt;2,"",IF((R32+R31)=0,"",N(R24)/((R32+R31)/2)))</f>
        <v/>
      </c>
      <c r="S33" s="20">
        <f>IF(COUNT(S31,S32)&lt;2,"",IF((S32+S31)=0,"",N(S24)/((S32+S31)/2)))</f>
        <v/>
      </c>
    </row>
    <row r="34" ht="18.75" customHeight="1">
      <c r="A34" s="3" t="n"/>
      <c r="B34" s="22" t="inlineStr">
        <is>
          <t>Permanent Vacancies</t>
        </is>
      </c>
      <c r="C34" s="11">
        <f>OCT!K34</f>
        <v/>
      </c>
      <c r="D34" s="11">
        <f>NOV!K34</f>
        <v/>
      </c>
      <c r="E34" s="11">
        <f>DEC!K34</f>
        <v/>
      </c>
      <c r="F34" s="12">
        <f>IFERROR(AVERAGE(C34:E34),"")</f>
        <v/>
      </c>
      <c r="G34" s="11">
        <f>JAN!K34</f>
        <v/>
      </c>
      <c r="H34" s="11">
        <f>FEB!K34</f>
        <v/>
      </c>
      <c r="I34" s="11">
        <f>MAR!K34</f>
        <v/>
      </c>
      <c r="J34" s="12">
        <f>IFERROR(AVERAGE(G34:I34),"")</f>
        <v/>
      </c>
      <c r="K34" s="11">
        <f>APR!K34</f>
        <v/>
      </c>
      <c r="L34" s="11">
        <f>MAY!K34</f>
        <v/>
      </c>
      <c r="M34" s="11">
        <f>JUN!K34</f>
        <v/>
      </c>
      <c r="N34" s="12">
        <f>IFERROR(AVERAGE(K34:M34),"")</f>
        <v/>
      </c>
      <c r="O34" s="11">
        <f>JUL!K34</f>
        <v/>
      </c>
      <c r="P34" s="11">
        <f>AUG!K34</f>
        <v/>
      </c>
      <c r="Q34" s="11">
        <f>SEP!K34</f>
        <v/>
      </c>
      <c r="R34" s="12">
        <f>IFERROR(AVERAGE(O34:Q34),"")</f>
        <v/>
      </c>
      <c r="S34" s="12">
        <f>IFERROR(AVERAGE(C34:E34,G34:I34,K34:M34,O34:Q34),"")</f>
        <v/>
      </c>
    </row>
    <row r="35" ht="18.75" customHeight="1">
      <c r="A35" s="3" t="n"/>
      <c r="B35" s="22" t="inlineStr">
        <is>
          <t>Temporary Vacancies</t>
        </is>
      </c>
      <c r="C35" s="11">
        <f>OCT!K35</f>
        <v/>
      </c>
      <c r="D35" s="11">
        <f>NOV!K35</f>
        <v/>
      </c>
      <c r="E35" s="11">
        <f>DEC!K35</f>
        <v/>
      </c>
      <c r="F35" s="12">
        <f>IFERROR(AVERAGE(C35:E35),"")</f>
        <v/>
      </c>
      <c r="G35" s="11">
        <f>JAN!K35</f>
        <v/>
      </c>
      <c r="H35" s="11">
        <f>FEB!K35</f>
        <v/>
      </c>
      <c r="I35" s="11">
        <f>MAR!K35</f>
        <v/>
      </c>
      <c r="J35" s="12">
        <f>IFERROR(AVERAGE(G35:I35),"")</f>
        <v/>
      </c>
      <c r="K35" s="11">
        <f>APR!K35</f>
        <v/>
      </c>
      <c r="L35" s="11">
        <f>MAY!K35</f>
        <v/>
      </c>
      <c r="M35" s="11">
        <f>JUN!K35</f>
        <v/>
      </c>
      <c r="N35" s="12">
        <f>IFERROR(AVERAGE(K35:M35),"")</f>
        <v/>
      </c>
      <c r="O35" s="11">
        <f>JUL!K35</f>
        <v/>
      </c>
      <c r="P35" s="11">
        <f>AUG!K35</f>
        <v/>
      </c>
      <c r="Q35" s="11">
        <f>SEP!K35</f>
        <v/>
      </c>
      <c r="R35" s="12">
        <f>IFERROR(AVERAGE(O35:Q35),"")</f>
        <v/>
      </c>
      <c r="S35" s="12">
        <f>IFERROR(AVERAGE(C35:E35,G35:I35,K35:M35,O35:Q35),"")</f>
        <v/>
      </c>
    </row>
    <row r="36" ht="18.75" customHeight="1">
      <c r="A36" s="3" t="n"/>
      <c r="B36" s="13" t="inlineStr">
        <is>
          <t>Total Vacancies</t>
        </is>
      </c>
      <c r="C36" s="11">
        <f>OCT!K36</f>
        <v/>
      </c>
      <c r="D36" s="11">
        <f>NOV!K36</f>
        <v/>
      </c>
      <c r="E36" s="11">
        <f>DEC!K36</f>
        <v/>
      </c>
      <c r="F36" s="12">
        <f>IF(COUNT(F34:F35)=0,"",SUM(F34:F35))</f>
        <v/>
      </c>
      <c r="G36" s="11">
        <f>JAN!K36</f>
        <v/>
      </c>
      <c r="H36" s="11">
        <f>FEB!K36</f>
        <v/>
      </c>
      <c r="I36" s="11">
        <f>MAR!K36</f>
        <v/>
      </c>
      <c r="J36" s="12">
        <f>IF(COUNT(J34:J35)=0,"",SUM(J34:J35))</f>
        <v/>
      </c>
      <c r="K36" s="11">
        <f>APR!K36</f>
        <v/>
      </c>
      <c r="L36" s="11">
        <f>MAY!K36</f>
        <v/>
      </c>
      <c r="M36" s="11">
        <f>JUN!K36</f>
        <v/>
      </c>
      <c r="N36" s="12">
        <f>IF(COUNT(N34:N35)=0,"",SUM(N34:N35))</f>
        <v/>
      </c>
      <c r="O36" s="11">
        <f>JUL!K36</f>
        <v/>
      </c>
      <c r="P36" s="11">
        <f>AUG!K36</f>
        <v/>
      </c>
      <c r="Q36" s="11">
        <f>SEP!K36</f>
        <v/>
      </c>
      <c r="R36" s="12">
        <f>IF(COUNT(R34:R35)=0,"",SUM(R34:R35))</f>
        <v/>
      </c>
      <c r="S36" s="12">
        <f>IF(COUNT(S34:S35)=0,"",SUM(S34:S35))</f>
        <v/>
      </c>
    </row>
    <row r="37" ht="18.75" customHeight="1">
      <c r="A37" s="3" t="n"/>
      <c r="B37" s="13" t="inlineStr">
        <is>
          <t>Authorized Positions</t>
        </is>
      </c>
      <c r="C37" s="11">
        <f>OCT!K37</f>
        <v/>
      </c>
      <c r="D37" s="11">
        <f>NOV!K37</f>
        <v/>
      </c>
      <c r="E37" s="11">
        <f>DEC!K37</f>
        <v/>
      </c>
      <c r="F37" s="12">
        <f>IF(COUNT(F5,F36)=0,"",N(F5)+N(F36))</f>
        <v/>
      </c>
      <c r="G37" s="11">
        <f>JAN!K37</f>
        <v/>
      </c>
      <c r="H37" s="11">
        <f>FEB!K37</f>
        <v/>
      </c>
      <c r="I37" s="11">
        <f>MAR!K37</f>
        <v/>
      </c>
      <c r="J37" s="12">
        <f>IF(COUNT(J5,J36)=0,"",N(J5)+N(J36))</f>
        <v/>
      </c>
      <c r="K37" s="11">
        <f>APR!K37</f>
        <v/>
      </c>
      <c r="L37" s="11">
        <f>MAY!K37</f>
        <v/>
      </c>
      <c r="M37" s="11">
        <f>JUN!K37</f>
        <v/>
      </c>
      <c r="N37" s="12">
        <f>IF(COUNT(N5,N36)=0,"",N(N5)+N(N36))</f>
        <v/>
      </c>
      <c r="O37" s="11">
        <f>JUL!K37</f>
        <v/>
      </c>
      <c r="P37" s="11">
        <f>AUG!K37</f>
        <v/>
      </c>
      <c r="Q37" s="11">
        <f>SEP!K37</f>
        <v/>
      </c>
      <c r="R37" s="12">
        <f>IF(COUNT(R5,R36)=0,"",N(R5)+N(R36))</f>
        <v/>
      </c>
      <c r="S37" s="12">
        <f>IF(COUNT(S5,S36)=0,"",N(S5)+N(S36))</f>
        <v/>
      </c>
    </row>
    <row r="38" ht="18.75" customHeight="1">
      <c r="A38" s="3" t="n"/>
      <c r="B38" s="13" t="inlineStr">
        <is>
          <t>Vacancy Rate (%)</t>
        </is>
      </c>
      <c r="C38" s="19">
        <f>OCT!K38</f>
        <v/>
      </c>
      <c r="D38" s="19">
        <f>NOV!K38</f>
        <v/>
      </c>
      <c r="E38" s="19">
        <f>DEC!K38</f>
        <v/>
      </c>
      <c r="F38" s="20">
        <f>IFERROR(F36/F37,"")</f>
        <v/>
      </c>
      <c r="G38" s="19">
        <f>JAN!K38</f>
        <v/>
      </c>
      <c r="H38" s="19">
        <f>FEB!K38</f>
        <v/>
      </c>
      <c r="I38" s="19">
        <f>MAR!K38</f>
        <v/>
      </c>
      <c r="J38" s="20">
        <f>IFERROR(J36/J37,"")</f>
        <v/>
      </c>
      <c r="K38" s="19">
        <f>APR!K38</f>
        <v/>
      </c>
      <c r="L38" s="19">
        <f>MAY!K38</f>
        <v/>
      </c>
      <c r="M38" s="19">
        <f>JUN!K38</f>
        <v/>
      </c>
      <c r="N38" s="20">
        <f>IFERROR(N36/N37,"")</f>
        <v/>
      </c>
      <c r="O38" s="19">
        <f>JUL!K38</f>
        <v/>
      </c>
      <c r="P38" s="19">
        <f>AUG!K38</f>
        <v/>
      </c>
      <c r="Q38" s="19">
        <f>SEP!K38</f>
        <v/>
      </c>
      <c r="R38" s="20">
        <f>IFERROR(R36/R37,"")</f>
        <v/>
      </c>
      <c r="S38" s="20">
        <f>IFERROR(S36/S37,"")</f>
        <v/>
      </c>
    </row>
    <row r="39" ht="18.75" customHeight="1">
      <c r="A39" s="3" t="n"/>
      <c r="B39" s="10" t="inlineStr">
        <is>
          <t>Permanent TimeToHire (Days) YTD</t>
        </is>
      </c>
      <c r="C39" s="14">
        <f>OCT!K39</f>
        <v/>
      </c>
      <c r="D39" s="14">
        <f>NOV!K39</f>
        <v/>
      </c>
      <c r="E39" s="14">
        <f>DEC!K39</f>
        <v/>
      </c>
      <c r="F39" s="15">
        <f>IFERROR(LOOKUP(2,1/ISNUMBER(C39:E39),C39:E39),"")</f>
        <v/>
      </c>
      <c r="G39" s="14">
        <f>JAN!K39</f>
        <v/>
      </c>
      <c r="H39" s="14">
        <f>FEB!K39</f>
        <v/>
      </c>
      <c r="I39" s="14">
        <f>MAR!K39</f>
        <v/>
      </c>
      <c r="J39" s="15">
        <f>IFERROR(LOOKUP(2,1/ISNUMBER(G39:I39),G39:I39),"")</f>
        <v/>
      </c>
      <c r="K39" s="14">
        <f>APR!K39</f>
        <v/>
      </c>
      <c r="L39" s="14">
        <f>MAY!K39</f>
        <v/>
      </c>
      <c r="M39" s="14">
        <f>JUN!K39</f>
        <v/>
      </c>
      <c r="N39" s="15">
        <f>IFERROR(LOOKUP(2,1/ISNUMBER(K39:M39),K39:M39),"")</f>
        <v/>
      </c>
      <c r="O39" s="14">
        <f>JUL!K39</f>
        <v/>
      </c>
      <c r="P39" s="14">
        <f>AUG!K39</f>
        <v/>
      </c>
      <c r="Q39" s="14">
        <f>SEP!K39</f>
        <v/>
      </c>
      <c r="R39" s="15">
        <f>IFERROR(LOOKUP(2,1/ISNUMBER(O39:Q39),O39:Q39),"")</f>
        <v/>
      </c>
      <c r="S39" s="15">
        <f>IFERROR(LOOKUP(2,1/ISNUMBER(C39:Q39),C39:Q39),"")</f>
        <v/>
      </c>
    </row>
    <row r="40" ht="18.75" customHeight="1">
      <c r="A40" s="3" t="n"/>
      <c r="B40" s="10" t="inlineStr">
        <is>
          <t>Temporary TimeToHire (Days) YTD</t>
        </is>
      </c>
      <c r="C40" s="14">
        <f>OCT!K40</f>
        <v/>
      </c>
      <c r="D40" s="14">
        <f>NOV!K40</f>
        <v/>
      </c>
      <c r="E40" s="14">
        <f>DEC!K40</f>
        <v/>
      </c>
      <c r="F40" s="15">
        <f>IFERROR(LOOKUP(2,1/ISNUMBER(C40:E40),C40:E40),"")</f>
        <v/>
      </c>
      <c r="G40" s="14">
        <f>JAN!K40</f>
        <v/>
      </c>
      <c r="H40" s="14">
        <f>FEB!K40</f>
        <v/>
      </c>
      <c r="I40" s="14">
        <f>MAR!K40</f>
        <v/>
      </c>
      <c r="J40" s="15">
        <f>IFERROR(LOOKUP(2,1/ISNUMBER(G40:I40),G40:I40),"")</f>
        <v/>
      </c>
      <c r="K40" s="14">
        <f>APR!K40</f>
        <v/>
      </c>
      <c r="L40" s="14">
        <f>MAY!K40</f>
        <v/>
      </c>
      <c r="M40" s="14">
        <f>JUN!K40</f>
        <v/>
      </c>
      <c r="N40" s="15">
        <f>IFERROR(LOOKUP(2,1/ISNUMBER(K40:M40),K40:M40),"")</f>
        <v/>
      </c>
      <c r="O40" s="14">
        <f>JUL!K40</f>
        <v/>
      </c>
      <c r="P40" s="14">
        <f>AUG!K40</f>
        <v/>
      </c>
      <c r="Q40" s="14">
        <f>SEP!K40</f>
        <v/>
      </c>
      <c r="R40" s="15">
        <f>IFERROR(LOOKUP(2,1/ISNUMBER(O40:Q40),O40:Q40),"")</f>
        <v/>
      </c>
      <c r="S40" s="15">
        <f>IFERROR(LOOKUP(2,1/ISNUMBER(C40:Q40),C40:Q40),"")</f>
        <v/>
      </c>
    </row>
    <row r="41" ht="18.75" customHeight="1">
      <c r="A41" s="3" t="n"/>
      <c r="B41" s="13" t="inlineStr">
        <is>
          <t>Check-ins Rate Completed (%)</t>
        </is>
      </c>
      <c r="C41" s="23">
        <f>OCT!K41</f>
        <v/>
      </c>
      <c r="D41" s="23">
        <f>NOV!K41</f>
        <v/>
      </c>
      <c r="E41" s="23">
        <f>DEC!K41</f>
        <v/>
      </c>
      <c r="F41" s="24">
        <f>IFERROR(AVERAGE(C41:E41),"")</f>
        <v/>
      </c>
      <c r="G41" s="23">
        <f>JAN!K41</f>
        <v/>
      </c>
      <c r="H41" s="23">
        <f>FEB!K41</f>
        <v/>
      </c>
      <c r="I41" s="23">
        <f>MAR!K41</f>
        <v/>
      </c>
      <c r="J41" s="24">
        <f>IFERROR(AVERAGE(G41:I41),"")</f>
        <v/>
      </c>
      <c r="K41" s="23">
        <f>APR!K41</f>
        <v/>
      </c>
      <c r="L41" s="23">
        <f>MAY!K41</f>
        <v/>
      </c>
      <c r="M41" s="23">
        <f>JUN!K41</f>
        <v/>
      </c>
      <c r="N41" s="24">
        <f>IFERROR(AVERAGE(K41:M41),"")</f>
        <v/>
      </c>
      <c r="O41" s="23">
        <f>JUL!K41</f>
        <v/>
      </c>
      <c r="P41" s="23">
        <f>AUG!K41</f>
        <v/>
      </c>
      <c r="Q41" s="23">
        <f>SEP!K41</f>
        <v/>
      </c>
      <c r="R41" s="24">
        <f>IFERROR(AVERAGE(O41:Q41),"")</f>
        <v/>
      </c>
      <c r="S41" s="24">
        <f>IFERROR(AVERAGE(C41:E41,G41:I41,K41:M41,O41:Q41),"")</f>
        <v/>
      </c>
    </row>
    <row r="42" ht="18.75" customHeight="1">
      <c r="A42" s="3" t="n"/>
      <c r="B42" s="10" t="inlineStr">
        <is>
          <t>EE Objectives Completed (#)</t>
        </is>
      </c>
      <c r="C42" s="11">
        <f>OCT!K42</f>
        <v/>
      </c>
      <c r="D42" s="11">
        <f>NOV!K42</f>
        <v/>
      </c>
      <c r="E42" s="11">
        <f>DEC!K42</f>
        <v/>
      </c>
      <c r="F42" s="12">
        <f>IF(COUNT(C42:E42)=0,"",SUM(C42:E42))</f>
        <v/>
      </c>
      <c r="G42" s="11">
        <f>JAN!K42</f>
        <v/>
      </c>
      <c r="H42" s="11">
        <f>FEB!K42</f>
        <v/>
      </c>
      <c r="I42" s="11">
        <f>MAR!K42</f>
        <v/>
      </c>
      <c r="J42" s="12">
        <f>IF(COUNT(G42:I42)=0,"",SUM(G42:I42))</f>
        <v/>
      </c>
      <c r="K42" s="11">
        <f>APR!K42</f>
        <v/>
      </c>
      <c r="L42" s="11">
        <f>MAY!K42</f>
        <v/>
      </c>
      <c r="M42" s="11">
        <f>JUN!K42</f>
        <v/>
      </c>
      <c r="N42" s="12">
        <f>IF(COUNT(K42:M42)=0,"",SUM(K42:M42))</f>
        <v/>
      </c>
      <c r="O42" s="11">
        <f>JUL!K42</f>
        <v/>
      </c>
      <c r="P42" s="11">
        <f>AUG!K42</f>
        <v/>
      </c>
      <c r="Q42" s="11">
        <f>SEP!K42</f>
        <v/>
      </c>
      <c r="R42" s="12">
        <f>IF(COUNT(O42:Q42)=0,"",SUM(O42:Q42))</f>
        <v/>
      </c>
      <c r="S42" s="12">
        <f>IF(COUNT(C42:E42,G42:I42,K42:M42,O42:Q42)=0,"",SUM(C42:E42,G42:I42,K42:M42,O42:Q42))</f>
        <v/>
      </c>
    </row>
    <row r="43" ht="18.75" customHeight="1">
      <c r="A43" s="3" t="n"/>
      <c r="B43" s="10" t="inlineStr">
        <is>
          <t>Non-certified Absent (Days Lost)</t>
        </is>
      </c>
      <c r="C43" s="14">
        <f>OCT!K43</f>
        <v/>
      </c>
      <c r="D43" s="14">
        <f>NOV!K43</f>
        <v/>
      </c>
      <c r="E43" s="14">
        <f>DEC!K43</f>
        <v/>
      </c>
      <c r="F43" s="15">
        <f>IF(COUNT(C43:E43)=0,"",SUM(C43:E43))</f>
        <v/>
      </c>
      <c r="G43" s="14">
        <f>JAN!K43</f>
        <v/>
      </c>
      <c r="H43" s="14">
        <f>FEB!K43</f>
        <v/>
      </c>
      <c r="I43" s="14">
        <f>MAR!K43</f>
        <v/>
      </c>
      <c r="J43" s="15">
        <f>IF(COUNT(G43:I43)=0,"",SUM(G43:I43))</f>
        <v/>
      </c>
      <c r="K43" s="14">
        <f>APR!K43</f>
        <v/>
      </c>
      <c r="L43" s="14">
        <f>MAY!K43</f>
        <v/>
      </c>
      <c r="M43" s="14">
        <f>JUN!K43</f>
        <v/>
      </c>
      <c r="N43" s="15">
        <f>IF(COUNT(K43:M43)=0,"",SUM(K43:M43))</f>
        <v/>
      </c>
      <c r="O43" s="14">
        <f>JUL!K43</f>
        <v/>
      </c>
      <c r="P43" s="14">
        <f>AUG!K43</f>
        <v/>
      </c>
      <c r="Q43" s="14">
        <f>SEP!K43</f>
        <v/>
      </c>
      <c r="R43" s="15">
        <f>IF(COUNT(O43:Q43)=0,"",SUM(O43:Q43))</f>
        <v/>
      </c>
      <c r="S43" s="15">
        <f>IF(COUNT(C43:E43,G43:I43,K43:M43,O43:Q43)=0,"",SUM(C43:E43,G43:I43,K43:M43,O43:Q43))</f>
        <v/>
      </c>
    </row>
    <row r="44" ht="18.75" customHeight="1">
      <c r="A44" s="3" t="n"/>
      <c r="B44" s="10" t="inlineStr">
        <is>
          <t>Certified sick leave (Days Lost)</t>
        </is>
      </c>
      <c r="C44" s="14">
        <f>OCT!K44</f>
        <v/>
      </c>
      <c r="D44" s="14">
        <f>NOV!K44</f>
        <v/>
      </c>
      <c r="E44" s="14">
        <f>DEC!K44</f>
        <v/>
      </c>
      <c r="F44" s="15">
        <f>IF(COUNT(C44:E44)=0,"",SUM(C44:E44))</f>
        <v/>
      </c>
      <c r="G44" s="14">
        <f>JAN!K44</f>
        <v/>
      </c>
      <c r="H44" s="14">
        <f>FEB!K44</f>
        <v/>
      </c>
      <c r="I44" s="14">
        <f>MAR!K44</f>
        <v/>
      </c>
      <c r="J44" s="15">
        <f>IF(COUNT(G44:I44)=0,"",SUM(G44:I44))</f>
        <v/>
      </c>
      <c r="K44" s="14">
        <f>APR!K44</f>
        <v/>
      </c>
      <c r="L44" s="14">
        <f>MAY!K44</f>
        <v/>
      </c>
      <c r="M44" s="14">
        <f>JUN!K44</f>
        <v/>
      </c>
      <c r="N44" s="15">
        <f>IF(COUNT(K44:M44)=0,"",SUM(K44:M44))</f>
        <v/>
      </c>
      <c r="O44" s="14">
        <f>JUL!K44</f>
        <v/>
      </c>
      <c r="P44" s="14">
        <f>AUG!K44</f>
        <v/>
      </c>
      <c r="Q44" s="14">
        <f>SEP!K44</f>
        <v/>
      </c>
      <c r="R44" s="15">
        <f>IF(COUNT(O44:Q44)=0,"",SUM(O44:Q44))</f>
        <v/>
      </c>
      <c r="S44" s="15">
        <f>IF(COUNT(C44:E44,G44:I44,K44:M44,O44:Q44)=0,"",SUM(C44:E44,G44:I44,K44:M44,O44:Q44))</f>
        <v/>
      </c>
    </row>
    <row r="45" ht="18.75" customHeight="1">
      <c r="A45" s="3" t="n"/>
      <c r="B45" s="18" t="inlineStr">
        <is>
          <t>Total Absences</t>
        </is>
      </c>
      <c r="C45" s="14">
        <f>OCT!K45</f>
        <v/>
      </c>
      <c r="D45" s="14">
        <f>NOV!K45</f>
        <v/>
      </c>
      <c r="E45" s="14">
        <f>DEC!K45</f>
        <v/>
      </c>
      <c r="F45" s="15">
        <f>IF(COUNT(F43:F44)=0,"",SUM(F43:F44))</f>
        <v/>
      </c>
      <c r="G45" s="14">
        <f>JAN!K45</f>
        <v/>
      </c>
      <c r="H45" s="14">
        <f>FEB!K45</f>
        <v/>
      </c>
      <c r="I45" s="14">
        <f>MAR!K45</f>
        <v/>
      </c>
      <c r="J45" s="15">
        <f>IF(COUNT(J43:J44)=0,"",SUM(J43:J44))</f>
        <v/>
      </c>
      <c r="K45" s="14">
        <f>APR!K45</f>
        <v/>
      </c>
      <c r="L45" s="14">
        <f>MAY!K45</f>
        <v/>
      </c>
      <c r="M45" s="14">
        <f>JUN!K45</f>
        <v/>
      </c>
      <c r="N45" s="15">
        <f>IF(COUNT(N43:N44)=0,"",SUM(N43:N44))</f>
        <v/>
      </c>
      <c r="O45" s="14">
        <f>JUL!K45</f>
        <v/>
      </c>
      <c r="P45" s="14">
        <f>AUG!K45</f>
        <v/>
      </c>
      <c r="Q45" s="14">
        <f>SEP!K45</f>
        <v/>
      </c>
      <c r="R45" s="15">
        <f>IF(COUNT(R43:R44)=0,"",SUM(R43:R44))</f>
        <v/>
      </c>
      <c r="S45" s="15">
        <f>IF(COUNT(S43:S44)=0,"",SUM(S43:S44))</f>
        <v/>
      </c>
    </row>
    <row r="46" ht="18.75" customHeight="1">
      <c r="A46" s="3" t="n"/>
      <c r="B46" s="13" t="inlineStr">
        <is>
          <t>Absent Rate Non-Certified (%)</t>
        </is>
      </c>
      <c r="C46" s="19">
        <f>OCT!K46</f>
        <v/>
      </c>
      <c r="D46" s="19">
        <f>NOV!K46</f>
        <v/>
      </c>
      <c r="E46" s="19">
        <f>DEC!K46</f>
        <v/>
      </c>
      <c r="F46" s="20">
        <f t="array" ref="F46">IF(COUNT(C46:E46)=0,"",IFERROR(SUMPRODUCT(IFERROR(C46:E46*((C3:E3)+(C4:E4)),0))/SUMPRODUCT(IFERROR(ISNUMBER(C46:E46)*((C3:E3)+(C4:E4)),0)),""))</f>
        <v/>
      </c>
      <c r="G46" s="19">
        <f>JAN!K46</f>
        <v/>
      </c>
      <c r="H46" s="19">
        <f>FEB!K46</f>
        <v/>
      </c>
      <c r="I46" s="19">
        <f>MAR!K46</f>
        <v/>
      </c>
      <c r="J46" s="20">
        <f t="array" ref="J46">IF(COUNT(G46:I46)=0,"",IFERROR(SUMPRODUCT(IFERROR(G46:I46*((G3:I3)+(G4:I4)),0))/SUMPRODUCT(IFERROR(ISNUMBER(G46:I46)*((G3:I3)+(G4:I4)),0)),""))</f>
        <v/>
      </c>
      <c r="K46" s="19">
        <f>APR!K46</f>
        <v/>
      </c>
      <c r="L46" s="19">
        <f>MAY!K46</f>
        <v/>
      </c>
      <c r="M46" s="19">
        <f>JUN!K46</f>
        <v/>
      </c>
      <c r="N46" s="20">
        <f t="array" ref="N46">IF(COUNT(K46:M46)=0,"",IFERROR(SUMPRODUCT(IFERROR(K46:M46*((K3:M3)+(K4:M4)),0))/SUMPRODUCT(IFERROR(ISNUMBER(K46:M46)*((K3:M3)+(K4:M4)),0)),""))</f>
        <v/>
      </c>
      <c r="O46" s="19">
        <f>JUL!K46</f>
        <v/>
      </c>
      <c r="P46" s="19">
        <f>AUG!K46</f>
        <v/>
      </c>
      <c r="Q46" s="19">
        <f>SEP!K46</f>
        <v/>
      </c>
      <c r="R46" s="20">
        <f t="array" ref="R46">IF(COUNT(O46:Q46)=0,"",IFERROR(SUMPRODUCT(IFERROR(O46:Q46*((O3:Q3)+(O4:Q4)),0))/SUMPRODUCT(IFERROR(ISNUMBER(O46:Q46)*((O3:Q3)+(O4:Q4)),0)),""))</f>
        <v/>
      </c>
      <c r="S46" s="20">
        <f>IF(COUNT(F46,J46,N46,R46)=0,"",IFERROR((IFERROR(F46*(F3+F4),0)+IFERROR(J46*(J3+J4),0)+IFERROR(N46*(N3+N4),0)+IFERROR(R46*(R3+R4),0))/(IFERROR(ISNUMBER(F46)*(F3+F4),0)+IFERROR(ISNUMBER(J46)*(J3+J4),0)+IFERROR(ISNUMBER(N46)*(N3+N4),0)+IFERROR(ISNUMBER(R46)*(R3+R4),0)),""))</f>
        <v/>
      </c>
    </row>
    <row r="47" ht="18.75" customHeight="1">
      <c r="A47" s="3" t="n"/>
      <c r="B47" s="13" t="inlineStr">
        <is>
          <t>Absent Rate Certified (%)</t>
        </is>
      </c>
      <c r="C47" s="19">
        <f>OCT!K47</f>
        <v/>
      </c>
      <c r="D47" s="19">
        <f>NOV!K47</f>
        <v/>
      </c>
      <c r="E47" s="19">
        <f>DEC!K47</f>
        <v/>
      </c>
      <c r="F47" s="20">
        <f t="array" ref="F47">IF(COUNT(C47:E47)=0,"",IFERROR(SUMPRODUCT(IFERROR(C47:E47*((C3:E3)+(C4:E4)),0))/SUMPRODUCT(IFERROR(ISNUMBER(C47:E47)*((C3:E3)+(C4:E4)),0)),""))</f>
        <v/>
      </c>
      <c r="G47" s="19">
        <f>JAN!K47</f>
        <v/>
      </c>
      <c r="H47" s="19">
        <f>FEB!K47</f>
        <v/>
      </c>
      <c r="I47" s="19">
        <f>MAR!K47</f>
        <v/>
      </c>
      <c r="J47" s="20">
        <f t="array" ref="J47">IF(COUNT(G47:I47)=0,"",IFERROR(SUMPRODUCT(IFERROR(G47:I47*((G3:I3)+(G4:I4)),0))/SUMPRODUCT(IFERROR(ISNUMBER(G47:I47)*((G3:I3)+(G4:I4)),0)),""))</f>
        <v/>
      </c>
      <c r="K47" s="19">
        <f>APR!K47</f>
        <v/>
      </c>
      <c r="L47" s="19">
        <f>MAY!K47</f>
        <v/>
      </c>
      <c r="M47" s="19">
        <f>JUN!K47</f>
        <v/>
      </c>
      <c r="N47" s="20">
        <f t="array" ref="N47">IF(COUNT(K47:M47)=0,"",IFERROR(SUMPRODUCT(IFERROR(K47:M47*((K3:M3)+(K4:M4)),0))/SUMPRODUCT(IFERROR(ISNUMBER(K47:M47)*((K3:M3)+(K4:M4)),0)),""))</f>
        <v/>
      </c>
      <c r="O47" s="19">
        <f>JUL!K47</f>
        <v/>
      </c>
      <c r="P47" s="19">
        <f>AUG!K47</f>
        <v/>
      </c>
      <c r="Q47" s="19">
        <f>SEP!K47</f>
        <v/>
      </c>
      <c r="R47" s="20">
        <f t="array" ref="R47">IF(COUNT(O47:Q47)=0,"",IFERROR(SUMPRODUCT(IFERROR(O47:Q47*((O3:Q3)+(O4:Q4)),0))/SUMPRODUCT(IFERROR(ISNUMBER(O47:Q47)*((O3:Q3)+(O4:Q4)),0)),""))</f>
        <v/>
      </c>
      <c r="S47" s="20">
        <f>IF(COUNT(F47,J47,N47,R47)=0,"",IFERROR((IFERROR(F47*(F3+F4),0)+IFERROR(J47*(J3+J4),0)+IFERROR(N47*(N3+N4),0)+IFERROR(R47*(R3+R4),0))/(IFERROR(ISNUMBER(F47)*(F3+F4),0)+IFERROR(ISNUMBER(J47)*(J3+J4),0)+IFERROR(ISNUMBER(N47)*(N3+N4),0)+IFERROR(ISNUMBER(R47)*(R3+R4),0)),""))</f>
        <v/>
      </c>
    </row>
    <row r="48" ht="18.75" customHeight="1">
      <c r="A48" s="3" t="n"/>
      <c r="B48" s="13" t="inlineStr">
        <is>
          <t>Absent Rate Total (%)</t>
        </is>
      </c>
      <c r="C48" s="19">
        <f>OCT!K48</f>
        <v/>
      </c>
      <c r="D48" s="19">
        <f>NOV!K48</f>
        <v/>
      </c>
      <c r="E48" s="19">
        <f>DEC!K48</f>
        <v/>
      </c>
      <c r="F48" s="20">
        <f>IF(COUNT(F46:F47)=0,"",SUM(F46:F47))</f>
        <v/>
      </c>
      <c r="G48" s="19">
        <f>JAN!K48</f>
        <v/>
      </c>
      <c r="H48" s="19">
        <f>FEB!K48</f>
        <v/>
      </c>
      <c r="I48" s="19">
        <f>MAR!K48</f>
        <v/>
      </c>
      <c r="J48" s="20">
        <f>IF(COUNT(J46:J47)=0,"",SUM(J46:J47))</f>
        <v/>
      </c>
      <c r="K48" s="19">
        <f>APR!K48</f>
        <v/>
      </c>
      <c r="L48" s="19">
        <f>MAY!K48</f>
        <v/>
      </c>
      <c r="M48" s="19">
        <f>JUN!K48</f>
        <v/>
      </c>
      <c r="N48" s="20">
        <f>IF(COUNT(N46:N47)=0,"",SUM(N46:N47))</f>
        <v/>
      </c>
      <c r="O48" s="19">
        <f>JUL!K48</f>
        <v/>
      </c>
      <c r="P48" s="19">
        <f>AUG!K48</f>
        <v/>
      </c>
      <c r="Q48" s="19">
        <f>SEP!K48</f>
        <v/>
      </c>
      <c r="R48" s="20">
        <f>IF(COUNT(R46:R47)=0,"",SUM(R46:R47))</f>
        <v/>
      </c>
      <c r="S48" s="20">
        <f>IF(COUNT(S46:S47)=0,"",SUM(S46:S47))</f>
        <v/>
      </c>
    </row>
    <row r="49" ht="18.75" customHeight="1">
      <c r="A49" s="3" t="n"/>
      <c r="B49" s="18" t="inlineStr">
        <is>
          <t>Weight factor</t>
        </is>
      </c>
      <c r="C49" s="19">
        <f>OCT!K49</f>
        <v/>
      </c>
      <c r="D49" s="19">
        <f>NOV!K49</f>
        <v/>
      </c>
      <c r="E49" s="19">
        <f>DEC!K49</f>
        <v/>
      </c>
      <c r="F49" s="20">
        <f>IFERROR(AVERAGE(C49:E49),"")</f>
        <v/>
      </c>
      <c r="G49" s="19">
        <f>JAN!K49</f>
        <v/>
      </c>
      <c r="H49" s="19">
        <f>FEB!K49</f>
        <v/>
      </c>
      <c r="I49" s="19">
        <f>MAR!K49</f>
        <v/>
      </c>
      <c r="J49" s="20">
        <f>IFERROR(AVERAGE(G49:I49),"")</f>
        <v/>
      </c>
      <c r="K49" s="19">
        <f>APR!K49</f>
        <v/>
      </c>
      <c r="L49" s="19">
        <f>MAY!K49</f>
        <v/>
      </c>
      <c r="M49" s="19">
        <f>JUN!K49</f>
        <v/>
      </c>
      <c r="N49" s="20">
        <f>IFERROR(AVERAGE(K49:M49),"")</f>
        <v/>
      </c>
      <c r="O49" s="19">
        <f>JUL!K49</f>
        <v/>
      </c>
      <c r="P49" s="19">
        <f>AUG!K49</f>
        <v/>
      </c>
      <c r="Q49" s="19">
        <f>SEP!K49</f>
        <v/>
      </c>
      <c r="R49" s="20">
        <f>IFERROR(AVERAGE(O49:Q49),"")</f>
        <v/>
      </c>
      <c r="S49" s="20">
        <f>IFERROR(AVERAGE(C49:E49,G49:I49,K49:M49,O49:Q49),"")</f>
        <v/>
      </c>
    </row>
    <row r="50" ht="18.75" customHeight="1">
      <c r="A50" s="3" t="n"/>
      <c r="B50" s="10" t="inlineStr">
        <is>
          <t>Leadership (Hours)</t>
        </is>
      </c>
      <c r="C50" s="14">
        <f>OCT!K50</f>
        <v/>
      </c>
      <c r="D50" s="14">
        <f>NOV!K50</f>
        <v/>
      </c>
      <c r="E50" s="14">
        <f>DEC!K50</f>
        <v/>
      </c>
      <c r="F50" s="15">
        <f>IF(COUNT(C50:E50)=0,"",SUM(C50:E50))</f>
        <v/>
      </c>
      <c r="G50" s="14">
        <f>JAN!K50</f>
        <v/>
      </c>
      <c r="H50" s="14">
        <f>FEB!K50</f>
        <v/>
      </c>
      <c r="I50" s="14">
        <f>MAR!K50</f>
        <v/>
      </c>
      <c r="J50" s="15">
        <f>IF(COUNT(G50:I50)=0,"",SUM(G50:I50))</f>
        <v/>
      </c>
      <c r="K50" s="14">
        <f>APR!K50</f>
        <v/>
      </c>
      <c r="L50" s="14">
        <f>MAY!K50</f>
        <v/>
      </c>
      <c r="M50" s="14">
        <f>JUN!K50</f>
        <v/>
      </c>
      <c r="N50" s="15">
        <f>IF(COUNT(K50:M50)=0,"",SUM(K50:M50))</f>
        <v/>
      </c>
      <c r="O50" s="14">
        <f>JUL!K50</f>
        <v/>
      </c>
      <c r="P50" s="14">
        <f>AUG!K50</f>
        <v/>
      </c>
      <c r="Q50" s="14">
        <f>SEP!K50</f>
        <v/>
      </c>
      <c r="R50" s="15">
        <f>IF(COUNT(O50:Q50)=0,"",SUM(O50:Q50))</f>
        <v/>
      </c>
      <c r="S50" s="15">
        <f>IF(COUNT(C50:E50,G50:I50,K50:M50,O50:Q50)=0,"",SUM(C50:E50,G50:I50,K50:M50,O50:Q50))</f>
        <v/>
      </c>
    </row>
    <row r="51" ht="18.75" customHeight="1">
      <c r="A51" s="3" t="n"/>
      <c r="B51" s="10" t="inlineStr">
        <is>
          <t>Technical (Hours)</t>
        </is>
      </c>
      <c r="C51" s="14">
        <f>OCT!K51</f>
        <v/>
      </c>
      <c r="D51" s="14">
        <f>NOV!K51</f>
        <v/>
      </c>
      <c r="E51" s="14">
        <f>DEC!K51</f>
        <v/>
      </c>
      <c r="F51" s="15">
        <f>IF(COUNT(C51:E51)=0,"",SUM(C51:E51))</f>
        <v/>
      </c>
      <c r="G51" s="14">
        <f>JAN!K51</f>
        <v/>
      </c>
      <c r="H51" s="14">
        <f>FEB!K51</f>
        <v/>
      </c>
      <c r="I51" s="14">
        <f>MAR!K51</f>
        <v/>
      </c>
      <c r="J51" s="15">
        <f>IF(COUNT(G51:I51)=0,"",SUM(G51:I51))</f>
        <v/>
      </c>
      <c r="K51" s="14">
        <f>APR!K51</f>
        <v/>
      </c>
      <c r="L51" s="14">
        <f>MAY!K51</f>
        <v/>
      </c>
      <c r="M51" s="14">
        <f>JUN!K51</f>
        <v/>
      </c>
      <c r="N51" s="15">
        <f>IF(COUNT(K51:M51)=0,"",SUM(K51:M51))</f>
        <v/>
      </c>
      <c r="O51" s="14">
        <f>JUL!K51</f>
        <v/>
      </c>
      <c r="P51" s="14">
        <f>AUG!K51</f>
        <v/>
      </c>
      <c r="Q51" s="14">
        <f>SEP!K51</f>
        <v/>
      </c>
      <c r="R51" s="15">
        <f>IF(COUNT(O51:Q51)=0,"",SUM(O51:Q51))</f>
        <v/>
      </c>
      <c r="S51" s="15">
        <f>IF(COUNT(C51:E51,G51:I51,K51:M51,O51:Q51)=0,"",SUM(C51:E51,G51:I51,K51:M51,O51:Q51))</f>
        <v/>
      </c>
    </row>
    <row r="52" ht="18.75" customHeight="1">
      <c r="A52" s="3" t="n"/>
      <c r="B52" s="10" t="inlineStr">
        <is>
          <t>Professional Develop. (Hours)</t>
        </is>
      </c>
      <c r="C52" s="14">
        <f>OCT!K52</f>
        <v/>
      </c>
      <c r="D52" s="14">
        <f>NOV!K52</f>
        <v/>
      </c>
      <c r="E52" s="14">
        <f>DEC!K52</f>
        <v/>
      </c>
      <c r="F52" s="15">
        <f>IF(COUNT(C52:E52)=0,"",SUM(C52:E52))</f>
        <v/>
      </c>
      <c r="G52" s="14">
        <f>JAN!K52</f>
        <v/>
      </c>
      <c r="H52" s="14">
        <f>FEB!K52</f>
        <v/>
      </c>
      <c r="I52" s="14">
        <f>MAR!K52</f>
        <v/>
      </c>
      <c r="J52" s="15">
        <f>IF(COUNT(G52:I52)=0,"",SUM(G52:I52))</f>
        <v/>
      </c>
      <c r="K52" s="14">
        <f>APR!K52</f>
        <v/>
      </c>
      <c r="L52" s="14">
        <f>MAY!K52</f>
        <v/>
      </c>
      <c r="M52" s="14">
        <f>JUN!K52</f>
        <v/>
      </c>
      <c r="N52" s="15">
        <f>IF(COUNT(K52:M52)=0,"",SUM(K52:M52))</f>
        <v/>
      </c>
      <c r="O52" s="14">
        <f>JUL!K52</f>
        <v/>
      </c>
      <c r="P52" s="14">
        <f>AUG!K52</f>
        <v/>
      </c>
      <c r="Q52" s="14">
        <f>SEP!K52</f>
        <v/>
      </c>
      <c r="R52" s="15">
        <f>IF(COUNT(O52:Q52)=0,"",SUM(O52:Q52))</f>
        <v/>
      </c>
      <c r="S52" s="15">
        <f>IF(COUNT(C52:E52,G52:I52,K52:M52,O52:Q52)=0,"",SUM(C52:E52,G52:I52,K52:M52,O52:Q52))</f>
        <v/>
      </c>
    </row>
    <row r="53" ht="18.75" customHeight="1">
      <c r="A53" s="3" t="n"/>
      <c r="B53" s="10" t="inlineStr">
        <is>
          <t>HSSE (Hours)</t>
        </is>
      </c>
      <c r="C53" s="14">
        <f>OCT!K53</f>
        <v/>
      </c>
      <c r="D53" s="14">
        <f>NOV!K53</f>
        <v/>
      </c>
      <c r="E53" s="14">
        <f>DEC!K53</f>
        <v/>
      </c>
      <c r="F53" s="15">
        <f>IF(COUNT(C53:E53)=0,"",SUM(C53:E53))</f>
        <v/>
      </c>
      <c r="G53" s="14">
        <f>JAN!K53</f>
        <v/>
      </c>
      <c r="H53" s="14">
        <f>FEB!K53</f>
        <v/>
      </c>
      <c r="I53" s="14">
        <f>MAR!K53</f>
        <v/>
      </c>
      <c r="J53" s="15">
        <f>IF(COUNT(G53:I53)=0,"",SUM(G53:I53))</f>
        <v/>
      </c>
      <c r="K53" s="14">
        <f>APR!K53</f>
        <v/>
      </c>
      <c r="L53" s="14">
        <f>MAY!K53</f>
        <v/>
      </c>
      <c r="M53" s="14">
        <f>JUN!K53</f>
        <v/>
      </c>
      <c r="N53" s="15">
        <f>IF(COUNT(K53:M53)=0,"",SUM(K53:M53))</f>
        <v/>
      </c>
      <c r="O53" s="14">
        <f>JUL!K53</f>
        <v/>
      </c>
      <c r="P53" s="14">
        <f>AUG!K53</f>
        <v/>
      </c>
      <c r="Q53" s="14">
        <f>SEP!K53</f>
        <v/>
      </c>
      <c r="R53" s="15">
        <f>IF(COUNT(O53:Q53)=0,"",SUM(O53:Q53))</f>
        <v/>
      </c>
      <c r="S53" s="15">
        <f>IF(COUNT(C53:E53,G53:I53,K53:M53,O53:Q53)=0,"",SUM(C53:E53,G53:I53,K53:M53,O53:Q53))</f>
        <v/>
      </c>
    </row>
    <row r="54" ht="18.75" customHeight="1">
      <c r="A54" s="3" t="n"/>
      <c r="B54" s="10" t="inlineStr">
        <is>
          <t>Workday (Hours)</t>
        </is>
      </c>
      <c r="C54" s="14">
        <f>OCT!K54</f>
        <v/>
      </c>
      <c r="D54" s="14">
        <f>NOV!K54</f>
        <v/>
      </c>
      <c r="E54" s="14">
        <f>DEC!K54</f>
        <v/>
      </c>
      <c r="F54" s="15">
        <f>IF(COUNT(C54:E54)=0,"",SUM(C54:E54))</f>
        <v/>
      </c>
      <c r="G54" s="14">
        <f>JAN!K54</f>
        <v/>
      </c>
      <c r="H54" s="14">
        <f>FEB!K54</f>
        <v/>
      </c>
      <c r="I54" s="14">
        <f>MAR!K54</f>
        <v/>
      </c>
      <c r="J54" s="15">
        <f>IF(COUNT(G54:I54)=0,"",SUM(G54:I54))</f>
        <v/>
      </c>
      <c r="K54" s="14">
        <f>APR!K54</f>
        <v/>
      </c>
      <c r="L54" s="14">
        <f>MAY!K54</f>
        <v/>
      </c>
      <c r="M54" s="14">
        <f>JUN!K54</f>
        <v/>
      </c>
      <c r="N54" s="15">
        <f>IF(COUNT(K54:M54)=0,"",SUM(K54:M54))</f>
        <v/>
      </c>
      <c r="O54" s="14">
        <f>JUL!K54</f>
        <v/>
      </c>
      <c r="P54" s="14">
        <f>AUG!K54</f>
        <v/>
      </c>
      <c r="Q54" s="14">
        <f>SEP!K54</f>
        <v/>
      </c>
      <c r="R54" s="15">
        <f>IF(COUNT(O54:Q54)=0,"",SUM(O54:Q54))</f>
        <v/>
      </c>
      <c r="S54" s="15">
        <f>IF(COUNT(C54:E54,G54:I54,K54:M54,O54:Q54)=0,"",SUM(C54:E54,G54:I54,K54:M54,O54:Q54))</f>
        <v/>
      </c>
    </row>
    <row r="55" ht="18.75" customHeight="1">
      <c r="A55" s="3" t="n"/>
      <c r="B55" s="13" t="inlineStr">
        <is>
          <t>Total Training Hours</t>
        </is>
      </c>
      <c r="C55" s="14">
        <f>OCT!K55</f>
        <v/>
      </c>
      <c r="D55" s="14">
        <f>NOV!K55</f>
        <v/>
      </c>
      <c r="E55" s="14">
        <f>DEC!K55</f>
        <v/>
      </c>
      <c r="F55" s="15">
        <f>IF(COUNT(F50:F54)=0,"",SUM(F50:F54))</f>
        <v/>
      </c>
      <c r="G55" s="14">
        <f>JAN!K55</f>
        <v/>
      </c>
      <c r="H55" s="14">
        <f>FEB!K55</f>
        <v/>
      </c>
      <c r="I55" s="14">
        <f>MAR!K55</f>
        <v/>
      </c>
      <c r="J55" s="15">
        <f>IF(COUNT(J50:J54)=0,"",SUM(J50:J54))</f>
        <v/>
      </c>
      <c r="K55" s="14">
        <f>APR!K55</f>
        <v/>
      </c>
      <c r="L55" s="14">
        <f>MAY!K55</f>
        <v/>
      </c>
      <c r="M55" s="14">
        <f>JUN!K55</f>
        <v/>
      </c>
      <c r="N55" s="15">
        <f>IF(COUNT(N50:N54)=0,"",SUM(N50:N54))</f>
        <v/>
      </c>
      <c r="O55" s="14">
        <f>JUL!K55</f>
        <v/>
      </c>
      <c r="P55" s="14">
        <f>AUG!K55</f>
        <v/>
      </c>
      <c r="Q55" s="14">
        <f>SEP!K55</f>
        <v/>
      </c>
      <c r="R55" s="15">
        <f>IF(COUNT(R50:R54)=0,"",SUM(R50:R54))</f>
        <v/>
      </c>
      <c r="S55" s="15">
        <f>IF(COUNT(S50:S54)=0,"",SUM(S50:S54))</f>
        <v/>
      </c>
    </row>
    <row r="56" ht="18.75" customHeight="1">
      <c r="A56" s="3" t="n"/>
      <c r="B56" s="10" t="inlineStr">
        <is>
          <t>Total Trained (Staff)</t>
        </is>
      </c>
      <c r="C56" s="14">
        <f>OCT!K56</f>
        <v/>
      </c>
      <c r="D56" s="14">
        <f>NOV!K56</f>
        <v/>
      </c>
      <c r="E56" s="14">
        <f>DEC!K56</f>
        <v/>
      </c>
      <c r="F56" s="15">
        <f>IF(COUNT(C56:E56)=0,"",SUM(C56:E56))</f>
        <v/>
      </c>
      <c r="G56" s="14">
        <f>JAN!K56</f>
        <v/>
      </c>
      <c r="H56" s="14">
        <f>FEB!K56</f>
        <v/>
      </c>
      <c r="I56" s="14">
        <f>MAR!K56</f>
        <v/>
      </c>
      <c r="J56" s="15">
        <f>IF(COUNT(G56:I56)=0,"",SUM(G56:I56))</f>
        <v/>
      </c>
      <c r="K56" s="14">
        <f>APR!K56</f>
        <v/>
      </c>
      <c r="L56" s="14">
        <f>MAY!K56</f>
        <v/>
      </c>
      <c r="M56" s="14">
        <f>JUN!K56</f>
        <v/>
      </c>
      <c r="N56" s="15">
        <f>IF(COUNT(K56:M56)=0,"",SUM(K56:M56))</f>
        <v/>
      </c>
      <c r="O56" s="14">
        <f>JUL!K56</f>
        <v/>
      </c>
      <c r="P56" s="14">
        <f>AUG!K56</f>
        <v/>
      </c>
      <c r="Q56" s="14">
        <f>SEP!K56</f>
        <v/>
      </c>
      <c r="R56" s="15">
        <f>IF(COUNT(O56:Q56)=0,"",SUM(O56:Q56))</f>
        <v/>
      </c>
      <c r="S56" s="15">
        <f>IF(COUNT(C56:E56,G56:I56,K56:M56,O56:Q56)=0,"",SUM(C56:E56,G56:I56,K56:M56,O56:Q56))</f>
        <v/>
      </c>
    </row>
    <row r="57" ht="18.75" customHeight="1">
      <c r="A57" s="3" t="n"/>
      <c r="B57" s="10" t="inlineStr">
        <is>
          <t>Training Programs (#)</t>
        </is>
      </c>
      <c r="C57" s="14">
        <f>OCT!K57</f>
        <v/>
      </c>
      <c r="D57" s="14">
        <f>NOV!K57</f>
        <v/>
      </c>
      <c r="E57" s="14">
        <f>DEC!K57</f>
        <v/>
      </c>
      <c r="F57" s="15">
        <f>IF(COUNT(C57:E57)=0,"",SUM(C57:E57))</f>
        <v/>
      </c>
      <c r="G57" s="14">
        <f>JAN!K57</f>
        <v/>
      </c>
      <c r="H57" s="14">
        <f>FEB!K57</f>
        <v/>
      </c>
      <c r="I57" s="14">
        <f>MAR!K57</f>
        <v/>
      </c>
      <c r="J57" s="15">
        <f>IF(COUNT(G57:I57)=0,"",SUM(G57:I57))</f>
        <v/>
      </c>
      <c r="K57" s="14">
        <f>APR!K57</f>
        <v/>
      </c>
      <c r="L57" s="14">
        <f>MAY!K57</f>
        <v/>
      </c>
      <c r="M57" s="14">
        <f>JUN!K57</f>
        <v/>
      </c>
      <c r="N57" s="15">
        <f>IF(COUNT(K57:M57)=0,"",SUM(K57:M57))</f>
        <v/>
      </c>
      <c r="O57" s="14">
        <f>JUL!K57</f>
        <v/>
      </c>
      <c r="P57" s="14">
        <f>AUG!K57</f>
        <v/>
      </c>
      <c r="Q57" s="14">
        <f>SEP!K57</f>
        <v/>
      </c>
      <c r="R57" s="15">
        <f>IF(COUNT(O57:Q57)=0,"",SUM(O57:Q57))</f>
        <v/>
      </c>
      <c r="S57" s="15">
        <f>IF(COUNT(C57:E57,G57:I57,K57:M57,O57:Q57)=0,"",SUM(C57:E57,G57:I57,K57:M57,O57:Q57))</f>
        <v/>
      </c>
    </row>
    <row r="58" ht="18.75" customHeight="1">
      <c r="A58" s="3" t="n"/>
      <c r="B58" s="10" t="inlineStr">
        <is>
          <t>Training  Cost (USD)</t>
        </is>
      </c>
      <c r="C58" s="14">
        <f>OCT!K58</f>
        <v/>
      </c>
      <c r="D58" s="14">
        <f>NOV!K58</f>
        <v/>
      </c>
      <c r="E58" s="14">
        <f>DEC!K58</f>
        <v/>
      </c>
      <c r="F58" s="15">
        <f>IF(COUNT(C58:E58)=0,"",SUM(C58:E58))</f>
        <v/>
      </c>
      <c r="G58" s="14">
        <f>JAN!K58</f>
        <v/>
      </c>
      <c r="H58" s="14">
        <f>FEB!K58</f>
        <v/>
      </c>
      <c r="I58" s="14">
        <f>MAR!K58</f>
        <v/>
      </c>
      <c r="J58" s="15">
        <f>IF(COUNT(G58:I58)=0,"",SUM(G58:I58))</f>
        <v/>
      </c>
      <c r="K58" s="14">
        <f>APR!K58</f>
        <v/>
      </c>
      <c r="L58" s="14">
        <f>MAY!K58</f>
        <v/>
      </c>
      <c r="M58" s="14">
        <f>JUN!K58</f>
        <v/>
      </c>
      <c r="N58" s="15">
        <f>IF(COUNT(K58:M58)=0,"",SUM(K58:M58))</f>
        <v/>
      </c>
      <c r="O58" s="14">
        <f>JUL!K58</f>
        <v/>
      </c>
      <c r="P58" s="14">
        <f>AUG!K58</f>
        <v/>
      </c>
      <c r="Q58" s="14">
        <f>SEP!K58</f>
        <v/>
      </c>
      <c r="R58" s="15">
        <f>IF(COUNT(O58:Q58)=0,"",SUM(O58:Q58))</f>
        <v/>
      </c>
      <c r="S58" s="15">
        <f>IF(COUNT(C58:E58,G58:I58,K58:M58,O58:Q58)=0,"",SUM(C58:E58,G58:I58,K58:M58,O58:Q58))</f>
        <v/>
      </c>
    </row>
    <row r="59" ht="18.75" customHeight="1">
      <c r="A59" s="3" t="n"/>
      <c r="B59" s="10" t="inlineStr">
        <is>
          <t>Training Travel Cost (USD)</t>
        </is>
      </c>
      <c r="C59" s="14">
        <f>OCT!K59</f>
        <v/>
      </c>
      <c r="D59" s="14">
        <f>NOV!K59</f>
        <v/>
      </c>
      <c r="E59" s="14">
        <f>DEC!K59</f>
        <v/>
      </c>
      <c r="F59" s="15">
        <f>IF(COUNT(C59:E59)=0,"",SUM(C59:E59))</f>
        <v/>
      </c>
      <c r="G59" s="14">
        <f>JAN!K59</f>
        <v/>
      </c>
      <c r="H59" s="14">
        <f>FEB!K59</f>
        <v/>
      </c>
      <c r="I59" s="14">
        <f>MAR!K59</f>
        <v/>
      </c>
      <c r="J59" s="15">
        <f>IF(COUNT(G59:I59)=0,"",SUM(G59:I59))</f>
        <v/>
      </c>
      <c r="K59" s="14">
        <f>APR!K59</f>
        <v/>
      </c>
      <c r="L59" s="14">
        <f>MAY!K59</f>
        <v/>
      </c>
      <c r="M59" s="14">
        <f>JUN!K59</f>
        <v/>
      </c>
      <c r="N59" s="15">
        <f>IF(COUNT(K59:M59)=0,"",SUM(K59:M59))</f>
        <v/>
      </c>
      <c r="O59" s="14">
        <f>JUL!K59</f>
        <v/>
      </c>
      <c r="P59" s="14">
        <f>AUG!K59</f>
        <v/>
      </c>
      <c r="Q59" s="14">
        <f>SEP!K59</f>
        <v/>
      </c>
      <c r="R59" s="15">
        <f>IF(COUNT(O59:Q59)=0,"",SUM(O59:Q59))</f>
        <v/>
      </c>
      <c r="S59" s="15">
        <f>IF(COUNT(C59:E59,G59:I59,K59:M59,O59:Q59)=0,"",SUM(C59:E59,G59:I59,K59:M59,O59:Q59))</f>
        <v/>
      </c>
    </row>
    <row r="60" ht="18.75" customHeight="1">
      <c r="A60" s="3" t="n"/>
      <c r="B60" s="13" t="inlineStr">
        <is>
          <t>Leadership Hours Trained (%)</t>
        </is>
      </c>
      <c r="C60" s="19">
        <f>OCT!K60</f>
        <v/>
      </c>
      <c r="D60" s="19">
        <f>NOV!K60</f>
        <v/>
      </c>
      <c r="E60" s="19">
        <f>DEC!K60</f>
        <v/>
      </c>
      <c r="F60" s="20">
        <f>IFERROR(F50/F$55,"")</f>
        <v/>
      </c>
      <c r="G60" s="19">
        <f>JAN!K60</f>
        <v/>
      </c>
      <c r="H60" s="19">
        <f>FEB!K60</f>
        <v/>
      </c>
      <c r="I60" s="19">
        <f>MAR!K60</f>
        <v/>
      </c>
      <c r="J60" s="20">
        <f>IFERROR(J50/J$55,"")</f>
        <v/>
      </c>
      <c r="K60" s="19">
        <f>APR!K60</f>
        <v/>
      </c>
      <c r="L60" s="19">
        <f>MAY!K60</f>
        <v/>
      </c>
      <c r="M60" s="19">
        <f>JUN!K60</f>
        <v/>
      </c>
      <c r="N60" s="20">
        <f>IFERROR(N50/N$55,"")</f>
        <v/>
      </c>
      <c r="O60" s="19">
        <f>JUL!K60</f>
        <v/>
      </c>
      <c r="P60" s="19">
        <f>AUG!K60</f>
        <v/>
      </c>
      <c r="Q60" s="19">
        <f>SEP!K60</f>
        <v/>
      </c>
      <c r="R60" s="20">
        <f>IFERROR(R50/R$55,"")</f>
        <v/>
      </c>
      <c r="S60" s="20">
        <f>IFERROR(S50/S$55,"")</f>
        <v/>
      </c>
    </row>
    <row r="61" ht="18.75" customHeight="1">
      <c r="A61" s="3" t="n"/>
      <c r="B61" s="13" t="inlineStr">
        <is>
          <t>Technical Hours Trained (%)</t>
        </is>
      </c>
      <c r="C61" s="19">
        <f>OCT!K61</f>
        <v/>
      </c>
      <c r="D61" s="19">
        <f>NOV!K61</f>
        <v/>
      </c>
      <c r="E61" s="19">
        <f>DEC!K61</f>
        <v/>
      </c>
      <c r="F61" s="20">
        <f>IFERROR(F51/F$55,"")</f>
        <v/>
      </c>
      <c r="G61" s="19">
        <f>JAN!K61</f>
        <v/>
      </c>
      <c r="H61" s="19">
        <f>FEB!K61</f>
        <v/>
      </c>
      <c r="I61" s="19">
        <f>MAR!K61</f>
        <v/>
      </c>
      <c r="J61" s="20">
        <f>IFERROR(J51/J$55,"")</f>
        <v/>
      </c>
      <c r="K61" s="19">
        <f>APR!K61</f>
        <v/>
      </c>
      <c r="L61" s="19">
        <f>MAY!K61</f>
        <v/>
      </c>
      <c r="M61" s="19">
        <f>JUN!K61</f>
        <v/>
      </c>
      <c r="N61" s="20">
        <f>IFERROR(N51/N$55,"")</f>
        <v/>
      </c>
      <c r="O61" s="19">
        <f>JUL!K61</f>
        <v/>
      </c>
      <c r="P61" s="19">
        <f>AUG!K61</f>
        <v/>
      </c>
      <c r="Q61" s="19">
        <f>SEP!K61</f>
        <v/>
      </c>
      <c r="R61" s="20">
        <f>IFERROR(R51/R$55,"")</f>
        <v/>
      </c>
      <c r="S61" s="20">
        <f>IFERROR(S51/S$55,"")</f>
        <v/>
      </c>
    </row>
    <row r="62" ht="18.75" customHeight="1">
      <c r="A62" s="3" t="n"/>
      <c r="B62" s="13" t="inlineStr">
        <is>
          <t>Profess. Dev. Hours Trained (%)</t>
        </is>
      </c>
      <c r="C62" s="19">
        <f>OCT!K62</f>
        <v/>
      </c>
      <c r="D62" s="19">
        <f>NOV!K62</f>
        <v/>
      </c>
      <c r="E62" s="19">
        <f>DEC!K62</f>
        <v/>
      </c>
      <c r="F62" s="20">
        <f>IFERROR(F52/F$55,"")</f>
        <v/>
      </c>
      <c r="G62" s="19">
        <f>JAN!K62</f>
        <v/>
      </c>
      <c r="H62" s="19">
        <f>FEB!K62</f>
        <v/>
      </c>
      <c r="I62" s="19">
        <f>MAR!K62</f>
        <v/>
      </c>
      <c r="J62" s="20">
        <f>IFERROR(J52/J$55,"")</f>
        <v/>
      </c>
      <c r="K62" s="19">
        <f>APR!K62</f>
        <v/>
      </c>
      <c r="L62" s="19">
        <f>MAY!K62</f>
        <v/>
      </c>
      <c r="M62" s="19">
        <f>JUN!K62</f>
        <v/>
      </c>
      <c r="N62" s="20">
        <f>IFERROR(N52/N$55,"")</f>
        <v/>
      </c>
      <c r="O62" s="19">
        <f>JUL!K62</f>
        <v/>
      </c>
      <c r="P62" s="19">
        <f>AUG!K62</f>
        <v/>
      </c>
      <c r="Q62" s="19">
        <f>SEP!K62</f>
        <v/>
      </c>
      <c r="R62" s="20">
        <f>IFERROR(R52/R$55,"")</f>
        <v/>
      </c>
      <c r="S62" s="20">
        <f>IFERROR(S52/S$55,"")</f>
        <v/>
      </c>
    </row>
    <row r="63" ht="18.75" customHeight="1">
      <c r="A63" s="3" t="n"/>
      <c r="B63" s="13" t="inlineStr">
        <is>
          <t>HSSE Hours Trained (%)</t>
        </is>
      </c>
      <c r="C63" s="19">
        <f>OCT!K63</f>
        <v/>
      </c>
      <c r="D63" s="19">
        <f>NOV!K63</f>
        <v/>
      </c>
      <c r="E63" s="19">
        <f>DEC!K63</f>
        <v/>
      </c>
      <c r="F63" s="20">
        <f>IFERROR(F53/F$55,"")</f>
        <v/>
      </c>
      <c r="G63" s="19">
        <f>JAN!K63</f>
        <v/>
      </c>
      <c r="H63" s="19">
        <f>FEB!K63</f>
        <v/>
      </c>
      <c r="I63" s="19">
        <f>MAR!K63</f>
        <v/>
      </c>
      <c r="J63" s="20">
        <f>IFERROR(J53/J$55,"")</f>
        <v/>
      </c>
      <c r="K63" s="19">
        <f>APR!K63</f>
        <v/>
      </c>
      <c r="L63" s="19">
        <f>MAY!K63</f>
        <v/>
      </c>
      <c r="M63" s="19">
        <f>JUN!K63</f>
        <v/>
      </c>
      <c r="N63" s="20">
        <f>IFERROR(N53/N$55,"")</f>
        <v/>
      </c>
      <c r="O63" s="19">
        <f>JUL!K63</f>
        <v/>
      </c>
      <c r="P63" s="19">
        <f>AUG!K63</f>
        <v/>
      </c>
      <c r="Q63" s="19">
        <f>SEP!K63</f>
        <v/>
      </c>
      <c r="R63" s="20">
        <f>IFERROR(R53/R$55,"")</f>
        <v/>
      </c>
      <c r="S63" s="20">
        <f>IFERROR(S53/S$55,"")</f>
        <v/>
      </c>
    </row>
    <row r="64" ht="18.75" customHeight="1">
      <c r="A64" s="3" t="n"/>
      <c r="B64" s="13" t="inlineStr">
        <is>
          <t>Workday Hours Trained (%)</t>
        </is>
      </c>
      <c r="C64" s="19">
        <f>OCT!K64</f>
        <v/>
      </c>
      <c r="D64" s="19">
        <f>NOV!K64</f>
        <v/>
      </c>
      <c r="E64" s="19">
        <f>DEC!K64</f>
        <v/>
      </c>
      <c r="F64" s="20">
        <f>IFERROR(F54/F$55,"")</f>
        <v/>
      </c>
      <c r="G64" s="19">
        <f>JAN!K64</f>
        <v/>
      </c>
      <c r="H64" s="19">
        <f>FEB!K64</f>
        <v/>
      </c>
      <c r="I64" s="19">
        <f>MAR!K64</f>
        <v/>
      </c>
      <c r="J64" s="20">
        <f>IFERROR(J54/J$55,"")</f>
        <v/>
      </c>
      <c r="K64" s="19">
        <f>APR!K64</f>
        <v/>
      </c>
      <c r="L64" s="19">
        <f>MAY!K64</f>
        <v/>
      </c>
      <c r="M64" s="19">
        <f>JUN!K64</f>
        <v/>
      </c>
      <c r="N64" s="20">
        <f>IFERROR(N54/N$55,"")</f>
        <v/>
      </c>
      <c r="O64" s="19">
        <f>JUL!K64</f>
        <v/>
      </c>
      <c r="P64" s="19">
        <f>AUG!K64</f>
        <v/>
      </c>
      <c r="Q64" s="19">
        <f>SEP!K64</f>
        <v/>
      </c>
      <c r="R64" s="20">
        <f>IFERROR(R54/R$55,"")</f>
        <v/>
      </c>
      <c r="S64" s="20">
        <f>IFERROR(S54/S$55,"")</f>
        <v/>
      </c>
    </row>
    <row r="65" ht="18.75" customHeight="1">
      <c r="A65" s="3" t="n"/>
      <c r="B65" s="13" t="inlineStr">
        <is>
          <t>Staff Trained (%)</t>
        </is>
      </c>
      <c r="C65" s="19">
        <f>OCT!K65</f>
        <v/>
      </c>
      <c r="D65" s="19">
        <f>NOV!K65</f>
        <v/>
      </c>
      <c r="E65" s="19">
        <f>DEC!K65</f>
        <v/>
      </c>
      <c r="F65" s="20">
        <f>IFERROR(F56/SUM(C5:E5),"")</f>
        <v/>
      </c>
      <c r="G65" s="19">
        <f>JAN!K65</f>
        <v/>
      </c>
      <c r="H65" s="19">
        <f>FEB!K65</f>
        <v/>
      </c>
      <c r="I65" s="19">
        <f>MAR!K65</f>
        <v/>
      </c>
      <c r="J65" s="20">
        <f>IFERROR(J56/SUM(G5:I5),"")</f>
        <v/>
      </c>
      <c r="K65" s="19">
        <f>APR!K65</f>
        <v/>
      </c>
      <c r="L65" s="19">
        <f>MAY!K65</f>
        <v/>
      </c>
      <c r="M65" s="19">
        <f>JUN!K65</f>
        <v/>
      </c>
      <c r="N65" s="20">
        <f>IFERROR(N56/SUM(K5:M5),"")</f>
        <v/>
      </c>
      <c r="O65" s="19">
        <f>JUL!K65</f>
        <v/>
      </c>
      <c r="P65" s="19">
        <f>AUG!K65</f>
        <v/>
      </c>
      <c r="Q65" s="19">
        <f>SEP!K65</f>
        <v/>
      </c>
      <c r="R65" s="20">
        <f>IFERROR(R56/SUM(O5:Q5),"")</f>
        <v/>
      </c>
      <c r="S65" s="20">
        <f>IFERROR(S56/SUM(C5:E5,G5:I5,K5:M5,O5:Q5),"")</f>
        <v/>
      </c>
    </row>
    <row r="66" ht="18.75" customHeight="1">
      <c r="A66" s="3" t="n"/>
      <c r="B66" s="18" t="inlineStr">
        <is>
          <t>Training Hours / EE</t>
        </is>
      </c>
      <c r="C66" s="16">
        <f>OCT!K66</f>
        <v/>
      </c>
      <c r="D66" s="16">
        <f>NOV!K66</f>
        <v/>
      </c>
      <c r="E66" s="16">
        <f>DEC!K66</f>
        <v/>
      </c>
      <c r="F66" s="17">
        <f>IFERROR(F55/F5,"")</f>
        <v/>
      </c>
      <c r="G66" s="16">
        <f>JAN!K66</f>
        <v/>
      </c>
      <c r="H66" s="16">
        <f>FEB!K66</f>
        <v/>
      </c>
      <c r="I66" s="16">
        <f>MAR!K66</f>
        <v/>
      </c>
      <c r="J66" s="17">
        <f>IFERROR(J55/J5,"")</f>
        <v/>
      </c>
      <c r="K66" s="16">
        <f>APR!K66</f>
        <v/>
      </c>
      <c r="L66" s="16">
        <f>MAY!K66</f>
        <v/>
      </c>
      <c r="M66" s="16">
        <f>JUN!K66</f>
        <v/>
      </c>
      <c r="N66" s="17">
        <f>IFERROR(N55/N5,"")</f>
        <v/>
      </c>
      <c r="O66" s="16">
        <f>JUL!K66</f>
        <v/>
      </c>
      <c r="P66" s="16">
        <f>AUG!K66</f>
        <v/>
      </c>
      <c r="Q66" s="16">
        <f>SEP!K66</f>
        <v/>
      </c>
      <c r="R66" s="17">
        <f>IFERROR(R55/R5,"")</f>
        <v/>
      </c>
      <c r="S66" s="17">
        <f>IFERROR(S55/S5,"")</f>
        <v/>
      </c>
    </row>
    <row r="67" ht="18.75" customHeight="1">
      <c r="A67" s="3" t="n"/>
      <c r="B67" s="18" t="inlineStr">
        <is>
          <t>Training Hours / EE Trained</t>
        </is>
      </c>
      <c r="C67" s="16">
        <f>OCT!K67</f>
        <v/>
      </c>
      <c r="D67" s="16">
        <f>NOV!K67</f>
        <v/>
      </c>
      <c r="E67" s="16">
        <f>DEC!K67</f>
        <v/>
      </c>
      <c r="F67" s="17">
        <f>IFERROR(F55/F56,"")</f>
        <v/>
      </c>
      <c r="G67" s="16">
        <f>JAN!K67</f>
        <v/>
      </c>
      <c r="H67" s="16">
        <f>FEB!K67</f>
        <v/>
      </c>
      <c r="I67" s="16">
        <f>MAR!K67</f>
        <v/>
      </c>
      <c r="J67" s="17">
        <f>IFERROR(J55/J56,"")</f>
        <v/>
      </c>
      <c r="K67" s="16">
        <f>APR!K67</f>
        <v/>
      </c>
      <c r="L67" s="16">
        <f>MAY!K67</f>
        <v/>
      </c>
      <c r="M67" s="16">
        <f>JUN!K67</f>
        <v/>
      </c>
      <c r="N67" s="17">
        <f>IFERROR(N55/N56,"")</f>
        <v/>
      </c>
      <c r="O67" s="16">
        <f>JUL!K67</f>
        <v/>
      </c>
      <c r="P67" s="16">
        <f>AUG!K67</f>
        <v/>
      </c>
      <c r="Q67" s="16">
        <f>SEP!K67</f>
        <v/>
      </c>
      <c r="R67" s="17">
        <f>IFERROR(R55/R56,"")</f>
        <v/>
      </c>
      <c r="S67" s="17">
        <f>IFERROR(S55/S56,"")</f>
        <v/>
      </c>
    </row>
    <row r="68" ht="18.75" customHeight="1">
      <c r="A68" s="3" t="n"/>
      <c r="B68" s="18" t="inlineStr">
        <is>
          <t>Training Invest. / EE (USD)</t>
        </is>
      </c>
      <c r="C68" s="16">
        <f>OCT!K68</f>
        <v/>
      </c>
      <c r="D68" s="16">
        <f>NOV!K68</f>
        <v/>
      </c>
      <c r="E68" s="16">
        <f>DEC!K68</f>
        <v/>
      </c>
      <c r="F68" s="17">
        <f>IF(COUNT(F58:F59)=0,"",IFERROR((N(F58)+N(F59))/F5,""))</f>
        <v/>
      </c>
      <c r="G68" s="16">
        <f>JAN!K68</f>
        <v/>
      </c>
      <c r="H68" s="16">
        <f>FEB!K68</f>
        <v/>
      </c>
      <c r="I68" s="16">
        <f>MAR!K68</f>
        <v/>
      </c>
      <c r="J68" s="17">
        <f>IF(COUNT(J58:J59)=0,"",IFERROR((N(J58)+N(J59))/J5,""))</f>
        <v/>
      </c>
      <c r="K68" s="16">
        <f>APR!K68</f>
        <v/>
      </c>
      <c r="L68" s="16">
        <f>MAY!K68</f>
        <v/>
      </c>
      <c r="M68" s="16">
        <f>JUN!K68</f>
        <v/>
      </c>
      <c r="N68" s="17">
        <f>IF(COUNT(N58:N59)=0,"",IFERROR((N(N58)+N(N59))/N5,""))</f>
        <v/>
      </c>
      <c r="O68" s="16">
        <f>JUL!K68</f>
        <v/>
      </c>
      <c r="P68" s="16">
        <f>AUG!K68</f>
        <v/>
      </c>
      <c r="Q68" s="16">
        <f>SEP!K68</f>
        <v/>
      </c>
      <c r="R68" s="17">
        <f>IF(COUNT(R58:R59)=0,"",IFERROR((N(R58)+N(R59))/R5,""))</f>
        <v/>
      </c>
      <c r="S68" s="17">
        <f>IF(COUNT(S58:S59)=0,"",IFERROR((N(S58)+N(S59))/S5,""))</f>
        <v/>
      </c>
    </row>
    <row r="69" ht="18.75" customHeight="1">
      <c r="A69" s="3" t="n"/>
      <c r="B69" s="18" t="inlineStr">
        <is>
          <t>Training Invest. / EE Trained (USD)</t>
        </is>
      </c>
      <c r="C69" s="16">
        <f>OCT!K69</f>
        <v/>
      </c>
      <c r="D69" s="16">
        <f>NOV!K69</f>
        <v/>
      </c>
      <c r="E69" s="16">
        <f>DEC!K69</f>
        <v/>
      </c>
      <c r="F69" s="17">
        <f>IF(COUNT(F58:F59)=0,"",IFERROR((N(F58)+N(F59))/F56,""))</f>
        <v/>
      </c>
      <c r="G69" s="16">
        <f>JAN!K69</f>
        <v/>
      </c>
      <c r="H69" s="16">
        <f>FEB!K69</f>
        <v/>
      </c>
      <c r="I69" s="16">
        <f>MAR!K69</f>
        <v/>
      </c>
      <c r="J69" s="17">
        <f>IF(COUNT(J58:J59)=0,"",IFERROR((N(J58)+N(J59))/J56,""))</f>
        <v/>
      </c>
      <c r="K69" s="16">
        <f>APR!K69</f>
        <v/>
      </c>
      <c r="L69" s="16">
        <f>MAY!K69</f>
        <v/>
      </c>
      <c r="M69" s="16">
        <f>JUN!K69</f>
        <v/>
      </c>
      <c r="N69" s="17">
        <f>IF(COUNT(N58:N59)=0,"",IFERROR((N(N58)+N(N59))/N56,""))</f>
        <v/>
      </c>
      <c r="O69" s="16">
        <f>JUL!K69</f>
        <v/>
      </c>
      <c r="P69" s="16">
        <f>AUG!K69</f>
        <v/>
      </c>
      <c r="Q69" s="16">
        <f>SEP!K69</f>
        <v/>
      </c>
      <c r="R69" s="17">
        <f>IF(COUNT(R58:R59)=0,"",IFERROR((N(R58)+N(R59))/R56,""))</f>
        <v/>
      </c>
      <c r="S69" s="17">
        <f>IF(COUNT(S58:S59)=0,"",IFERROR((N(S58)+N(S59))/S56,""))</f>
        <v/>
      </c>
    </row>
    <row r="70" ht="18.75" customHeight="1">
      <c r="A70" s="3" t="n"/>
      <c r="B70" s="25" t="inlineStr">
        <is>
          <t>Input Cells Not Submitted</t>
        </is>
      </c>
      <c r="C70" s="14">
        <f>OCT!K70</f>
        <v/>
      </c>
      <c r="D70" s="14">
        <f>NOV!K70</f>
        <v/>
      </c>
      <c r="E70" s="14">
        <f>DEC!K70</f>
        <v/>
      </c>
      <c r="F70" s="14">
        <f>SUM(C70:E70)</f>
        <v/>
      </c>
      <c r="G70" s="14">
        <f>JAN!K70</f>
        <v/>
      </c>
      <c r="H70" s="14">
        <f>FEB!K70</f>
        <v/>
      </c>
      <c r="I70" s="14">
        <f>MAR!K70</f>
        <v/>
      </c>
      <c r="J70" s="14">
        <f>SUM(G70:I70)</f>
        <v/>
      </c>
      <c r="K70" s="14">
        <f>APR!K70</f>
        <v/>
      </c>
      <c r="L70" s="14">
        <f>MAY!K70</f>
        <v/>
      </c>
      <c r="M70" s="14">
        <f>JUN!K70</f>
        <v/>
      </c>
      <c r="N70" s="14">
        <f>SUM(K70:M70)</f>
        <v/>
      </c>
      <c r="O70" s="14">
        <f>JUL!K70</f>
        <v/>
      </c>
      <c r="P70" s="14">
        <f>AUG!K70</f>
        <v/>
      </c>
      <c r="Q70" s="14">
        <f>SEP!K70</f>
        <v/>
      </c>
      <c r="R70" s="14">
        <f>SUM(O70:Q70)</f>
        <v/>
      </c>
      <c r="S70" s="14">
        <f>SUM(C70:E70,G70:I70,K70:M70,O70:Q70)</f>
        <v/>
      </c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26953125" customWidth="1" min="10" max="10"/>
    <col width="15.7265625" customWidth="1" min="11" max="11"/>
    <col width="21" customWidth="1" min="12" max="12"/>
    <col width="11.81640625" customWidth="1" min="13" max="13"/>
  </cols>
  <sheetData>
    <row r="1" ht="30" customHeight="1">
      <c r="A1" s="1" t="n"/>
      <c r="B1" s="2" t="inlineStr">
        <is>
          <t>GCG CENTRAL AMERICA</t>
        </is>
      </c>
      <c r="C1" s="26" t="inlineStr">
        <is>
          <t>1171</t>
        </is>
      </c>
      <c r="D1" s="26" t="inlineStr">
        <is>
          <t>1162</t>
        </is>
      </c>
      <c r="E1" s="26" t="inlineStr">
        <is>
          <t>1076</t>
        </is>
      </c>
      <c r="F1" s="26" t="inlineStr">
        <is>
          <t>1170</t>
        </is>
      </c>
      <c r="G1" s="26" t="inlineStr">
        <is>
          <t>1078</t>
        </is>
      </c>
      <c r="H1" s="26" t="inlineStr">
        <is>
          <t>1172</t>
        </is>
      </c>
      <c r="I1" s="26" t="inlineStr">
        <is>
          <t>1074</t>
        </is>
      </c>
      <c r="J1" s="26" t="inlineStr">
        <is>
          <t>1161</t>
        </is>
      </c>
      <c r="K1" s="3" t="n"/>
      <c r="L1" s="3" t="n"/>
      <c r="M1" s="3" t="n"/>
    </row>
    <row r="2" ht="72" customHeight="1">
      <c r="A2" s="4" t="n">
        <v>202610</v>
      </c>
      <c r="B2" s="5" t="inlineStr">
        <is>
          <t>OCT</t>
        </is>
      </c>
      <c r="C2" s="27" t="inlineStr">
        <is>
          <t>GCG Culinary Costa Rica</t>
        </is>
      </c>
      <c r="D2" s="27" t="inlineStr">
        <is>
          <t>GCG Food Guatemala</t>
        </is>
      </c>
      <c r="E2" s="27" t="inlineStr">
        <is>
          <t>GCG Guatemala</t>
        </is>
      </c>
      <c r="F2" s="27" t="inlineStr">
        <is>
          <t>GCG Aviation Ground Honduras</t>
        </is>
      </c>
      <c r="G2" s="27" t="inlineStr">
        <is>
          <t>GCG Honduras</t>
        </is>
      </c>
      <c r="H2" s="27" t="inlineStr">
        <is>
          <t>GCG Concessions Panama</t>
        </is>
      </c>
      <c r="I2" s="27" t="inlineStr">
        <is>
          <t>GCG El Salvador</t>
        </is>
      </c>
      <c r="J2" s="27" t="inlineStr">
        <is>
          <t>GCG Food El Salvador</t>
        </is>
      </c>
      <c r="K2" s="28" t="inlineStr">
        <is>
          <t>TOTAL</t>
        </is>
      </c>
      <c r="L2" s="4" t="inlineStr">
        <is>
          <t>Total by Division</t>
        </is>
      </c>
      <c r="M2" s="29">
        <f>N(M11)&lt;&gt;0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0" t="n"/>
      <c r="I3" s="30" t="n"/>
      <c r="J3" s="30" t="n"/>
      <c r="K3" s="31">
        <f>IF(COUNT(C3:J3)=0,"",SUM(C3:J3))</f>
        <v/>
      </c>
      <c r="L3" s="4" t="inlineStr">
        <is>
          <t>∑</t>
        </is>
      </c>
      <c r="M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0" t="n"/>
      <c r="I4" s="30" t="n"/>
      <c r="J4" s="30" t="n"/>
      <c r="K4" s="31">
        <f>IF(COUNT(C4:J4)=0,"",SUM(C4:J4))</f>
        <v/>
      </c>
      <c r="L4" s="4" t="inlineStr">
        <is>
          <t>∑</t>
        </is>
      </c>
      <c r="M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11">
        <f>IF(COUNT(J3:J4)=0,"",SUM(J3:J4))</f>
        <v/>
      </c>
      <c r="K5" s="31">
        <f>IF(COUNT(K3:K4)=0,"",SUM(K3:K4))</f>
        <v/>
      </c>
      <c r="L5" s="4" t="inlineStr">
        <is>
          <t>ϝ</t>
        </is>
      </c>
      <c r="M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0" t="n"/>
      <c r="I6" s="30" t="n"/>
      <c r="J6" s="30" t="n"/>
      <c r="K6" s="31">
        <f>IF(COUNT(C6:J6)=0,"",SUM(C6:J6))</f>
        <v/>
      </c>
      <c r="L6" s="4" t="inlineStr">
        <is>
          <t>∑</t>
        </is>
      </c>
      <c r="M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0" t="n"/>
      <c r="I7" s="30" t="n"/>
      <c r="J7" s="30" t="n"/>
      <c r="K7" s="31">
        <f>IF(COUNT(C7:J7)=0,"",SUM(C7:J7))</f>
        <v/>
      </c>
      <c r="L7" s="4" t="inlineStr">
        <is>
          <t>∑</t>
        </is>
      </c>
      <c r="M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0" t="n"/>
      <c r="I8" s="30" t="n"/>
      <c r="J8" s="30" t="n"/>
      <c r="K8" s="31">
        <f>IF(COUNT(C8:J8)=0,"",SUM(C8:J8))</f>
        <v/>
      </c>
      <c r="L8" s="4" t="inlineStr">
        <is>
          <t>∑</t>
        </is>
      </c>
      <c r="M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0" t="n"/>
      <c r="I9" s="30" t="n"/>
      <c r="J9" s="30" t="n"/>
      <c r="K9" s="31">
        <f>IF(COUNT(C9:J9)=0,"",SUM(C9:J9))</f>
        <v/>
      </c>
      <c r="L9" s="4" t="inlineStr">
        <is>
          <t>∑</t>
        </is>
      </c>
      <c r="M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2" t="n"/>
      <c r="I10" s="32" t="n"/>
      <c r="J10" s="32" t="n"/>
      <c r="K10" s="33">
        <f>IFERROR(AVERAGE(C10:J10),"")</f>
        <v/>
      </c>
      <c r="L10" s="4" t="inlineStr">
        <is>
          <t>Avg</t>
        </is>
      </c>
      <c r="M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16">
        <f>IF(COUNT(J6:J9)=0,"",N(J6)+N(J7)*0.75+N(J8)*0.5+N(J9)*0.25)</f>
        <v/>
      </c>
      <c r="K11" s="34">
        <f>IF(COUNT(K6:K9)=0,"",N(K6)+N(K7)*0.75+N(K8)*0.5+N(K9)*0.25)</f>
        <v/>
      </c>
      <c r="L11" s="4" t="inlineStr">
        <is>
          <t>FTE</t>
        </is>
      </c>
      <c r="M11" s="35">
        <f>IF(COUNT(K5:K9)=0,"",N(K6)+N(K7)+N(K8)+N(K9)-N(K5))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0" t="n"/>
      <c r="I12" s="30" t="n"/>
      <c r="J12" s="30" t="n"/>
      <c r="K12" s="31">
        <f>IF(COUNT(C12:J12)=0,"",SUM(C12:J12))</f>
        <v/>
      </c>
      <c r="L12" s="4" t="inlineStr">
        <is>
          <t>∑</t>
        </is>
      </c>
      <c r="M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2" t="n"/>
      <c r="I13" s="32" t="n"/>
      <c r="J13" s="32" t="n"/>
      <c r="K13" s="33">
        <f>IF(COUNT(C13:J13)=0,"",SUM(C13:J13))</f>
        <v/>
      </c>
      <c r="L13" s="4" t="inlineStr">
        <is>
          <t>∑</t>
        </is>
      </c>
      <c r="M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16">
        <f>IFERROR(J13/J10,"")</f>
        <v/>
      </c>
      <c r="K14" s="34">
        <f>IF(COUNT(C14:J14)=0,"",SUM(C14:J14))</f>
        <v/>
      </c>
      <c r="L14" s="4" t="inlineStr">
        <is>
          <t>FTE</t>
        </is>
      </c>
      <c r="M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11">
        <f>IF(COUNT(J5,J12)=0,"",SUM(J5,J12))</f>
        <v/>
      </c>
      <c r="K15" s="31">
        <f>IF(COUNT(K5,K12)=0,"",SUM(K5,K12))</f>
        <v/>
      </c>
      <c r="L15" s="4" t="inlineStr">
        <is>
          <t>ϝ</t>
        </is>
      </c>
      <c r="M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16">
        <f>IF(COUNT(J11,J14)=0,"",SUM(J11,J14))</f>
        <v/>
      </c>
      <c r="K16" s="34">
        <f>IF(COUNT(K11,K14)=0,"",SUM(K11,K14))</f>
        <v/>
      </c>
      <c r="L16" s="4" t="inlineStr">
        <is>
          <t>FTE</t>
        </is>
      </c>
      <c r="M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19">
        <f>IFERROR(J12/J15,"")</f>
        <v/>
      </c>
      <c r="K17" s="36">
        <f>IFERROR(K12/K15,"")</f>
        <v/>
      </c>
      <c r="L17" s="4" t="inlineStr">
        <is>
          <t>ϝ</t>
        </is>
      </c>
      <c r="M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0" t="n"/>
      <c r="I18" s="30" t="n"/>
      <c r="J18" s="30" t="n"/>
      <c r="K18" s="31">
        <f>IF(COUNT(C18:J18)=0,"",SUM(C18:J18))</f>
        <v/>
      </c>
      <c r="L18" s="4" t="inlineStr">
        <is>
          <t>∑</t>
        </is>
      </c>
      <c r="M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0" t="n"/>
      <c r="I19" s="30" t="n"/>
      <c r="J19" s="30" t="n"/>
      <c r="K19" s="31">
        <f>IF(COUNT(C19:J19)=0,"",SUM(C19:J19))</f>
        <v/>
      </c>
      <c r="L19" s="4" t="inlineStr">
        <is>
          <t>∑</t>
        </is>
      </c>
      <c r="M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0" t="n"/>
      <c r="I20" s="30" t="n"/>
      <c r="J20" s="30" t="n"/>
      <c r="K20" s="31">
        <f>IF(COUNT(C20:J20)=0,"",SUM(C20:J20))</f>
        <v/>
      </c>
      <c r="L20" s="4" t="inlineStr">
        <is>
          <t>∑</t>
        </is>
      </c>
      <c r="M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11">
        <f>IF(COUNT(J19:J20)=0,"",SUM(J19:J20))</f>
        <v/>
      </c>
      <c r="K21" s="31">
        <f>IF(COUNT(K19:K20)=0,"",SUM(K19:K20))</f>
        <v/>
      </c>
      <c r="L21" s="4" t="inlineStr">
        <is>
          <t>ϝ</t>
        </is>
      </c>
      <c r="M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0" t="n"/>
      <c r="I22" s="30" t="n"/>
      <c r="J22" s="30" t="n"/>
      <c r="K22" s="31">
        <f>IF(COUNT(C22:J22)=0,"",SUM(C22:J22))</f>
        <v/>
      </c>
      <c r="L22" s="4" t="inlineStr">
        <is>
          <t>∑</t>
        </is>
      </c>
      <c r="M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0" t="n"/>
      <c r="I23" s="30" t="n"/>
      <c r="J23" s="30" t="n"/>
      <c r="K23" s="31">
        <f>IF(COUNT(C23:J23)=0,"",SUM(C23:J23))</f>
        <v/>
      </c>
      <c r="L23" s="4" t="inlineStr">
        <is>
          <t>∑</t>
        </is>
      </c>
      <c r="M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11">
        <f>IF(COUNT(J22:J23)=0,"",SUM(J22:J23))</f>
        <v/>
      </c>
      <c r="K24" s="31">
        <f>IF(COUNT(K22:K23)=0,"",SUM(K22:K23))</f>
        <v/>
      </c>
      <c r="L24" s="4" t="inlineStr">
        <is>
          <t>ϝ</t>
        </is>
      </c>
      <c r="M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19">
        <f>IF(COUNT(J31,J32)&lt;2,"",IF((J32+J31)=0,"",N(J22)/((J32+J31)/2)))</f>
        <v/>
      </c>
      <c r="K25" s="36">
        <f>IF(COUNT(K31,K32)&lt;2,"",IF((K32+K31)=0,"",N(K22)/((K32+K31)/2)))</f>
        <v/>
      </c>
      <c r="L25" s="4" t="inlineStr">
        <is>
          <t>ϝ</t>
        </is>
      </c>
      <c r="M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19">
        <f>IF(COUNT(J31,J32)&lt;2,"",IF((J32+J31)=0,"",N(J23)/((J32+J31)/2)))</f>
        <v/>
      </c>
      <c r="K26" s="36">
        <f>IF(COUNT(K31,K32)&lt;2,"",IF((K32+K31)=0,"",N(K23)/((K32+K31)/2)))</f>
        <v/>
      </c>
      <c r="L26" s="4" t="inlineStr">
        <is>
          <t>ϝ</t>
        </is>
      </c>
      <c r="M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0" t="n"/>
      <c r="I27" s="30" t="n"/>
      <c r="J27" s="30" t="n"/>
      <c r="K27" s="31">
        <f>IF(COUNT(C27:J27)=0,"",SUM(C27:J27))</f>
        <v/>
      </c>
      <c r="L27" s="4" t="inlineStr">
        <is>
          <t>∑</t>
        </is>
      </c>
      <c r="M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0" t="n"/>
      <c r="I28" s="30" t="n"/>
      <c r="J28" s="30" t="n"/>
      <c r="K28" s="31">
        <f>IF(COUNT(C28:J28)=0,"",SUM(C28:J28))</f>
        <v/>
      </c>
      <c r="L28" s="4" t="inlineStr">
        <is>
          <t>∑</t>
        </is>
      </c>
      <c r="M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19">
        <f>IF(COUNT(J31,J32)&lt;2,"",IF((J32+J31)=0,"",N(J27)/((J32+J31)/2)))</f>
        <v/>
      </c>
      <c r="K29" s="36">
        <f>IF(COUNT(K31,K32)&lt;2,"",IF((K32+K31)=0,"",N(K27)/((K32+K31)/2)))</f>
        <v/>
      </c>
      <c r="L29" s="4" t="inlineStr">
        <is>
          <t>ϝ</t>
        </is>
      </c>
      <c r="M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19">
        <f>IF(COUNT(J31,J32)&lt;2,"",IF((J32+J31)=0,"",N(J28)/((J32+J31)/2)))</f>
        <v/>
      </c>
      <c r="K30" s="36">
        <f>IF(COUNT(K31,K32)&lt;2,"",IF((K32+K31)=0,"",N(K28)/((K32+K31)/2)))</f>
        <v/>
      </c>
      <c r="L30" s="4" t="inlineStr">
        <is>
          <t>ϝ</t>
        </is>
      </c>
      <c r="M30" s="3" t="n"/>
    </row>
    <row r="31" ht="15.5" customHeight="1">
      <c r="A31" s="3" t="n"/>
      <c r="B31" s="10" t="inlineStr">
        <is>
          <t>Headcount last Month</t>
        </is>
      </c>
      <c r="C31" s="30" t="n"/>
      <c r="D31" s="30" t="n"/>
      <c r="E31" s="30" t="n"/>
      <c r="F31" s="30" t="n"/>
      <c r="G31" s="30" t="n"/>
      <c r="H31" s="30" t="n"/>
      <c r="I31" s="30" t="n"/>
      <c r="J31" s="30" t="n"/>
      <c r="K31" s="31">
        <f>IF(COUNT(C31:J31)=0,"",SUM(C31:J31))</f>
        <v/>
      </c>
      <c r="L31" s="4" t="inlineStr">
        <is>
          <t>∑</t>
        </is>
      </c>
      <c r="M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11">
        <f>IF(J5="","",J5)</f>
        <v/>
      </c>
      <c r="K32" s="31">
        <f>IF(COUNT(C32:J32)=0,"",SUM(C32:J32))</f>
        <v/>
      </c>
      <c r="L32" s="4" t="inlineStr">
        <is>
          <t>∑</t>
        </is>
      </c>
      <c r="M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19">
        <f>IF(COUNT(J31,J32)&lt;2,"",IF((J32+J31)=0,"",N(J24)/((J32+J31)/2)))</f>
        <v/>
      </c>
      <c r="K33" s="36">
        <f>IF(COUNT(K31,K32)&lt;2,"",IF((K32+K31)=0,"",N(K24)/((K32+K31)/2)))</f>
        <v/>
      </c>
      <c r="L33" s="4" t="inlineStr">
        <is>
          <t>ϝ</t>
        </is>
      </c>
      <c r="M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0" t="n"/>
      <c r="I34" s="30" t="n"/>
      <c r="J34" s="30" t="n"/>
      <c r="K34" s="31">
        <f>IF(COUNT(C34:J34)=0,"",SUM(C34:J34))</f>
        <v/>
      </c>
      <c r="L34" s="4" t="inlineStr">
        <is>
          <t>∑</t>
        </is>
      </c>
      <c r="M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0" t="n"/>
      <c r="I35" s="30" t="n"/>
      <c r="J35" s="30" t="n"/>
      <c r="K35" s="31">
        <f>IF(COUNT(C35:J35)=0,"",SUM(C35:J35))</f>
        <v/>
      </c>
      <c r="L35" s="4" t="inlineStr">
        <is>
          <t>∑</t>
        </is>
      </c>
      <c r="M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11">
        <f>IF(COUNT(J34:J35)=0,"",SUM(J34:J35))</f>
        <v/>
      </c>
      <c r="K36" s="31">
        <f>IF(COUNT(K34:K35)=0,"",SUM(K34:K35))</f>
        <v/>
      </c>
      <c r="L36" s="4" t="inlineStr">
        <is>
          <t>ϝ</t>
        </is>
      </c>
      <c r="M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11">
        <f>IF(COUNT(J5,J36)=0,"",N(J5)+N(J36))</f>
        <v/>
      </c>
      <c r="K37" s="31">
        <f>IF(COUNT(K5,K36)=0,"",N(K5)+N(K36))</f>
        <v/>
      </c>
      <c r="L37" s="4" t="inlineStr">
        <is>
          <t>ϝ</t>
        </is>
      </c>
      <c r="M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19">
        <f>IFERROR(J36/J37,"")</f>
        <v/>
      </c>
      <c r="K38" s="36">
        <f>IFERROR(K36/K37,"")</f>
        <v/>
      </c>
      <c r="L38" s="4" t="inlineStr">
        <is>
          <t>ϝ</t>
        </is>
      </c>
      <c r="M38" s="3" t="n"/>
    </row>
    <row r="39" ht="15.5" customHeight="1">
      <c r="A39" s="3" t="n"/>
      <c r="B39" s="10" t="inlineStr">
        <is>
          <t>Permanent TimeToHire (Days) YTD</t>
        </is>
      </c>
      <c r="C39" s="14">
        <f>IF('(Culinary_CRI)'!$AB$4="","",'(Culinary_CRI)'!$AB$4)</f>
        <v/>
      </c>
      <c r="D39" s="14">
        <f>IF('(Food_GTM)'!$AB$4="","",'(Food_GTM)'!$AB$4)</f>
        <v/>
      </c>
      <c r="E39" s="14">
        <f>IF('(GCG_GTM)'!$AB$4="","",'(GCG_GTM)'!$AB$4)</f>
        <v/>
      </c>
      <c r="F39" s="14">
        <f>IF('(Ground_HND)'!$AB$4="","",'(Ground_HND)'!$AB$4)</f>
        <v/>
      </c>
      <c r="G39" s="14">
        <f>IF('(GCG_HND)'!$AB$4="","",'(GCG_HND)'!$AB$4)</f>
        <v/>
      </c>
      <c r="H39" s="14">
        <f>IF('(Concess_PAN)'!$AB$4="","",'(Concess_PAN)'!$AB$4)</f>
        <v/>
      </c>
      <c r="I39" s="14">
        <f>IF('(GCG_SLV)'!$AB$4="","",'(GCG_SLV)'!$AB$4)</f>
        <v/>
      </c>
      <c r="J39" s="14">
        <f>IF('(Food_SLV)'!$AB$4="","",'(Food_SLV)'!$AB$4)</f>
        <v/>
      </c>
      <c r="K39" s="33">
        <f>IFERROR(AVERAGE(C39:J39),"")</f>
        <v/>
      </c>
      <c r="L39" s="4" t="inlineStr">
        <is>
          <t>Avg</t>
        </is>
      </c>
      <c r="M39" s="3" t="n"/>
    </row>
    <row r="40" ht="15.5" customHeight="1">
      <c r="A40" s="3" t="n"/>
      <c r="B40" s="10" t="inlineStr">
        <is>
          <t>Temporary TimeToHire (Days) YTD</t>
        </is>
      </c>
      <c r="C40" s="14">
        <f>IF('(Culinary_CRI)'!$AD$4="","",'(Culinary_CRI)'!$AD$4)</f>
        <v/>
      </c>
      <c r="D40" s="14">
        <f>IF('(Food_GTM)'!$AD$4="","",'(Food_GTM)'!$AD$4)</f>
        <v/>
      </c>
      <c r="E40" s="14">
        <f>IF('(GCG_GTM)'!$AD$4="","",'(GCG_GTM)'!$AD$4)</f>
        <v/>
      </c>
      <c r="F40" s="14">
        <f>IF('(Ground_HND)'!$AD$4="","",'(Ground_HND)'!$AD$4)</f>
        <v/>
      </c>
      <c r="G40" s="14">
        <f>IF('(GCG_HND)'!$AD$4="","",'(GCG_HND)'!$AD$4)</f>
        <v/>
      </c>
      <c r="H40" s="14">
        <f>IF('(Concess_PAN)'!$AD$4="","",'(Concess_PAN)'!$AD$4)</f>
        <v/>
      </c>
      <c r="I40" s="14">
        <f>IF('(GCG_SLV)'!$AD$4="","",'(GCG_SLV)'!$AD$4)</f>
        <v/>
      </c>
      <c r="J40" s="14">
        <f>IF('(Food_SLV)'!$AD$4="","",'(Food_SLV)'!$AD$4)</f>
        <v/>
      </c>
      <c r="K40" s="33">
        <f>IFERROR(AVERAGE(C40:J40),"")</f>
        <v/>
      </c>
      <c r="L40" s="4" t="inlineStr">
        <is>
          <t>Avg</t>
        </is>
      </c>
      <c r="M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7" t="n"/>
      <c r="I41" s="37" t="n"/>
      <c r="J41" s="37" t="n"/>
      <c r="K41" s="38">
        <f>IFERROR(AVERAGE(C41:J41),"")</f>
        <v/>
      </c>
      <c r="L41" s="4" t="inlineStr">
        <is>
          <t>Avg</t>
        </is>
      </c>
      <c r="M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0" t="n"/>
      <c r="I42" s="30" t="n"/>
      <c r="J42" s="30" t="n"/>
      <c r="K42" s="31">
        <f>IF(COUNT(C42:J42)=0,"",SUM(C42:J42))</f>
        <v/>
      </c>
      <c r="L42" s="4" t="inlineStr">
        <is>
          <t>∑</t>
        </is>
      </c>
      <c r="M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2" t="n"/>
      <c r="I43" s="32" t="n"/>
      <c r="J43" s="32" t="n"/>
      <c r="K43" s="33">
        <f>IF(COUNT(C43:J43)=0,"",SUM(C43:J43))</f>
        <v/>
      </c>
      <c r="L43" s="4" t="inlineStr">
        <is>
          <t>∑</t>
        </is>
      </c>
      <c r="M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2" t="n"/>
      <c r="I44" s="32" t="n"/>
      <c r="J44" s="32" t="n"/>
      <c r="K44" s="33">
        <f>IF(COUNT(C44:J44)=0,"",SUM(C44:J44))</f>
        <v/>
      </c>
      <c r="L44" s="4" t="inlineStr">
        <is>
          <t>∑</t>
        </is>
      </c>
      <c r="M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14">
        <f>IF(COUNT(J43:J44)=0,"",SUM(J43:J44))</f>
        <v/>
      </c>
      <c r="K45" s="33">
        <f>IF(COUNT(K43:K44)=0,"",SUM(K43:K44))</f>
        <v/>
      </c>
      <c r="L45" s="4" t="inlineStr">
        <is>
          <t>ϝ</t>
        </is>
      </c>
      <c r="M45" s="3" t="n"/>
    </row>
    <row r="46" ht="15.5" customHeight="1">
      <c r="A46" s="3" t="n"/>
      <c r="B46" s="13" t="inlineStr">
        <is>
          <t>Absent Rate Non-Certified (%)</t>
        </is>
      </c>
      <c r="C46" s="19">
        <f>IF('(Culinary_CRI)'!$G$4="","",'(Culinary_CRI)'!$G$4)</f>
        <v/>
      </c>
      <c r="D46" s="19">
        <f>IF('(Food_GTM)'!$G$4="","",'(Food_GTM)'!$G$4)</f>
        <v/>
      </c>
      <c r="E46" s="19">
        <f>IF('(GCG_GTM)'!$G$4="","",'(GCG_GTM)'!$G$4)</f>
        <v/>
      </c>
      <c r="F46" s="19">
        <f>IF('(Ground_HND)'!$G$4="","",'(Ground_HND)'!$G$4)</f>
        <v/>
      </c>
      <c r="G46" s="19">
        <f>IF('(GCG_HND)'!$G$4="","",'(GCG_HND)'!$G$4)</f>
        <v/>
      </c>
      <c r="H46" s="19">
        <f>IF('(Concess_PAN)'!$G$4="","",'(Concess_PAN)'!$G$4)</f>
        <v/>
      </c>
      <c r="I46" s="19">
        <f>IF('(GCG_SLV)'!$G$4="","",'(GCG_SLV)'!$G$4)</f>
        <v/>
      </c>
      <c r="J46" s="19">
        <f>IF('(Food_SLV)'!$G$4="","",'(Food_SLV)'!$G$4)</f>
        <v/>
      </c>
      <c r="K46" s="36">
        <f t="array" ref="K46">IF(COUNT(C46:J46)=0,"",IFERROR(SUMPRODUCT(IFERROR(C46:J46*((C3:J3)+(C4:J4)),0))/SUMPRODUCT(IFERROR(ISNUMBER(C46:J46)*((C3:J3)+(C4:J4)),0)),""))</f>
        <v/>
      </c>
      <c r="L46" s="4" t="inlineStr">
        <is>
          <t>Weighted</t>
        </is>
      </c>
      <c r="M46" s="3" t="n"/>
    </row>
    <row r="47" ht="15.5" customHeight="1">
      <c r="A47" s="3" t="n"/>
      <c r="B47" s="13" t="inlineStr">
        <is>
          <t>Absent Rate Certified (%)</t>
        </is>
      </c>
      <c r="C47" s="19">
        <f>IF('(Culinary_CRI)'!$O$4="","",'(Culinary_CRI)'!$O$4)</f>
        <v/>
      </c>
      <c r="D47" s="19">
        <f>IF('(Food_GTM)'!$O$4="","",'(Food_GTM)'!$O$4)</f>
        <v/>
      </c>
      <c r="E47" s="19">
        <f>IF('(GCG_GTM)'!$O$4="","",'(GCG_GTM)'!$O$4)</f>
        <v/>
      </c>
      <c r="F47" s="19">
        <f>IF('(Ground_HND)'!$O$4="","",'(Ground_HND)'!$O$4)</f>
        <v/>
      </c>
      <c r="G47" s="19">
        <f>IF('(GCG_HND)'!$O$4="","",'(GCG_HND)'!$O$4)</f>
        <v/>
      </c>
      <c r="H47" s="19">
        <f>IF('(Concess_PAN)'!$O$4="","",'(Concess_PAN)'!$O$4)</f>
        <v/>
      </c>
      <c r="I47" s="19">
        <f>IF('(GCG_SLV)'!$O$4="","",'(GCG_SLV)'!$O$4)</f>
        <v/>
      </c>
      <c r="J47" s="19">
        <f>IF('(Food_SLV)'!$O$4="","",'(Food_SLV)'!$O$4)</f>
        <v/>
      </c>
      <c r="K47" s="36">
        <f t="array" ref="K47">IF(COUNT(C47:J47)=0,"",IFERROR(SUMPRODUCT(IFERROR(C47:J47*((C3:J3)+(C4:J4)),0))/SUMPRODUCT(IFERROR(ISNUMBER(C47:J47)*((C3:J3)+(C4:J4)),0)),""))</f>
        <v/>
      </c>
      <c r="L47" s="4" t="inlineStr">
        <is>
          <t>Weighted</t>
        </is>
      </c>
      <c r="M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19">
        <f>IF(COUNT(J46:J47)=0,"",SUM(J46:J47))</f>
        <v/>
      </c>
      <c r="K48" s="36">
        <f>IF(COUNT(K46:K47)=0,"",SUM(K46:K47))</f>
        <v/>
      </c>
      <c r="L48" s="4" t="inlineStr">
        <is>
          <t>Weighted</t>
        </is>
      </c>
      <c r="M48" s="3" t="n"/>
    </row>
    <row r="49" ht="15.5" customHeight="1">
      <c r="A49" s="3" t="n"/>
      <c r="B49" s="18" t="inlineStr">
        <is>
          <t>Weight factor</t>
        </is>
      </c>
      <c r="C49" s="19">
        <f>IFERROR(C5/$K5,"")</f>
        <v/>
      </c>
      <c r="D49" s="19">
        <f>IFERROR(D5/$K5,"")</f>
        <v/>
      </c>
      <c r="E49" s="19">
        <f>IFERROR(E5/$K5,"")</f>
        <v/>
      </c>
      <c r="F49" s="19">
        <f>IFERROR(F5/$K5,"")</f>
        <v/>
      </c>
      <c r="G49" s="19">
        <f>IFERROR(G5/$K5,"")</f>
        <v/>
      </c>
      <c r="H49" s="19">
        <f>IFERROR(H5/$K5,"")</f>
        <v/>
      </c>
      <c r="I49" s="19">
        <f>IFERROR(I5/$K5,"")</f>
        <v/>
      </c>
      <c r="J49" s="19">
        <f>IFERROR(J5/$K5,"")</f>
        <v/>
      </c>
      <c r="K49" s="36">
        <f>IF(COUNT(C49:J49)=0,"",SUM(C49:J49))</f>
        <v/>
      </c>
      <c r="L49" s="4" t="inlineStr">
        <is>
          <t>Weight Factor</t>
        </is>
      </c>
      <c r="M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2" t="n"/>
      <c r="I50" s="32" t="n"/>
      <c r="J50" s="32" t="n"/>
      <c r="K50" s="33">
        <f>IF(COUNT(C50:J50)=0,"",SUM(C50:J50))</f>
        <v/>
      </c>
      <c r="L50" s="4" t="inlineStr">
        <is>
          <t>∑</t>
        </is>
      </c>
      <c r="M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2" t="n"/>
      <c r="I51" s="32" t="n"/>
      <c r="J51" s="32" t="n"/>
      <c r="K51" s="33">
        <f>IF(COUNT(C51:J51)=0,"",SUM(C51:J51))</f>
        <v/>
      </c>
      <c r="L51" s="4" t="inlineStr">
        <is>
          <t>∑</t>
        </is>
      </c>
      <c r="M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2" t="n"/>
      <c r="I52" s="32" t="n"/>
      <c r="J52" s="32" t="n"/>
      <c r="K52" s="33">
        <f>IF(COUNT(C52:J52)=0,"",SUM(C52:J52))</f>
        <v/>
      </c>
      <c r="L52" s="4" t="inlineStr">
        <is>
          <t>∑</t>
        </is>
      </c>
      <c r="M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2" t="n"/>
      <c r="I53" s="32" t="n"/>
      <c r="J53" s="32" t="n"/>
      <c r="K53" s="33">
        <f>IF(COUNT(C53:J53)=0,"",SUM(C53:J53))</f>
        <v/>
      </c>
      <c r="L53" s="4" t="inlineStr">
        <is>
          <t>∑</t>
        </is>
      </c>
      <c r="M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2" t="n"/>
      <c r="I54" s="32" t="n"/>
      <c r="J54" s="32" t="n"/>
      <c r="K54" s="33">
        <f>IF(COUNT(C54:J54)=0,"",SUM(C54:J54))</f>
        <v/>
      </c>
      <c r="L54" s="4" t="inlineStr">
        <is>
          <t>∑</t>
        </is>
      </c>
      <c r="M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14">
        <f>IF(COUNT(J50:J54)=0,"",SUM(J50:J54))</f>
        <v/>
      </c>
      <c r="K55" s="33">
        <f>IF(COUNT(K50:K54)=0,"",SUM(K50:K54))</f>
        <v/>
      </c>
      <c r="L55" s="4" t="inlineStr">
        <is>
          <t>ϝ</t>
        </is>
      </c>
      <c r="M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2" t="n"/>
      <c r="I56" s="32" t="n"/>
      <c r="J56" s="32" t="n"/>
      <c r="K56" s="33">
        <f>IF(COUNT(C56:J56)=0,"",SUM(C56:J56))</f>
        <v/>
      </c>
      <c r="L56" s="4" t="inlineStr">
        <is>
          <t>∑</t>
        </is>
      </c>
      <c r="M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2" t="n"/>
      <c r="I57" s="32" t="n"/>
      <c r="J57" s="32" t="n"/>
      <c r="K57" s="33">
        <f>IF(COUNT(C57:J57)=0,"",SUM(C57:J57))</f>
        <v/>
      </c>
      <c r="L57" s="4" t="inlineStr">
        <is>
          <t>∑</t>
        </is>
      </c>
      <c r="M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2" t="n"/>
      <c r="I58" s="32" t="n"/>
      <c r="J58" s="32" t="n"/>
      <c r="K58" s="33">
        <f>IF(COUNT(C58:J58)=0,"",SUM(C58:J58))</f>
        <v/>
      </c>
      <c r="L58" s="4" t="inlineStr">
        <is>
          <t>∑</t>
        </is>
      </c>
      <c r="M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2" t="n"/>
      <c r="I59" s="32" t="n"/>
      <c r="J59" s="32" t="n"/>
      <c r="K59" s="33">
        <f>IF(COUNT(C59:J59)=0,"",SUM(C59:J59))</f>
        <v/>
      </c>
      <c r="L59" s="4" t="inlineStr">
        <is>
          <t>∑</t>
        </is>
      </c>
      <c r="M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19">
        <f>IFERROR(J50/J$55,"")</f>
        <v/>
      </c>
      <c r="K60" s="36">
        <f>IFERROR(K50/K$55,"")</f>
        <v/>
      </c>
      <c r="L60" s="4" t="inlineStr">
        <is>
          <t>ϝ</t>
        </is>
      </c>
      <c r="M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19">
        <f>IFERROR(J51/J$55,"")</f>
        <v/>
      </c>
      <c r="K61" s="36">
        <f>IFERROR(K51/K$55,"")</f>
        <v/>
      </c>
      <c r="L61" s="4" t="inlineStr">
        <is>
          <t>ϝ</t>
        </is>
      </c>
      <c r="M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19">
        <f>IFERROR(J52/J$55,"")</f>
        <v/>
      </c>
      <c r="K62" s="36">
        <f>IFERROR(K52/K$55,"")</f>
        <v/>
      </c>
      <c r="L62" s="4" t="inlineStr">
        <is>
          <t>ϝ</t>
        </is>
      </c>
      <c r="M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19">
        <f>IFERROR(J53/J$55,"")</f>
        <v/>
      </c>
      <c r="K63" s="36">
        <f>IFERROR(K53/K$55,"")</f>
        <v/>
      </c>
      <c r="L63" s="4" t="inlineStr">
        <is>
          <t>ϝ</t>
        </is>
      </c>
      <c r="M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19">
        <f>IFERROR(J54/J$55,"")</f>
        <v/>
      </c>
      <c r="K64" s="36">
        <f>IFERROR(K54/K$55,"")</f>
        <v/>
      </c>
      <c r="L64" s="4" t="inlineStr">
        <is>
          <t>ϝ</t>
        </is>
      </c>
      <c r="M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19">
        <f>IFERROR(J56/J5,"")</f>
        <v/>
      </c>
      <c r="K65" s="36">
        <f>IFERROR(K56/K5,"")</f>
        <v/>
      </c>
      <c r="L65" s="4" t="inlineStr">
        <is>
          <t>ϝ</t>
        </is>
      </c>
      <c r="M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16">
        <f>IFERROR(J55/J5,"")</f>
        <v/>
      </c>
      <c r="K66" s="34">
        <f>IFERROR(K55/K5,"")</f>
        <v/>
      </c>
      <c r="L66" s="4" t="inlineStr">
        <is>
          <t>ϝ</t>
        </is>
      </c>
      <c r="M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16">
        <f>IFERROR(J55/J56,"")</f>
        <v/>
      </c>
      <c r="K67" s="34">
        <f>IFERROR(K55/K56,"")</f>
        <v/>
      </c>
      <c r="L67" s="4" t="inlineStr">
        <is>
          <t>ϝ</t>
        </is>
      </c>
      <c r="M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16">
        <f>IF(COUNT(J58:J59)=0,"",IFERROR((N(J58)+N(J59))/J5,""))</f>
        <v/>
      </c>
      <c r="K68" s="34">
        <f>IF(COUNT(K58:K59)=0,"",IFERROR((N(K58)+N(K59))/K5,""))</f>
        <v/>
      </c>
      <c r="L68" s="4" t="inlineStr">
        <is>
          <t>ϝ</t>
        </is>
      </c>
      <c r="M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16">
        <f>IF(COUNT(J58:J59)=0,"",IFERROR((N(J58)+N(J59))/J56,""))</f>
        <v/>
      </c>
      <c r="K69" s="34">
        <f>IF(COUNT(K58:K59)=0,"",IFERROR((N(K58)+N(K59))/K56,""))</f>
        <v/>
      </c>
      <c r="L69" s="4" t="inlineStr">
        <is>
          <t>ϝ</t>
        </is>
      </c>
      <c r="M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14">
        <f>COUNTBLANK(J3:J4)+COUNTBLANK(J6:J10)+COUNTBLANK(J12:J13)+COUNTBLANK(J18:J20)+COUNTBLANK(J22:J23)+COUNTBLANK(J27:J28)+COUNTBLANK(J34:J35)+COUNTBLANK(J39:J44)+COUNTBLANK(J46:J47)+COUNTBLANK(J50:J54)+COUNTBLANK(J56:J59)</f>
        <v/>
      </c>
      <c r="K70" s="33">
        <f>SUM(C70:J70)</f>
        <v/>
      </c>
      <c r="L70" s="39" t="inlineStr">
        <is>
          <t>∑</t>
        </is>
      </c>
      <c r="M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26953125" customWidth="1" min="10" max="10"/>
    <col width="15.7265625" customWidth="1" min="11" max="11"/>
    <col width="21" customWidth="1" min="12" max="12"/>
    <col width="11.81640625" customWidth="1" min="13" max="13"/>
  </cols>
  <sheetData>
    <row r="1" ht="30" customHeight="1">
      <c r="A1" s="1" t="n"/>
      <c r="B1" s="2" t="inlineStr">
        <is>
          <t>GCG CENTRAL AMERICA</t>
        </is>
      </c>
      <c r="C1" s="26" t="inlineStr">
        <is>
          <t>1171</t>
        </is>
      </c>
      <c r="D1" s="26" t="inlineStr">
        <is>
          <t>1162</t>
        </is>
      </c>
      <c r="E1" s="26" t="inlineStr">
        <is>
          <t>1076</t>
        </is>
      </c>
      <c r="F1" s="26" t="inlineStr">
        <is>
          <t>1170</t>
        </is>
      </c>
      <c r="G1" s="26" t="inlineStr">
        <is>
          <t>1078</t>
        </is>
      </c>
      <c r="H1" s="26" t="inlineStr">
        <is>
          <t>1172</t>
        </is>
      </c>
      <c r="I1" s="26" t="inlineStr">
        <is>
          <t>1074</t>
        </is>
      </c>
      <c r="J1" s="26" t="inlineStr">
        <is>
          <t>1161</t>
        </is>
      </c>
      <c r="K1" s="3" t="n"/>
      <c r="L1" s="3" t="n"/>
      <c r="M1" s="3" t="n"/>
    </row>
    <row r="2" ht="72" customHeight="1">
      <c r="A2" s="4">
        <f>VALUE(TEXT(EDATE(DATE(LEFT(OCT!A2,4),RIGHT(OCT!A2,2),1),1),"yyyymm"))</f>
        <v/>
      </c>
      <c r="B2" s="5" t="inlineStr">
        <is>
          <t>NOV</t>
        </is>
      </c>
      <c r="C2" s="27" t="inlineStr">
        <is>
          <t>GCG Culinary Costa Rica</t>
        </is>
      </c>
      <c r="D2" s="27" t="inlineStr">
        <is>
          <t>GCG Food Guatemala</t>
        </is>
      </c>
      <c r="E2" s="27" t="inlineStr">
        <is>
          <t>GCG Guatemala</t>
        </is>
      </c>
      <c r="F2" s="27" t="inlineStr">
        <is>
          <t>GCG Aviation Ground Honduras</t>
        </is>
      </c>
      <c r="G2" s="27" t="inlineStr">
        <is>
          <t>GCG Honduras</t>
        </is>
      </c>
      <c r="H2" s="27" t="inlineStr">
        <is>
          <t>GCG Concessions Panama</t>
        </is>
      </c>
      <c r="I2" s="27" t="inlineStr">
        <is>
          <t>GCG El Salvador</t>
        </is>
      </c>
      <c r="J2" s="27" t="inlineStr">
        <is>
          <t>GCG Food El Salvador</t>
        </is>
      </c>
      <c r="K2" s="28" t="inlineStr">
        <is>
          <t>TOTAL</t>
        </is>
      </c>
      <c r="L2" s="4" t="inlineStr">
        <is>
          <t>Total by Division</t>
        </is>
      </c>
      <c r="M2" s="29">
        <f>N(M11)&lt;&gt;0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0" t="n"/>
      <c r="I3" s="30" t="n"/>
      <c r="J3" s="30" t="n"/>
      <c r="K3" s="31">
        <f>IF(COUNT(C3:J3)=0,"",SUM(C3:J3))</f>
        <v/>
      </c>
      <c r="L3" s="4" t="inlineStr">
        <is>
          <t>∑</t>
        </is>
      </c>
      <c r="M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0" t="n"/>
      <c r="I4" s="30" t="n"/>
      <c r="J4" s="30" t="n"/>
      <c r="K4" s="31">
        <f>IF(COUNT(C4:J4)=0,"",SUM(C4:J4))</f>
        <v/>
      </c>
      <c r="L4" s="4" t="inlineStr">
        <is>
          <t>∑</t>
        </is>
      </c>
      <c r="M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11">
        <f>IF(COUNT(J3:J4)=0,"",SUM(J3:J4))</f>
        <v/>
      </c>
      <c r="K5" s="31">
        <f>IF(COUNT(K3:K4)=0,"",SUM(K3:K4))</f>
        <v/>
      </c>
      <c r="L5" s="4" t="inlineStr">
        <is>
          <t>ϝ</t>
        </is>
      </c>
      <c r="M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0" t="n"/>
      <c r="I6" s="30" t="n"/>
      <c r="J6" s="30" t="n"/>
      <c r="K6" s="31">
        <f>IF(COUNT(C6:J6)=0,"",SUM(C6:J6))</f>
        <v/>
      </c>
      <c r="L6" s="4" t="inlineStr">
        <is>
          <t>∑</t>
        </is>
      </c>
      <c r="M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0" t="n"/>
      <c r="I7" s="30" t="n"/>
      <c r="J7" s="30" t="n"/>
      <c r="K7" s="31">
        <f>IF(COUNT(C7:J7)=0,"",SUM(C7:J7))</f>
        <v/>
      </c>
      <c r="L7" s="4" t="inlineStr">
        <is>
          <t>∑</t>
        </is>
      </c>
      <c r="M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0" t="n"/>
      <c r="I8" s="30" t="n"/>
      <c r="J8" s="30" t="n"/>
      <c r="K8" s="31">
        <f>IF(COUNT(C8:J8)=0,"",SUM(C8:J8))</f>
        <v/>
      </c>
      <c r="L8" s="4" t="inlineStr">
        <is>
          <t>∑</t>
        </is>
      </c>
      <c r="M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0" t="n"/>
      <c r="I9" s="30" t="n"/>
      <c r="J9" s="30" t="n"/>
      <c r="K9" s="31">
        <f>IF(COUNT(C9:J9)=0,"",SUM(C9:J9))</f>
        <v/>
      </c>
      <c r="L9" s="4" t="inlineStr">
        <is>
          <t>∑</t>
        </is>
      </c>
      <c r="M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2" t="n"/>
      <c r="I10" s="32" t="n"/>
      <c r="J10" s="32" t="n"/>
      <c r="K10" s="33">
        <f>IFERROR(AVERAGE(C10:J10),"")</f>
        <v/>
      </c>
      <c r="L10" s="4" t="inlineStr">
        <is>
          <t>Avg</t>
        </is>
      </c>
      <c r="M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16">
        <f>IF(COUNT(J6:J9)=0,"",N(J6)+N(J7)*0.75+N(J8)*0.5+N(J9)*0.25)</f>
        <v/>
      </c>
      <c r="K11" s="34">
        <f>IF(COUNT(K6:K9)=0,"",N(K6)+N(K7)*0.75+N(K8)*0.5+N(K9)*0.25)</f>
        <v/>
      </c>
      <c r="L11" s="4" t="inlineStr">
        <is>
          <t>FTE</t>
        </is>
      </c>
      <c r="M11" s="35">
        <f>IF(COUNT(K5:K9)=0,"",N(K6)+N(K7)+N(K8)+N(K9)-N(K5))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0" t="n"/>
      <c r="I12" s="30" t="n"/>
      <c r="J12" s="30" t="n"/>
      <c r="K12" s="31">
        <f>IF(COUNT(C12:J12)=0,"",SUM(C12:J12))</f>
        <v/>
      </c>
      <c r="L12" s="4" t="inlineStr">
        <is>
          <t>∑</t>
        </is>
      </c>
      <c r="M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2" t="n"/>
      <c r="I13" s="32" t="n"/>
      <c r="J13" s="32" t="n"/>
      <c r="K13" s="33">
        <f>IF(COUNT(C13:J13)=0,"",SUM(C13:J13))</f>
        <v/>
      </c>
      <c r="L13" s="4" t="inlineStr">
        <is>
          <t>∑</t>
        </is>
      </c>
      <c r="M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16">
        <f>IFERROR(J13/J10,"")</f>
        <v/>
      </c>
      <c r="K14" s="34">
        <f>IF(COUNT(C14:J14)=0,"",SUM(C14:J14))</f>
        <v/>
      </c>
      <c r="L14" s="4" t="inlineStr">
        <is>
          <t>FTE</t>
        </is>
      </c>
      <c r="M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11">
        <f>IF(COUNT(J5,J12)=0,"",SUM(J5,J12))</f>
        <v/>
      </c>
      <c r="K15" s="31">
        <f>IF(COUNT(K5,K12)=0,"",SUM(K5,K12))</f>
        <v/>
      </c>
      <c r="L15" s="4" t="inlineStr">
        <is>
          <t>ϝ</t>
        </is>
      </c>
      <c r="M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16">
        <f>IF(COUNT(J11,J14)=0,"",SUM(J11,J14))</f>
        <v/>
      </c>
      <c r="K16" s="34">
        <f>IF(COUNT(K11,K14)=0,"",SUM(K11,K14))</f>
        <v/>
      </c>
      <c r="L16" s="4" t="inlineStr">
        <is>
          <t>FTE</t>
        </is>
      </c>
      <c r="M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19">
        <f>IFERROR(J12/J15,"")</f>
        <v/>
      </c>
      <c r="K17" s="36">
        <f>IFERROR(K12/K15,"")</f>
        <v/>
      </c>
      <c r="L17" s="4" t="inlineStr">
        <is>
          <t>ϝ</t>
        </is>
      </c>
      <c r="M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0" t="n"/>
      <c r="I18" s="30" t="n"/>
      <c r="J18" s="30" t="n"/>
      <c r="K18" s="31">
        <f>IF(COUNT(C18:J18)=0,"",SUM(C18:J18))</f>
        <v/>
      </c>
      <c r="L18" s="4" t="inlineStr">
        <is>
          <t>∑</t>
        </is>
      </c>
      <c r="M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0" t="n"/>
      <c r="I19" s="30" t="n"/>
      <c r="J19" s="30" t="n"/>
      <c r="K19" s="31">
        <f>IF(COUNT(C19:J19)=0,"",SUM(C19:J19))</f>
        <v/>
      </c>
      <c r="L19" s="4" t="inlineStr">
        <is>
          <t>∑</t>
        </is>
      </c>
      <c r="M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0" t="n"/>
      <c r="I20" s="30" t="n"/>
      <c r="J20" s="30" t="n"/>
      <c r="K20" s="31">
        <f>IF(COUNT(C20:J20)=0,"",SUM(C20:J20))</f>
        <v/>
      </c>
      <c r="L20" s="4" t="inlineStr">
        <is>
          <t>∑</t>
        </is>
      </c>
      <c r="M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11">
        <f>IF(COUNT(J19:J20)=0,"",SUM(J19:J20))</f>
        <v/>
      </c>
      <c r="K21" s="31">
        <f>IF(COUNT(K19:K20)=0,"",SUM(K19:K20))</f>
        <v/>
      </c>
      <c r="L21" s="4" t="inlineStr">
        <is>
          <t>ϝ</t>
        </is>
      </c>
      <c r="M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0" t="n"/>
      <c r="I22" s="30" t="n"/>
      <c r="J22" s="30" t="n"/>
      <c r="K22" s="31">
        <f>IF(COUNT(C22:J22)=0,"",SUM(C22:J22))</f>
        <v/>
      </c>
      <c r="L22" s="4" t="inlineStr">
        <is>
          <t>∑</t>
        </is>
      </c>
      <c r="M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0" t="n"/>
      <c r="I23" s="30" t="n"/>
      <c r="J23" s="30" t="n"/>
      <c r="K23" s="31">
        <f>IF(COUNT(C23:J23)=0,"",SUM(C23:J23))</f>
        <v/>
      </c>
      <c r="L23" s="4" t="inlineStr">
        <is>
          <t>∑</t>
        </is>
      </c>
      <c r="M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11">
        <f>IF(COUNT(J22:J23)=0,"",SUM(J22:J23))</f>
        <v/>
      </c>
      <c r="K24" s="31">
        <f>IF(COUNT(K22:K23)=0,"",SUM(K22:K23))</f>
        <v/>
      </c>
      <c r="L24" s="4" t="inlineStr">
        <is>
          <t>ϝ</t>
        </is>
      </c>
      <c r="M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19">
        <f>IF(COUNT(J31,J32)&lt;2,"",IF((J32+J31)=0,"",N(J22)/((J32+J31)/2)))</f>
        <v/>
      </c>
      <c r="K25" s="36">
        <f>IF(COUNT(K31,K32)&lt;2,"",IF((K32+K31)=0,"",N(K22)/((K32+K31)/2)))</f>
        <v/>
      </c>
      <c r="L25" s="4" t="inlineStr">
        <is>
          <t>ϝ</t>
        </is>
      </c>
      <c r="M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19">
        <f>IF(COUNT(J31,J32)&lt;2,"",IF((J32+J31)=0,"",N(J23)/((J32+J31)/2)))</f>
        <v/>
      </c>
      <c r="K26" s="36">
        <f>IF(COUNT(K31,K32)&lt;2,"",IF((K32+K31)=0,"",N(K23)/((K32+K31)/2)))</f>
        <v/>
      </c>
      <c r="L26" s="4" t="inlineStr">
        <is>
          <t>ϝ</t>
        </is>
      </c>
      <c r="M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0" t="n"/>
      <c r="I27" s="30" t="n"/>
      <c r="J27" s="30" t="n"/>
      <c r="K27" s="31">
        <f>IF(COUNT(C27:J27)=0,"",SUM(C27:J27))</f>
        <v/>
      </c>
      <c r="L27" s="4" t="inlineStr">
        <is>
          <t>∑</t>
        </is>
      </c>
      <c r="M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0" t="n"/>
      <c r="I28" s="30" t="n"/>
      <c r="J28" s="30" t="n"/>
      <c r="K28" s="31">
        <f>IF(COUNT(C28:J28)=0,"",SUM(C28:J28))</f>
        <v/>
      </c>
      <c r="L28" s="4" t="inlineStr">
        <is>
          <t>∑</t>
        </is>
      </c>
      <c r="M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19">
        <f>IF(COUNT(J31,J32)&lt;2,"",IF((J32+J31)=0,"",N(J27)/((J32+J31)/2)))</f>
        <v/>
      </c>
      <c r="K29" s="36">
        <f>IF(COUNT(K31,K32)&lt;2,"",IF((K32+K31)=0,"",N(K27)/((K32+K31)/2)))</f>
        <v/>
      </c>
      <c r="L29" s="4" t="inlineStr">
        <is>
          <t>ϝ</t>
        </is>
      </c>
      <c r="M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19">
        <f>IF(COUNT(J31,J32)&lt;2,"",IF((J32+J31)=0,"",N(J28)/((J32+J31)/2)))</f>
        <v/>
      </c>
      <c r="K30" s="36">
        <f>IF(COUNT(K31,K32)&lt;2,"",IF((K32+K31)=0,"",N(K28)/((K32+K31)/2)))</f>
        <v/>
      </c>
      <c r="L30" s="4" t="inlineStr">
        <is>
          <t>ϝ</t>
        </is>
      </c>
      <c r="M30" s="3" t="n"/>
    </row>
    <row r="31" ht="15.5" customHeight="1">
      <c r="A31" s="3" t="n"/>
      <c r="B31" s="10" t="inlineStr">
        <is>
          <t>Headcount last Month</t>
        </is>
      </c>
      <c r="C31" s="11">
        <f>IF(OCT!C5="","",OCT!C5)</f>
        <v/>
      </c>
      <c r="D31" s="11">
        <f>IF(OCT!D5="","",OCT!D5)</f>
        <v/>
      </c>
      <c r="E31" s="11">
        <f>IF(OCT!E5="","",OCT!E5)</f>
        <v/>
      </c>
      <c r="F31" s="11">
        <f>IF(OCT!F5="","",OCT!F5)</f>
        <v/>
      </c>
      <c r="G31" s="11">
        <f>IF(OCT!G5="","",OCT!G5)</f>
        <v/>
      </c>
      <c r="H31" s="11">
        <f>IF(OCT!H5="","",OCT!H5)</f>
        <v/>
      </c>
      <c r="I31" s="11">
        <f>IF(OCT!I5="","",OCT!I5)</f>
        <v/>
      </c>
      <c r="J31" s="11">
        <f>IF(OCT!J5="","",OCT!J5)</f>
        <v/>
      </c>
      <c r="K31" s="31">
        <f>IF(COUNT(C31:J31)=0,"",SUM(C31:J31))</f>
        <v/>
      </c>
      <c r="L31" s="4" t="inlineStr">
        <is>
          <t>∑</t>
        </is>
      </c>
      <c r="M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11">
        <f>IF(J5="","",J5)</f>
        <v/>
      </c>
      <c r="K32" s="31">
        <f>IF(COUNT(C32:J32)=0,"",SUM(C32:J32))</f>
        <v/>
      </c>
      <c r="L32" s="4" t="inlineStr">
        <is>
          <t>∑</t>
        </is>
      </c>
      <c r="M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19">
        <f>IF(COUNT(J31,J32)&lt;2,"",IF((J32+J31)=0,"",N(J24)/((J32+J31)/2)))</f>
        <v/>
      </c>
      <c r="K33" s="36">
        <f>IF(COUNT(K31,K32)&lt;2,"",IF((K32+K31)=0,"",N(K24)/((K32+K31)/2)))</f>
        <v/>
      </c>
      <c r="L33" s="4" t="inlineStr">
        <is>
          <t>ϝ</t>
        </is>
      </c>
      <c r="M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0" t="n"/>
      <c r="I34" s="30" t="n"/>
      <c r="J34" s="30" t="n"/>
      <c r="K34" s="31">
        <f>IF(COUNT(C34:J34)=0,"",SUM(C34:J34))</f>
        <v/>
      </c>
      <c r="L34" s="4" t="inlineStr">
        <is>
          <t>∑</t>
        </is>
      </c>
      <c r="M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0" t="n"/>
      <c r="I35" s="30" t="n"/>
      <c r="J35" s="30" t="n"/>
      <c r="K35" s="31">
        <f>IF(COUNT(C35:J35)=0,"",SUM(C35:J35))</f>
        <v/>
      </c>
      <c r="L35" s="4" t="inlineStr">
        <is>
          <t>∑</t>
        </is>
      </c>
      <c r="M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11">
        <f>IF(COUNT(J34:J35)=0,"",SUM(J34:J35))</f>
        <v/>
      </c>
      <c r="K36" s="31">
        <f>IF(COUNT(K34:K35)=0,"",SUM(K34:K35))</f>
        <v/>
      </c>
      <c r="L36" s="4" t="inlineStr">
        <is>
          <t>ϝ</t>
        </is>
      </c>
      <c r="M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11">
        <f>IF(COUNT(J5,J36)=0,"",N(J5)+N(J36))</f>
        <v/>
      </c>
      <c r="K37" s="31">
        <f>IF(COUNT(K5,K36)=0,"",N(K5)+N(K36))</f>
        <v/>
      </c>
      <c r="L37" s="4" t="inlineStr">
        <is>
          <t>ϝ</t>
        </is>
      </c>
      <c r="M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19">
        <f>IFERROR(J36/J37,"")</f>
        <v/>
      </c>
      <c r="K38" s="36">
        <f>IFERROR(K36/K37,"")</f>
        <v/>
      </c>
      <c r="L38" s="4" t="inlineStr">
        <is>
          <t>ϝ</t>
        </is>
      </c>
      <c r="M38" s="3" t="n"/>
    </row>
    <row r="39" ht="15.5" customHeight="1">
      <c r="A39" s="3" t="n"/>
      <c r="B39" s="10" t="inlineStr">
        <is>
          <t>Permanent TimeToHire (Days) YTD</t>
        </is>
      </c>
      <c r="C39" s="14">
        <f>IF('(Culinary_CRI)'!$AB$5="","",'(Culinary_CRI)'!$AB$5)</f>
        <v/>
      </c>
      <c r="D39" s="14">
        <f>IF('(Food_GTM)'!$AB$5="","",'(Food_GTM)'!$AB$5)</f>
        <v/>
      </c>
      <c r="E39" s="14">
        <f>IF('(GCG_GTM)'!$AB$5="","",'(GCG_GTM)'!$AB$5)</f>
        <v/>
      </c>
      <c r="F39" s="14">
        <f>IF('(Ground_HND)'!$AB$5="","",'(Ground_HND)'!$AB$5)</f>
        <v/>
      </c>
      <c r="G39" s="14">
        <f>IF('(GCG_HND)'!$AB$5="","",'(GCG_HND)'!$AB$5)</f>
        <v/>
      </c>
      <c r="H39" s="14">
        <f>IF('(Concess_PAN)'!$AB$5="","",'(Concess_PAN)'!$AB$5)</f>
        <v/>
      </c>
      <c r="I39" s="14">
        <f>IF('(GCG_SLV)'!$AB$5="","",'(GCG_SLV)'!$AB$5)</f>
        <v/>
      </c>
      <c r="J39" s="14">
        <f>IF('(Food_SLV)'!$AB$5="","",'(Food_SLV)'!$AB$5)</f>
        <v/>
      </c>
      <c r="K39" s="33">
        <f>IFERROR(AVERAGE(C39:J39),"")</f>
        <v/>
      </c>
      <c r="L39" s="4" t="inlineStr">
        <is>
          <t>Avg</t>
        </is>
      </c>
      <c r="M39" s="3" t="n"/>
    </row>
    <row r="40" ht="15.5" customHeight="1">
      <c r="A40" s="3" t="n"/>
      <c r="B40" s="10" t="inlineStr">
        <is>
          <t>Temporary TimeToHire (Days) YTD</t>
        </is>
      </c>
      <c r="C40" s="14">
        <f>IF('(Culinary_CRI)'!$AD$5="","",'(Culinary_CRI)'!$AD$5)</f>
        <v/>
      </c>
      <c r="D40" s="14">
        <f>IF('(Food_GTM)'!$AD$5="","",'(Food_GTM)'!$AD$5)</f>
        <v/>
      </c>
      <c r="E40" s="14">
        <f>IF('(GCG_GTM)'!$AD$5="","",'(GCG_GTM)'!$AD$5)</f>
        <v/>
      </c>
      <c r="F40" s="14">
        <f>IF('(Ground_HND)'!$AD$5="","",'(Ground_HND)'!$AD$5)</f>
        <v/>
      </c>
      <c r="G40" s="14">
        <f>IF('(GCG_HND)'!$AD$5="","",'(GCG_HND)'!$AD$5)</f>
        <v/>
      </c>
      <c r="H40" s="14">
        <f>IF('(Concess_PAN)'!$AD$5="","",'(Concess_PAN)'!$AD$5)</f>
        <v/>
      </c>
      <c r="I40" s="14">
        <f>IF('(GCG_SLV)'!$AD$5="","",'(GCG_SLV)'!$AD$5)</f>
        <v/>
      </c>
      <c r="J40" s="14">
        <f>IF('(Food_SLV)'!$AD$5="","",'(Food_SLV)'!$AD$5)</f>
        <v/>
      </c>
      <c r="K40" s="33">
        <f>IFERROR(AVERAGE(C40:J40),"")</f>
        <v/>
      </c>
      <c r="L40" s="4" t="inlineStr">
        <is>
          <t>Avg</t>
        </is>
      </c>
      <c r="M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7" t="n"/>
      <c r="I41" s="37" t="n"/>
      <c r="J41" s="37" t="n"/>
      <c r="K41" s="38">
        <f>IFERROR(AVERAGE(C41:J41),"")</f>
        <v/>
      </c>
      <c r="L41" s="4" t="inlineStr">
        <is>
          <t>Avg</t>
        </is>
      </c>
      <c r="M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0" t="n"/>
      <c r="I42" s="30" t="n"/>
      <c r="J42" s="30" t="n"/>
      <c r="K42" s="31">
        <f>IF(COUNT(C42:J42)=0,"",SUM(C42:J42))</f>
        <v/>
      </c>
      <c r="L42" s="4" t="inlineStr">
        <is>
          <t>∑</t>
        </is>
      </c>
      <c r="M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2" t="n"/>
      <c r="I43" s="32" t="n"/>
      <c r="J43" s="32" t="n"/>
      <c r="K43" s="33">
        <f>IF(COUNT(C43:J43)=0,"",SUM(C43:J43))</f>
        <v/>
      </c>
      <c r="L43" s="4" t="inlineStr">
        <is>
          <t>∑</t>
        </is>
      </c>
      <c r="M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2" t="n"/>
      <c r="I44" s="32" t="n"/>
      <c r="J44" s="32" t="n"/>
      <c r="K44" s="33">
        <f>IF(COUNT(C44:J44)=0,"",SUM(C44:J44))</f>
        <v/>
      </c>
      <c r="L44" s="4" t="inlineStr">
        <is>
          <t>∑</t>
        </is>
      </c>
      <c r="M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14">
        <f>IF(COUNT(J43:J44)=0,"",SUM(J43:J44))</f>
        <v/>
      </c>
      <c r="K45" s="33">
        <f>IF(COUNT(K43:K44)=0,"",SUM(K43:K44))</f>
        <v/>
      </c>
      <c r="L45" s="4" t="inlineStr">
        <is>
          <t>ϝ</t>
        </is>
      </c>
      <c r="M45" s="3" t="n"/>
    </row>
    <row r="46" ht="15.5" customHeight="1">
      <c r="A46" s="3" t="n"/>
      <c r="B46" s="13" t="inlineStr">
        <is>
          <t>Absent Rate Non-Certified (%)</t>
        </is>
      </c>
      <c r="C46" s="19">
        <f>IF('(Culinary_CRI)'!$G$5="","",'(Culinary_CRI)'!$G$5)</f>
        <v/>
      </c>
      <c r="D46" s="19">
        <f>IF('(Food_GTM)'!$G$5="","",'(Food_GTM)'!$G$5)</f>
        <v/>
      </c>
      <c r="E46" s="19">
        <f>IF('(GCG_GTM)'!$G$5="","",'(GCG_GTM)'!$G$5)</f>
        <v/>
      </c>
      <c r="F46" s="19">
        <f>IF('(Ground_HND)'!$G$5="","",'(Ground_HND)'!$G$5)</f>
        <v/>
      </c>
      <c r="G46" s="19">
        <f>IF('(GCG_HND)'!$G$5="","",'(GCG_HND)'!$G$5)</f>
        <v/>
      </c>
      <c r="H46" s="19">
        <f>IF('(Concess_PAN)'!$G$5="","",'(Concess_PAN)'!$G$5)</f>
        <v/>
      </c>
      <c r="I46" s="19">
        <f>IF('(GCG_SLV)'!$G$5="","",'(GCG_SLV)'!$G$5)</f>
        <v/>
      </c>
      <c r="J46" s="19">
        <f>IF('(Food_SLV)'!$G$5="","",'(Food_SLV)'!$G$5)</f>
        <v/>
      </c>
      <c r="K46" s="36">
        <f t="array" ref="K46">IF(COUNT(C46:J46)=0,"",IFERROR(SUMPRODUCT(IFERROR(C46:J46*((C3:J3)+(C4:J4)),0))/SUMPRODUCT(IFERROR(ISNUMBER(C46:J46)*((C3:J3)+(C4:J4)),0)),""))</f>
        <v/>
      </c>
      <c r="L46" s="4" t="inlineStr">
        <is>
          <t>Weighted</t>
        </is>
      </c>
      <c r="M46" s="3" t="n"/>
    </row>
    <row r="47" ht="15.5" customHeight="1">
      <c r="A47" s="3" t="n"/>
      <c r="B47" s="13" t="inlineStr">
        <is>
          <t>Absent Rate Certified (%)</t>
        </is>
      </c>
      <c r="C47" s="19">
        <f>IF('(Culinary_CRI)'!$O$5="","",'(Culinary_CRI)'!$O$5)</f>
        <v/>
      </c>
      <c r="D47" s="19">
        <f>IF('(Food_GTM)'!$O$5="","",'(Food_GTM)'!$O$5)</f>
        <v/>
      </c>
      <c r="E47" s="19">
        <f>IF('(GCG_GTM)'!$O$5="","",'(GCG_GTM)'!$O$5)</f>
        <v/>
      </c>
      <c r="F47" s="19">
        <f>IF('(Ground_HND)'!$O$5="","",'(Ground_HND)'!$O$5)</f>
        <v/>
      </c>
      <c r="G47" s="19">
        <f>IF('(GCG_HND)'!$O$5="","",'(GCG_HND)'!$O$5)</f>
        <v/>
      </c>
      <c r="H47" s="19">
        <f>IF('(Concess_PAN)'!$O$5="","",'(Concess_PAN)'!$O$5)</f>
        <v/>
      </c>
      <c r="I47" s="19">
        <f>IF('(GCG_SLV)'!$O$5="","",'(GCG_SLV)'!$O$5)</f>
        <v/>
      </c>
      <c r="J47" s="19">
        <f>IF('(Food_SLV)'!$O$5="","",'(Food_SLV)'!$O$5)</f>
        <v/>
      </c>
      <c r="K47" s="36">
        <f t="array" ref="K47">IF(COUNT(C47:J47)=0,"",IFERROR(SUMPRODUCT(IFERROR(C47:J47*((C3:J3)+(C4:J4)),0))/SUMPRODUCT(IFERROR(ISNUMBER(C47:J47)*((C3:J3)+(C4:J4)),0)),""))</f>
        <v/>
      </c>
      <c r="L47" s="4" t="inlineStr">
        <is>
          <t>Weighted</t>
        </is>
      </c>
      <c r="M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19">
        <f>IF(COUNT(J46:J47)=0,"",SUM(J46:J47))</f>
        <v/>
      </c>
      <c r="K48" s="36">
        <f>IF(COUNT(K46:K47)=0,"",SUM(K46:K47))</f>
        <v/>
      </c>
      <c r="L48" s="4" t="inlineStr">
        <is>
          <t>Weighted</t>
        </is>
      </c>
      <c r="M48" s="3" t="n"/>
    </row>
    <row r="49" ht="15.5" customHeight="1">
      <c r="A49" s="3" t="n"/>
      <c r="B49" s="18" t="inlineStr">
        <is>
          <t>Weight factor</t>
        </is>
      </c>
      <c r="C49" s="19">
        <f>IFERROR(C5/$K5,"")</f>
        <v/>
      </c>
      <c r="D49" s="19">
        <f>IFERROR(D5/$K5,"")</f>
        <v/>
      </c>
      <c r="E49" s="19">
        <f>IFERROR(E5/$K5,"")</f>
        <v/>
      </c>
      <c r="F49" s="19">
        <f>IFERROR(F5/$K5,"")</f>
        <v/>
      </c>
      <c r="G49" s="19">
        <f>IFERROR(G5/$K5,"")</f>
        <v/>
      </c>
      <c r="H49" s="19">
        <f>IFERROR(H5/$K5,"")</f>
        <v/>
      </c>
      <c r="I49" s="19">
        <f>IFERROR(I5/$K5,"")</f>
        <v/>
      </c>
      <c r="J49" s="19">
        <f>IFERROR(J5/$K5,"")</f>
        <v/>
      </c>
      <c r="K49" s="36">
        <f>IF(COUNT(C49:J49)=0,"",SUM(C49:J49))</f>
        <v/>
      </c>
      <c r="L49" s="4" t="inlineStr">
        <is>
          <t>Weight Factor</t>
        </is>
      </c>
      <c r="M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2" t="n"/>
      <c r="I50" s="32" t="n"/>
      <c r="J50" s="32" t="n"/>
      <c r="K50" s="33">
        <f>IF(COUNT(C50:J50)=0,"",SUM(C50:J50))</f>
        <v/>
      </c>
      <c r="L50" s="4" t="inlineStr">
        <is>
          <t>∑</t>
        </is>
      </c>
      <c r="M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2" t="n"/>
      <c r="I51" s="32" t="n"/>
      <c r="J51" s="32" t="n"/>
      <c r="K51" s="33">
        <f>IF(COUNT(C51:J51)=0,"",SUM(C51:J51))</f>
        <v/>
      </c>
      <c r="L51" s="4" t="inlineStr">
        <is>
          <t>∑</t>
        </is>
      </c>
      <c r="M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2" t="n"/>
      <c r="I52" s="32" t="n"/>
      <c r="J52" s="32" t="n"/>
      <c r="K52" s="33">
        <f>IF(COUNT(C52:J52)=0,"",SUM(C52:J52))</f>
        <v/>
      </c>
      <c r="L52" s="4" t="inlineStr">
        <is>
          <t>∑</t>
        </is>
      </c>
      <c r="M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2" t="n"/>
      <c r="I53" s="32" t="n"/>
      <c r="J53" s="32" t="n"/>
      <c r="K53" s="33">
        <f>IF(COUNT(C53:J53)=0,"",SUM(C53:J53))</f>
        <v/>
      </c>
      <c r="L53" s="4" t="inlineStr">
        <is>
          <t>∑</t>
        </is>
      </c>
      <c r="M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2" t="n"/>
      <c r="I54" s="32" t="n"/>
      <c r="J54" s="32" t="n"/>
      <c r="K54" s="33">
        <f>IF(COUNT(C54:J54)=0,"",SUM(C54:J54))</f>
        <v/>
      </c>
      <c r="L54" s="4" t="inlineStr">
        <is>
          <t>∑</t>
        </is>
      </c>
      <c r="M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14">
        <f>IF(COUNT(J50:J54)=0,"",SUM(J50:J54))</f>
        <v/>
      </c>
      <c r="K55" s="33">
        <f>IF(COUNT(K50:K54)=0,"",SUM(K50:K54))</f>
        <v/>
      </c>
      <c r="L55" s="4" t="inlineStr">
        <is>
          <t>ϝ</t>
        </is>
      </c>
      <c r="M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2" t="n"/>
      <c r="I56" s="32" t="n"/>
      <c r="J56" s="32" t="n"/>
      <c r="K56" s="33">
        <f>IF(COUNT(C56:J56)=0,"",SUM(C56:J56))</f>
        <v/>
      </c>
      <c r="L56" s="4" t="inlineStr">
        <is>
          <t>∑</t>
        </is>
      </c>
      <c r="M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2" t="n"/>
      <c r="I57" s="32" t="n"/>
      <c r="J57" s="32" t="n"/>
      <c r="K57" s="33">
        <f>IF(COUNT(C57:J57)=0,"",SUM(C57:J57))</f>
        <v/>
      </c>
      <c r="L57" s="4" t="inlineStr">
        <is>
          <t>∑</t>
        </is>
      </c>
      <c r="M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2" t="n"/>
      <c r="I58" s="32" t="n"/>
      <c r="J58" s="32" t="n"/>
      <c r="K58" s="33">
        <f>IF(COUNT(C58:J58)=0,"",SUM(C58:J58))</f>
        <v/>
      </c>
      <c r="L58" s="4" t="inlineStr">
        <is>
          <t>∑</t>
        </is>
      </c>
      <c r="M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2" t="n"/>
      <c r="I59" s="32" t="n"/>
      <c r="J59" s="32" t="n"/>
      <c r="K59" s="33">
        <f>IF(COUNT(C59:J59)=0,"",SUM(C59:J59))</f>
        <v/>
      </c>
      <c r="L59" s="4" t="inlineStr">
        <is>
          <t>∑</t>
        </is>
      </c>
      <c r="M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19">
        <f>IFERROR(J50/J$55,"")</f>
        <v/>
      </c>
      <c r="K60" s="36">
        <f>IFERROR(K50/K$55,"")</f>
        <v/>
      </c>
      <c r="L60" s="4" t="inlineStr">
        <is>
          <t>ϝ</t>
        </is>
      </c>
      <c r="M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19">
        <f>IFERROR(J51/J$55,"")</f>
        <v/>
      </c>
      <c r="K61" s="36">
        <f>IFERROR(K51/K$55,"")</f>
        <v/>
      </c>
      <c r="L61" s="4" t="inlineStr">
        <is>
          <t>ϝ</t>
        </is>
      </c>
      <c r="M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19">
        <f>IFERROR(J52/J$55,"")</f>
        <v/>
      </c>
      <c r="K62" s="36">
        <f>IFERROR(K52/K$55,"")</f>
        <v/>
      </c>
      <c r="L62" s="4" t="inlineStr">
        <is>
          <t>ϝ</t>
        </is>
      </c>
      <c r="M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19">
        <f>IFERROR(J53/J$55,"")</f>
        <v/>
      </c>
      <c r="K63" s="36">
        <f>IFERROR(K53/K$55,"")</f>
        <v/>
      </c>
      <c r="L63" s="4" t="inlineStr">
        <is>
          <t>ϝ</t>
        </is>
      </c>
      <c r="M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19">
        <f>IFERROR(J54/J$55,"")</f>
        <v/>
      </c>
      <c r="K64" s="36">
        <f>IFERROR(K54/K$55,"")</f>
        <v/>
      </c>
      <c r="L64" s="4" t="inlineStr">
        <is>
          <t>ϝ</t>
        </is>
      </c>
      <c r="M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19">
        <f>IFERROR(J56/J5,"")</f>
        <v/>
      </c>
      <c r="K65" s="36">
        <f>IFERROR(K56/K5,"")</f>
        <v/>
      </c>
      <c r="L65" s="4" t="inlineStr">
        <is>
          <t>ϝ</t>
        </is>
      </c>
      <c r="M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16">
        <f>IFERROR(J55/J5,"")</f>
        <v/>
      </c>
      <c r="K66" s="34">
        <f>IFERROR(K55/K5,"")</f>
        <v/>
      </c>
      <c r="L66" s="4" t="inlineStr">
        <is>
          <t>ϝ</t>
        </is>
      </c>
      <c r="M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16">
        <f>IFERROR(J55/J56,"")</f>
        <v/>
      </c>
      <c r="K67" s="34">
        <f>IFERROR(K55/K56,"")</f>
        <v/>
      </c>
      <c r="L67" s="4" t="inlineStr">
        <is>
          <t>ϝ</t>
        </is>
      </c>
      <c r="M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16">
        <f>IF(COUNT(J58:J59)=0,"",IFERROR((N(J58)+N(J59))/J5,""))</f>
        <v/>
      </c>
      <c r="K68" s="34">
        <f>IF(COUNT(K58:K59)=0,"",IFERROR((N(K58)+N(K59))/K5,""))</f>
        <v/>
      </c>
      <c r="L68" s="4" t="inlineStr">
        <is>
          <t>ϝ</t>
        </is>
      </c>
      <c r="M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16">
        <f>IF(COUNT(J58:J59)=0,"",IFERROR((N(J58)+N(J59))/J56,""))</f>
        <v/>
      </c>
      <c r="K69" s="34">
        <f>IF(COUNT(K58:K59)=0,"",IFERROR((N(K58)+N(K59))/K56,""))</f>
        <v/>
      </c>
      <c r="L69" s="4" t="inlineStr">
        <is>
          <t>ϝ</t>
        </is>
      </c>
      <c r="M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14">
        <f>COUNTBLANK(J3:J4)+COUNTBLANK(J6:J10)+COUNTBLANK(J12:J13)+COUNTBLANK(J18:J20)+COUNTBLANK(J22:J23)+COUNTBLANK(J27:J28)+COUNTBLANK(J34:J35)+COUNTBLANK(J39:J44)+COUNTBLANK(J46:J47)+COUNTBLANK(J50:J54)+COUNTBLANK(J56:J59)</f>
        <v/>
      </c>
      <c r="K70" s="33">
        <f>SUM(C70:J70)</f>
        <v/>
      </c>
      <c r="L70" s="39" t="inlineStr">
        <is>
          <t>∑</t>
        </is>
      </c>
      <c r="M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26953125" customWidth="1" min="10" max="10"/>
    <col width="15.7265625" customWidth="1" min="11" max="11"/>
    <col width="21" customWidth="1" min="12" max="12"/>
    <col width="11.81640625" customWidth="1" min="13" max="13"/>
  </cols>
  <sheetData>
    <row r="1" ht="30" customHeight="1">
      <c r="A1" s="1" t="n"/>
      <c r="B1" s="2" t="inlineStr">
        <is>
          <t>GCG CENTRAL AMERICA</t>
        </is>
      </c>
      <c r="C1" s="26" t="inlineStr">
        <is>
          <t>1171</t>
        </is>
      </c>
      <c r="D1" s="26" t="inlineStr">
        <is>
          <t>1162</t>
        </is>
      </c>
      <c r="E1" s="26" t="inlineStr">
        <is>
          <t>1076</t>
        </is>
      </c>
      <c r="F1" s="26" t="inlineStr">
        <is>
          <t>1170</t>
        </is>
      </c>
      <c r="G1" s="26" t="inlineStr">
        <is>
          <t>1078</t>
        </is>
      </c>
      <c r="H1" s="26" t="inlineStr">
        <is>
          <t>1172</t>
        </is>
      </c>
      <c r="I1" s="26" t="inlineStr">
        <is>
          <t>1074</t>
        </is>
      </c>
      <c r="J1" s="26" t="inlineStr">
        <is>
          <t>1161</t>
        </is>
      </c>
      <c r="K1" s="3" t="n"/>
      <c r="L1" s="3" t="n"/>
      <c r="M1" s="3" t="n"/>
    </row>
    <row r="2" ht="72" customHeight="1">
      <c r="A2" s="4">
        <f>VALUE(TEXT(EDATE(DATE(LEFT(NOV!A2,4),RIGHT(NOV!A2,2),1),1),"yyyymm"))</f>
        <v/>
      </c>
      <c r="B2" s="5" t="inlineStr">
        <is>
          <t>DEC</t>
        </is>
      </c>
      <c r="C2" s="27" t="inlineStr">
        <is>
          <t>GCG Culinary Costa Rica</t>
        </is>
      </c>
      <c r="D2" s="27" t="inlineStr">
        <is>
          <t>GCG Food Guatemala</t>
        </is>
      </c>
      <c r="E2" s="27" t="inlineStr">
        <is>
          <t>GCG Guatemala</t>
        </is>
      </c>
      <c r="F2" s="27" t="inlineStr">
        <is>
          <t>GCG Aviation Ground Honduras</t>
        </is>
      </c>
      <c r="G2" s="27" t="inlineStr">
        <is>
          <t>GCG Honduras</t>
        </is>
      </c>
      <c r="H2" s="27" t="inlineStr">
        <is>
          <t>GCG Concessions Panama</t>
        </is>
      </c>
      <c r="I2" s="27" t="inlineStr">
        <is>
          <t>GCG El Salvador</t>
        </is>
      </c>
      <c r="J2" s="27" t="inlineStr">
        <is>
          <t>GCG Food El Salvador</t>
        </is>
      </c>
      <c r="K2" s="28" t="inlineStr">
        <is>
          <t>TOTAL</t>
        </is>
      </c>
      <c r="L2" s="4" t="inlineStr">
        <is>
          <t>Total by Division</t>
        </is>
      </c>
      <c r="M2" s="29">
        <f>N(M11)&lt;&gt;0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0" t="n"/>
      <c r="I3" s="30" t="n"/>
      <c r="J3" s="30" t="n"/>
      <c r="K3" s="31">
        <f>IF(COUNT(C3:J3)=0,"",SUM(C3:J3))</f>
        <v/>
      </c>
      <c r="L3" s="4" t="inlineStr">
        <is>
          <t>∑</t>
        </is>
      </c>
      <c r="M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0" t="n"/>
      <c r="I4" s="30" t="n"/>
      <c r="J4" s="30" t="n"/>
      <c r="K4" s="31">
        <f>IF(COUNT(C4:J4)=0,"",SUM(C4:J4))</f>
        <v/>
      </c>
      <c r="L4" s="4" t="inlineStr">
        <is>
          <t>∑</t>
        </is>
      </c>
      <c r="M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11">
        <f>IF(COUNT(J3:J4)=0,"",SUM(J3:J4))</f>
        <v/>
      </c>
      <c r="K5" s="31">
        <f>IF(COUNT(K3:K4)=0,"",SUM(K3:K4))</f>
        <v/>
      </c>
      <c r="L5" s="4" t="inlineStr">
        <is>
          <t>ϝ</t>
        </is>
      </c>
      <c r="M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0" t="n"/>
      <c r="I6" s="30" t="n"/>
      <c r="J6" s="30" t="n"/>
      <c r="K6" s="31">
        <f>IF(COUNT(C6:J6)=0,"",SUM(C6:J6))</f>
        <v/>
      </c>
      <c r="L6" s="4" t="inlineStr">
        <is>
          <t>∑</t>
        </is>
      </c>
      <c r="M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0" t="n"/>
      <c r="I7" s="30" t="n"/>
      <c r="J7" s="30" t="n"/>
      <c r="K7" s="31">
        <f>IF(COUNT(C7:J7)=0,"",SUM(C7:J7))</f>
        <v/>
      </c>
      <c r="L7" s="4" t="inlineStr">
        <is>
          <t>∑</t>
        </is>
      </c>
      <c r="M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0" t="n"/>
      <c r="I8" s="30" t="n"/>
      <c r="J8" s="30" t="n"/>
      <c r="K8" s="31">
        <f>IF(COUNT(C8:J8)=0,"",SUM(C8:J8))</f>
        <v/>
      </c>
      <c r="L8" s="4" t="inlineStr">
        <is>
          <t>∑</t>
        </is>
      </c>
      <c r="M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0" t="n"/>
      <c r="I9" s="30" t="n"/>
      <c r="J9" s="30" t="n"/>
      <c r="K9" s="31">
        <f>IF(COUNT(C9:J9)=0,"",SUM(C9:J9))</f>
        <v/>
      </c>
      <c r="L9" s="4" t="inlineStr">
        <is>
          <t>∑</t>
        </is>
      </c>
      <c r="M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2" t="n"/>
      <c r="I10" s="32" t="n"/>
      <c r="J10" s="32" t="n"/>
      <c r="K10" s="33">
        <f>IFERROR(AVERAGE(C10:J10),"")</f>
        <v/>
      </c>
      <c r="L10" s="4" t="inlineStr">
        <is>
          <t>Avg</t>
        </is>
      </c>
      <c r="M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16">
        <f>IF(COUNT(J6:J9)=0,"",N(J6)+N(J7)*0.75+N(J8)*0.5+N(J9)*0.25)</f>
        <v/>
      </c>
      <c r="K11" s="34">
        <f>IF(COUNT(K6:K9)=0,"",N(K6)+N(K7)*0.75+N(K8)*0.5+N(K9)*0.25)</f>
        <v/>
      </c>
      <c r="L11" s="4" t="inlineStr">
        <is>
          <t>FTE</t>
        </is>
      </c>
      <c r="M11" s="35">
        <f>IF(COUNT(K5:K9)=0,"",N(K6)+N(K7)+N(K8)+N(K9)-N(K5))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0" t="n"/>
      <c r="I12" s="30" t="n"/>
      <c r="J12" s="30" t="n"/>
      <c r="K12" s="31">
        <f>IF(COUNT(C12:J12)=0,"",SUM(C12:J12))</f>
        <v/>
      </c>
      <c r="L12" s="4" t="inlineStr">
        <is>
          <t>∑</t>
        </is>
      </c>
      <c r="M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2" t="n"/>
      <c r="I13" s="32" t="n"/>
      <c r="J13" s="32" t="n"/>
      <c r="K13" s="33">
        <f>IF(COUNT(C13:J13)=0,"",SUM(C13:J13))</f>
        <v/>
      </c>
      <c r="L13" s="4" t="inlineStr">
        <is>
          <t>∑</t>
        </is>
      </c>
      <c r="M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16">
        <f>IFERROR(J13/J10,"")</f>
        <v/>
      </c>
      <c r="K14" s="34">
        <f>IF(COUNT(C14:J14)=0,"",SUM(C14:J14))</f>
        <v/>
      </c>
      <c r="L14" s="4" t="inlineStr">
        <is>
          <t>FTE</t>
        </is>
      </c>
      <c r="M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11">
        <f>IF(COUNT(J5,J12)=0,"",SUM(J5,J12))</f>
        <v/>
      </c>
      <c r="K15" s="31">
        <f>IF(COUNT(K5,K12)=0,"",SUM(K5,K12))</f>
        <v/>
      </c>
      <c r="L15" s="4" t="inlineStr">
        <is>
          <t>ϝ</t>
        </is>
      </c>
      <c r="M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16">
        <f>IF(COUNT(J11,J14)=0,"",SUM(J11,J14))</f>
        <v/>
      </c>
      <c r="K16" s="34">
        <f>IF(COUNT(K11,K14)=0,"",SUM(K11,K14))</f>
        <v/>
      </c>
      <c r="L16" s="4" t="inlineStr">
        <is>
          <t>FTE</t>
        </is>
      </c>
      <c r="M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19">
        <f>IFERROR(J12/J15,"")</f>
        <v/>
      </c>
      <c r="K17" s="36">
        <f>IFERROR(K12/K15,"")</f>
        <v/>
      </c>
      <c r="L17" s="4" t="inlineStr">
        <is>
          <t>ϝ</t>
        </is>
      </c>
      <c r="M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0" t="n"/>
      <c r="I18" s="30" t="n"/>
      <c r="J18" s="30" t="n"/>
      <c r="K18" s="31">
        <f>IF(COUNT(C18:J18)=0,"",SUM(C18:J18))</f>
        <v/>
      </c>
      <c r="L18" s="4" t="inlineStr">
        <is>
          <t>∑</t>
        </is>
      </c>
      <c r="M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0" t="n"/>
      <c r="I19" s="30" t="n"/>
      <c r="J19" s="30" t="n"/>
      <c r="K19" s="31">
        <f>IF(COUNT(C19:J19)=0,"",SUM(C19:J19))</f>
        <v/>
      </c>
      <c r="L19" s="4" t="inlineStr">
        <is>
          <t>∑</t>
        </is>
      </c>
      <c r="M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0" t="n"/>
      <c r="I20" s="30" t="n"/>
      <c r="J20" s="30" t="n"/>
      <c r="K20" s="31">
        <f>IF(COUNT(C20:J20)=0,"",SUM(C20:J20))</f>
        <v/>
      </c>
      <c r="L20" s="4" t="inlineStr">
        <is>
          <t>∑</t>
        </is>
      </c>
      <c r="M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11">
        <f>IF(COUNT(J19:J20)=0,"",SUM(J19:J20))</f>
        <v/>
      </c>
      <c r="K21" s="31">
        <f>IF(COUNT(K19:K20)=0,"",SUM(K19:K20))</f>
        <v/>
      </c>
      <c r="L21" s="4" t="inlineStr">
        <is>
          <t>ϝ</t>
        </is>
      </c>
      <c r="M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0" t="n"/>
      <c r="I22" s="30" t="n"/>
      <c r="J22" s="30" t="n"/>
      <c r="K22" s="31">
        <f>IF(COUNT(C22:J22)=0,"",SUM(C22:J22))</f>
        <v/>
      </c>
      <c r="L22" s="4" t="inlineStr">
        <is>
          <t>∑</t>
        </is>
      </c>
      <c r="M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0" t="n"/>
      <c r="I23" s="30" t="n"/>
      <c r="J23" s="30" t="n"/>
      <c r="K23" s="31">
        <f>IF(COUNT(C23:J23)=0,"",SUM(C23:J23))</f>
        <v/>
      </c>
      <c r="L23" s="4" t="inlineStr">
        <is>
          <t>∑</t>
        </is>
      </c>
      <c r="M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11">
        <f>IF(COUNT(J22:J23)=0,"",SUM(J22:J23))</f>
        <v/>
      </c>
      <c r="K24" s="31">
        <f>IF(COUNT(K22:K23)=0,"",SUM(K22:K23))</f>
        <v/>
      </c>
      <c r="L24" s="4" t="inlineStr">
        <is>
          <t>ϝ</t>
        </is>
      </c>
      <c r="M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19">
        <f>IF(COUNT(J31,J32)&lt;2,"",IF((J32+J31)=0,"",N(J22)/((J32+J31)/2)))</f>
        <v/>
      </c>
      <c r="K25" s="36">
        <f>IF(COUNT(K31,K32)&lt;2,"",IF((K32+K31)=0,"",N(K22)/((K32+K31)/2)))</f>
        <v/>
      </c>
      <c r="L25" s="4" t="inlineStr">
        <is>
          <t>ϝ</t>
        </is>
      </c>
      <c r="M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19">
        <f>IF(COUNT(J31,J32)&lt;2,"",IF((J32+J31)=0,"",N(J23)/((J32+J31)/2)))</f>
        <v/>
      </c>
      <c r="K26" s="36">
        <f>IF(COUNT(K31,K32)&lt;2,"",IF((K32+K31)=0,"",N(K23)/((K32+K31)/2)))</f>
        <v/>
      </c>
      <c r="L26" s="4" t="inlineStr">
        <is>
          <t>ϝ</t>
        </is>
      </c>
      <c r="M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0" t="n"/>
      <c r="I27" s="30" t="n"/>
      <c r="J27" s="30" t="n"/>
      <c r="K27" s="31">
        <f>IF(COUNT(C27:J27)=0,"",SUM(C27:J27))</f>
        <v/>
      </c>
      <c r="L27" s="4" t="inlineStr">
        <is>
          <t>∑</t>
        </is>
      </c>
      <c r="M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0" t="n"/>
      <c r="I28" s="30" t="n"/>
      <c r="J28" s="30" t="n"/>
      <c r="K28" s="31">
        <f>IF(COUNT(C28:J28)=0,"",SUM(C28:J28))</f>
        <v/>
      </c>
      <c r="L28" s="4" t="inlineStr">
        <is>
          <t>∑</t>
        </is>
      </c>
      <c r="M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19">
        <f>IF(COUNT(J31,J32)&lt;2,"",IF((J32+J31)=0,"",N(J27)/((J32+J31)/2)))</f>
        <v/>
      </c>
      <c r="K29" s="36">
        <f>IF(COUNT(K31,K32)&lt;2,"",IF((K32+K31)=0,"",N(K27)/((K32+K31)/2)))</f>
        <v/>
      </c>
      <c r="L29" s="4" t="inlineStr">
        <is>
          <t>ϝ</t>
        </is>
      </c>
      <c r="M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19">
        <f>IF(COUNT(J31,J32)&lt;2,"",IF((J32+J31)=0,"",N(J28)/((J32+J31)/2)))</f>
        <v/>
      </c>
      <c r="K30" s="36">
        <f>IF(COUNT(K31,K32)&lt;2,"",IF((K32+K31)=0,"",N(K28)/((K32+K31)/2)))</f>
        <v/>
      </c>
      <c r="L30" s="4" t="inlineStr">
        <is>
          <t>ϝ</t>
        </is>
      </c>
      <c r="M30" s="3" t="n"/>
    </row>
    <row r="31" ht="15.5" customHeight="1">
      <c r="A31" s="3" t="n"/>
      <c r="B31" s="10" t="inlineStr">
        <is>
          <t>Headcount last Month</t>
        </is>
      </c>
      <c r="C31" s="11">
        <f>IF(NOV!C5="","",NOV!C5)</f>
        <v/>
      </c>
      <c r="D31" s="11">
        <f>IF(NOV!D5="","",NOV!D5)</f>
        <v/>
      </c>
      <c r="E31" s="11">
        <f>IF(NOV!E5="","",NOV!E5)</f>
        <v/>
      </c>
      <c r="F31" s="11">
        <f>IF(NOV!F5="","",NOV!F5)</f>
        <v/>
      </c>
      <c r="G31" s="11">
        <f>IF(NOV!G5="","",NOV!G5)</f>
        <v/>
      </c>
      <c r="H31" s="11">
        <f>IF(NOV!H5="","",NOV!H5)</f>
        <v/>
      </c>
      <c r="I31" s="11">
        <f>IF(NOV!I5="","",NOV!I5)</f>
        <v/>
      </c>
      <c r="J31" s="11">
        <f>IF(NOV!J5="","",NOV!J5)</f>
        <v/>
      </c>
      <c r="K31" s="31">
        <f>IF(COUNT(C31:J31)=0,"",SUM(C31:J31))</f>
        <v/>
      </c>
      <c r="L31" s="4" t="inlineStr">
        <is>
          <t>∑</t>
        </is>
      </c>
      <c r="M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11">
        <f>IF(J5="","",J5)</f>
        <v/>
      </c>
      <c r="K32" s="31">
        <f>IF(COUNT(C32:J32)=0,"",SUM(C32:J32))</f>
        <v/>
      </c>
      <c r="L32" s="4" t="inlineStr">
        <is>
          <t>∑</t>
        </is>
      </c>
      <c r="M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19">
        <f>IF(COUNT(J31,J32)&lt;2,"",IF((J32+J31)=0,"",N(J24)/((J32+J31)/2)))</f>
        <v/>
      </c>
      <c r="K33" s="36">
        <f>IF(COUNT(K31,K32)&lt;2,"",IF((K32+K31)=0,"",N(K24)/((K32+K31)/2)))</f>
        <v/>
      </c>
      <c r="L33" s="4" t="inlineStr">
        <is>
          <t>ϝ</t>
        </is>
      </c>
      <c r="M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0" t="n"/>
      <c r="I34" s="30" t="n"/>
      <c r="J34" s="30" t="n"/>
      <c r="K34" s="31">
        <f>IF(COUNT(C34:J34)=0,"",SUM(C34:J34))</f>
        <v/>
      </c>
      <c r="L34" s="4" t="inlineStr">
        <is>
          <t>∑</t>
        </is>
      </c>
      <c r="M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0" t="n"/>
      <c r="I35" s="30" t="n"/>
      <c r="J35" s="30" t="n"/>
      <c r="K35" s="31">
        <f>IF(COUNT(C35:J35)=0,"",SUM(C35:J35))</f>
        <v/>
      </c>
      <c r="L35" s="4" t="inlineStr">
        <is>
          <t>∑</t>
        </is>
      </c>
      <c r="M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11">
        <f>IF(COUNT(J34:J35)=0,"",SUM(J34:J35))</f>
        <v/>
      </c>
      <c r="K36" s="31">
        <f>IF(COUNT(K34:K35)=0,"",SUM(K34:K35))</f>
        <v/>
      </c>
      <c r="L36" s="4" t="inlineStr">
        <is>
          <t>ϝ</t>
        </is>
      </c>
      <c r="M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11">
        <f>IF(COUNT(J5,J36)=0,"",N(J5)+N(J36))</f>
        <v/>
      </c>
      <c r="K37" s="31">
        <f>IF(COUNT(K5,K36)=0,"",N(K5)+N(K36))</f>
        <v/>
      </c>
      <c r="L37" s="4" t="inlineStr">
        <is>
          <t>ϝ</t>
        </is>
      </c>
      <c r="M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19">
        <f>IFERROR(J36/J37,"")</f>
        <v/>
      </c>
      <c r="K38" s="36">
        <f>IFERROR(K36/K37,"")</f>
        <v/>
      </c>
      <c r="L38" s="4" t="inlineStr">
        <is>
          <t>ϝ</t>
        </is>
      </c>
      <c r="M38" s="3" t="n"/>
    </row>
    <row r="39" ht="15.5" customHeight="1">
      <c r="A39" s="3" t="n"/>
      <c r="B39" s="10" t="inlineStr">
        <is>
          <t>Permanent TimeToHire (Days) YTD</t>
        </is>
      </c>
      <c r="C39" s="14">
        <f>IF('(Culinary_CRI)'!$AB$6="","",'(Culinary_CRI)'!$AB$6)</f>
        <v/>
      </c>
      <c r="D39" s="14">
        <f>IF('(Food_GTM)'!$AB$6="","",'(Food_GTM)'!$AB$6)</f>
        <v/>
      </c>
      <c r="E39" s="14">
        <f>IF('(GCG_GTM)'!$AB$6="","",'(GCG_GTM)'!$AB$6)</f>
        <v/>
      </c>
      <c r="F39" s="14">
        <f>IF('(Ground_HND)'!$AB$6="","",'(Ground_HND)'!$AB$6)</f>
        <v/>
      </c>
      <c r="G39" s="14">
        <f>IF('(GCG_HND)'!$AB$6="","",'(GCG_HND)'!$AB$6)</f>
        <v/>
      </c>
      <c r="H39" s="14">
        <f>IF('(Concess_PAN)'!$AB$6="","",'(Concess_PAN)'!$AB$6)</f>
        <v/>
      </c>
      <c r="I39" s="14">
        <f>IF('(GCG_SLV)'!$AB$6="","",'(GCG_SLV)'!$AB$6)</f>
        <v/>
      </c>
      <c r="J39" s="14">
        <f>IF('(Food_SLV)'!$AB$6="","",'(Food_SLV)'!$AB$6)</f>
        <v/>
      </c>
      <c r="K39" s="33">
        <f>IFERROR(AVERAGE(C39:J39),"")</f>
        <v/>
      </c>
      <c r="L39" s="4" t="inlineStr">
        <is>
          <t>Avg</t>
        </is>
      </c>
      <c r="M39" s="3" t="n"/>
    </row>
    <row r="40" ht="15.5" customHeight="1">
      <c r="A40" s="3" t="n"/>
      <c r="B40" s="10" t="inlineStr">
        <is>
          <t>Temporary TimeToHire (Days) YTD</t>
        </is>
      </c>
      <c r="C40" s="14">
        <f>IF('(Culinary_CRI)'!$AD$6="","",'(Culinary_CRI)'!$AD$6)</f>
        <v/>
      </c>
      <c r="D40" s="14">
        <f>IF('(Food_GTM)'!$AD$6="","",'(Food_GTM)'!$AD$6)</f>
        <v/>
      </c>
      <c r="E40" s="14">
        <f>IF('(GCG_GTM)'!$AD$6="","",'(GCG_GTM)'!$AD$6)</f>
        <v/>
      </c>
      <c r="F40" s="14">
        <f>IF('(Ground_HND)'!$AD$6="","",'(Ground_HND)'!$AD$6)</f>
        <v/>
      </c>
      <c r="G40" s="14">
        <f>IF('(GCG_HND)'!$AD$6="","",'(GCG_HND)'!$AD$6)</f>
        <v/>
      </c>
      <c r="H40" s="14">
        <f>IF('(Concess_PAN)'!$AD$6="","",'(Concess_PAN)'!$AD$6)</f>
        <v/>
      </c>
      <c r="I40" s="14">
        <f>IF('(GCG_SLV)'!$AD$6="","",'(GCG_SLV)'!$AD$6)</f>
        <v/>
      </c>
      <c r="J40" s="14">
        <f>IF('(Food_SLV)'!$AD$6="","",'(Food_SLV)'!$AD$6)</f>
        <v/>
      </c>
      <c r="K40" s="33">
        <f>IFERROR(AVERAGE(C40:J40),"")</f>
        <v/>
      </c>
      <c r="L40" s="4" t="inlineStr">
        <is>
          <t>Avg</t>
        </is>
      </c>
      <c r="M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7" t="n"/>
      <c r="I41" s="37" t="n"/>
      <c r="J41" s="37" t="n"/>
      <c r="K41" s="38">
        <f>IFERROR(AVERAGE(C41:J41),"")</f>
        <v/>
      </c>
      <c r="L41" s="4" t="inlineStr">
        <is>
          <t>Avg</t>
        </is>
      </c>
      <c r="M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0" t="n"/>
      <c r="I42" s="30" t="n"/>
      <c r="J42" s="30" t="n"/>
      <c r="K42" s="31">
        <f>IF(COUNT(C42:J42)=0,"",SUM(C42:J42))</f>
        <v/>
      </c>
      <c r="L42" s="4" t="inlineStr">
        <is>
          <t>∑</t>
        </is>
      </c>
      <c r="M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2" t="n"/>
      <c r="I43" s="32" t="n"/>
      <c r="J43" s="32" t="n"/>
      <c r="K43" s="33">
        <f>IF(COUNT(C43:J43)=0,"",SUM(C43:J43))</f>
        <v/>
      </c>
      <c r="L43" s="4" t="inlineStr">
        <is>
          <t>∑</t>
        </is>
      </c>
      <c r="M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2" t="n"/>
      <c r="I44" s="32" t="n"/>
      <c r="J44" s="32" t="n"/>
      <c r="K44" s="33">
        <f>IF(COUNT(C44:J44)=0,"",SUM(C44:J44))</f>
        <v/>
      </c>
      <c r="L44" s="4" t="inlineStr">
        <is>
          <t>∑</t>
        </is>
      </c>
      <c r="M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14">
        <f>IF(COUNT(J43:J44)=0,"",SUM(J43:J44))</f>
        <v/>
      </c>
      <c r="K45" s="33">
        <f>IF(COUNT(K43:K44)=0,"",SUM(K43:K44))</f>
        <v/>
      </c>
      <c r="L45" s="4" t="inlineStr">
        <is>
          <t>ϝ</t>
        </is>
      </c>
      <c r="M45" s="3" t="n"/>
    </row>
    <row r="46" ht="15.5" customHeight="1">
      <c r="A46" s="3" t="n"/>
      <c r="B46" s="13" t="inlineStr">
        <is>
          <t>Absent Rate Non-Certified (%)</t>
        </is>
      </c>
      <c r="C46" s="19">
        <f>IF('(Culinary_CRI)'!$G$6="","",'(Culinary_CRI)'!$G$6)</f>
        <v/>
      </c>
      <c r="D46" s="19">
        <f>IF('(Food_GTM)'!$G$6="","",'(Food_GTM)'!$G$6)</f>
        <v/>
      </c>
      <c r="E46" s="19">
        <f>IF('(GCG_GTM)'!$G$6="","",'(GCG_GTM)'!$G$6)</f>
        <v/>
      </c>
      <c r="F46" s="19">
        <f>IF('(Ground_HND)'!$G$6="","",'(Ground_HND)'!$G$6)</f>
        <v/>
      </c>
      <c r="G46" s="19">
        <f>IF('(GCG_HND)'!$G$6="","",'(GCG_HND)'!$G$6)</f>
        <v/>
      </c>
      <c r="H46" s="19">
        <f>IF('(Concess_PAN)'!$G$6="","",'(Concess_PAN)'!$G$6)</f>
        <v/>
      </c>
      <c r="I46" s="19">
        <f>IF('(GCG_SLV)'!$G$6="","",'(GCG_SLV)'!$G$6)</f>
        <v/>
      </c>
      <c r="J46" s="19">
        <f>IF('(Food_SLV)'!$G$6="","",'(Food_SLV)'!$G$6)</f>
        <v/>
      </c>
      <c r="K46" s="36">
        <f t="array" ref="K46">IF(COUNT(C46:J46)=0,"",IFERROR(SUMPRODUCT(IFERROR(C46:J46*((C3:J3)+(C4:J4)),0))/SUMPRODUCT(IFERROR(ISNUMBER(C46:J46)*((C3:J3)+(C4:J4)),0)),""))</f>
        <v/>
      </c>
      <c r="L46" s="4" t="inlineStr">
        <is>
          <t>Weighted</t>
        </is>
      </c>
      <c r="M46" s="3" t="n"/>
    </row>
    <row r="47" ht="15.5" customHeight="1">
      <c r="A47" s="3" t="n"/>
      <c r="B47" s="13" t="inlineStr">
        <is>
          <t>Absent Rate Certified (%)</t>
        </is>
      </c>
      <c r="C47" s="19">
        <f>IF('(Culinary_CRI)'!$O$6="","",'(Culinary_CRI)'!$O$6)</f>
        <v/>
      </c>
      <c r="D47" s="19">
        <f>IF('(Food_GTM)'!$O$6="","",'(Food_GTM)'!$O$6)</f>
        <v/>
      </c>
      <c r="E47" s="19">
        <f>IF('(GCG_GTM)'!$O$6="","",'(GCG_GTM)'!$O$6)</f>
        <v/>
      </c>
      <c r="F47" s="19">
        <f>IF('(Ground_HND)'!$O$6="","",'(Ground_HND)'!$O$6)</f>
        <v/>
      </c>
      <c r="G47" s="19">
        <f>IF('(GCG_HND)'!$O$6="","",'(GCG_HND)'!$O$6)</f>
        <v/>
      </c>
      <c r="H47" s="19">
        <f>IF('(Concess_PAN)'!$O$6="","",'(Concess_PAN)'!$O$6)</f>
        <v/>
      </c>
      <c r="I47" s="19">
        <f>IF('(GCG_SLV)'!$O$6="","",'(GCG_SLV)'!$O$6)</f>
        <v/>
      </c>
      <c r="J47" s="19">
        <f>IF('(Food_SLV)'!$O$6="","",'(Food_SLV)'!$O$6)</f>
        <v/>
      </c>
      <c r="K47" s="36">
        <f t="array" ref="K47">IF(COUNT(C47:J47)=0,"",IFERROR(SUMPRODUCT(IFERROR(C47:J47*((C3:J3)+(C4:J4)),0))/SUMPRODUCT(IFERROR(ISNUMBER(C47:J47)*((C3:J3)+(C4:J4)),0)),""))</f>
        <v/>
      </c>
      <c r="L47" s="4" t="inlineStr">
        <is>
          <t>Weighted</t>
        </is>
      </c>
      <c r="M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19">
        <f>IF(COUNT(J46:J47)=0,"",SUM(J46:J47))</f>
        <v/>
      </c>
      <c r="K48" s="36">
        <f>IF(COUNT(K46:K47)=0,"",SUM(K46:K47))</f>
        <v/>
      </c>
      <c r="L48" s="4" t="inlineStr">
        <is>
          <t>Weighted</t>
        </is>
      </c>
      <c r="M48" s="3" t="n"/>
    </row>
    <row r="49" ht="15.5" customHeight="1">
      <c r="A49" s="3" t="n"/>
      <c r="B49" s="18" t="inlineStr">
        <is>
          <t>Weight factor</t>
        </is>
      </c>
      <c r="C49" s="19">
        <f>IFERROR(C5/$K5,"")</f>
        <v/>
      </c>
      <c r="D49" s="19">
        <f>IFERROR(D5/$K5,"")</f>
        <v/>
      </c>
      <c r="E49" s="19">
        <f>IFERROR(E5/$K5,"")</f>
        <v/>
      </c>
      <c r="F49" s="19">
        <f>IFERROR(F5/$K5,"")</f>
        <v/>
      </c>
      <c r="G49" s="19">
        <f>IFERROR(G5/$K5,"")</f>
        <v/>
      </c>
      <c r="H49" s="19">
        <f>IFERROR(H5/$K5,"")</f>
        <v/>
      </c>
      <c r="I49" s="19">
        <f>IFERROR(I5/$K5,"")</f>
        <v/>
      </c>
      <c r="J49" s="19">
        <f>IFERROR(J5/$K5,"")</f>
        <v/>
      </c>
      <c r="K49" s="36">
        <f>IF(COUNT(C49:J49)=0,"",SUM(C49:J49))</f>
        <v/>
      </c>
      <c r="L49" s="4" t="inlineStr">
        <is>
          <t>Weight Factor</t>
        </is>
      </c>
      <c r="M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2" t="n"/>
      <c r="I50" s="32" t="n"/>
      <c r="J50" s="32" t="n"/>
      <c r="K50" s="33">
        <f>IF(COUNT(C50:J50)=0,"",SUM(C50:J50))</f>
        <v/>
      </c>
      <c r="L50" s="4" t="inlineStr">
        <is>
          <t>∑</t>
        </is>
      </c>
      <c r="M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2" t="n"/>
      <c r="I51" s="32" t="n"/>
      <c r="J51" s="32" t="n"/>
      <c r="K51" s="33">
        <f>IF(COUNT(C51:J51)=0,"",SUM(C51:J51))</f>
        <v/>
      </c>
      <c r="L51" s="4" t="inlineStr">
        <is>
          <t>∑</t>
        </is>
      </c>
      <c r="M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2" t="n"/>
      <c r="I52" s="32" t="n"/>
      <c r="J52" s="32" t="n"/>
      <c r="K52" s="33">
        <f>IF(COUNT(C52:J52)=0,"",SUM(C52:J52))</f>
        <v/>
      </c>
      <c r="L52" s="4" t="inlineStr">
        <is>
          <t>∑</t>
        </is>
      </c>
      <c r="M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2" t="n"/>
      <c r="I53" s="32" t="n"/>
      <c r="J53" s="32" t="n"/>
      <c r="K53" s="33">
        <f>IF(COUNT(C53:J53)=0,"",SUM(C53:J53))</f>
        <v/>
      </c>
      <c r="L53" s="4" t="inlineStr">
        <is>
          <t>∑</t>
        </is>
      </c>
      <c r="M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2" t="n"/>
      <c r="I54" s="32" t="n"/>
      <c r="J54" s="32" t="n"/>
      <c r="K54" s="33">
        <f>IF(COUNT(C54:J54)=0,"",SUM(C54:J54))</f>
        <v/>
      </c>
      <c r="L54" s="4" t="inlineStr">
        <is>
          <t>∑</t>
        </is>
      </c>
      <c r="M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14">
        <f>IF(COUNT(J50:J54)=0,"",SUM(J50:J54))</f>
        <v/>
      </c>
      <c r="K55" s="33">
        <f>IF(COUNT(K50:K54)=0,"",SUM(K50:K54))</f>
        <v/>
      </c>
      <c r="L55" s="4" t="inlineStr">
        <is>
          <t>ϝ</t>
        </is>
      </c>
      <c r="M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2" t="n"/>
      <c r="I56" s="32" t="n"/>
      <c r="J56" s="32" t="n"/>
      <c r="K56" s="33">
        <f>IF(COUNT(C56:J56)=0,"",SUM(C56:J56))</f>
        <v/>
      </c>
      <c r="L56" s="4" t="inlineStr">
        <is>
          <t>∑</t>
        </is>
      </c>
      <c r="M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2" t="n"/>
      <c r="I57" s="32" t="n"/>
      <c r="J57" s="32" t="n"/>
      <c r="K57" s="33">
        <f>IF(COUNT(C57:J57)=0,"",SUM(C57:J57))</f>
        <v/>
      </c>
      <c r="L57" s="4" t="inlineStr">
        <is>
          <t>∑</t>
        </is>
      </c>
      <c r="M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2" t="n"/>
      <c r="I58" s="32" t="n"/>
      <c r="J58" s="32" t="n"/>
      <c r="K58" s="33">
        <f>IF(COUNT(C58:J58)=0,"",SUM(C58:J58))</f>
        <v/>
      </c>
      <c r="L58" s="4" t="inlineStr">
        <is>
          <t>∑</t>
        </is>
      </c>
      <c r="M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2" t="n"/>
      <c r="I59" s="32" t="n"/>
      <c r="J59" s="32" t="n"/>
      <c r="K59" s="33">
        <f>IF(COUNT(C59:J59)=0,"",SUM(C59:J59))</f>
        <v/>
      </c>
      <c r="L59" s="4" t="inlineStr">
        <is>
          <t>∑</t>
        </is>
      </c>
      <c r="M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19">
        <f>IFERROR(J50/J$55,"")</f>
        <v/>
      </c>
      <c r="K60" s="36">
        <f>IFERROR(K50/K$55,"")</f>
        <v/>
      </c>
      <c r="L60" s="4" t="inlineStr">
        <is>
          <t>ϝ</t>
        </is>
      </c>
      <c r="M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19">
        <f>IFERROR(J51/J$55,"")</f>
        <v/>
      </c>
      <c r="K61" s="36">
        <f>IFERROR(K51/K$55,"")</f>
        <v/>
      </c>
      <c r="L61" s="4" t="inlineStr">
        <is>
          <t>ϝ</t>
        </is>
      </c>
      <c r="M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19">
        <f>IFERROR(J52/J$55,"")</f>
        <v/>
      </c>
      <c r="K62" s="36">
        <f>IFERROR(K52/K$55,"")</f>
        <v/>
      </c>
      <c r="L62" s="4" t="inlineStr">
        <is>
          <t>ϝ</t>
        </is>
      </c>
      <c r="M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19">
        <f>IFERROR(J53/J$55,"")</f>
        <v/>
      </c>
      <c r="K63" s="36">
        <f>IFERROR(K53/K$55,"")</f>
        <v/>
      </c>
      <c r="L63" s="4" t="inlineStr">
        <is>
          <t>ϝ</t>
        </is>
      </c>
      <c r="M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19">
        <f>IFERROR(J54/J$55,"")</f>
        <v/>
      </c>
      <c r="K64" s="36">
        <f>IFERROR(K54/K$55,"")</f>
        <v/>
      </c>
      <c r="L64" s="4" t="inlineStr">
        <is>
          <t>ϝ</t>
        </is>
      </c>
      <c r="M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19">
        <f>IFERROR(J56/J5,"")</f>
        <v/>
      </c>
      <c r="K65" s="36">
        <f>IFERROR(K56/K5,"")</f>
        <v/>
      </c>
      <c r="L65" s="4" t="inlineStr">
        <is>
          <t>ϝ</t>
        </is>
      </c>
      <c r="M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16">
        <f>IFERROR(J55/J5,"")</f>
        <v/>
      </c>
      <c r="K66" s="34">
        <f>IFERROR(K55/K5,"")</f>
        <v/>
      </c>
      <c r="L66" s="4" t="inlineStr">
        <is>
          <t>ϝ</t>
        </is>
      </c>
      <c r="M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16">
        <f>IFERROR(J55/J56,"")</f>
        <v/>
      </c>
      <c r="K67" s="34">
        <f>IFERROR(K55/K56,"")</f>
        <v/>
      </c>
      <c r="L67" s="4" t="inlineStr">
        <is>
          <t>ϝ</t>
        </is>
      </c>
      <c r="M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16">
        <f>IF(COUNT(J58:J59)=0,"",IFERROR((N(J58)+N(J59))/J5,""))</f>
        <v/>
      </c>
      <c r="K68" s="34">
        <f>IF(COUNT(K58:K59)=0,"",IFERROR((N(K58)+N(K59))/K5,""))</f>
        <v/>
      </c>
      <c r="L68" s="4" t="inlineStr">
        <is>
          <t>ϝ</t>
        </is>
      </c>
      <c r="M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16">
        <f>IF(COUNT(J58:J59)=0,"",IFERROR((N(J58)+N(J59))/J56,""))</f>
        <v/>
      </c>
      <c r="K69" s="34">
        <f>IF(COUNT(K58:K59)=0,"",IFERROR((N(K58)+N(K59))/K56,""))</f>
        <v/>
      </c>
      <c r="L69" s="4" t="inlineStr">
        <is>
          <t>ϝ</t>
        </is>
      </c>
      <c r="M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14">
        <f>COUNTBLANK(J3:J4)+COUNTBLANK(J6:J10)+COUNTBLANK(J12:J13)+COUNTBLANK(J18:J20)+COUNTBLANK(J22:J23)+COUNTBLANK(J27:J28)+COUNTBLANK(J34:J35)+COUNTBLANK(J39:J44)+COUNTBLANK(J46:J47)+COUNTBLANK(J50:J54)+COUNTBLANK(J56:J59)</f>
        <v/>
      </c>
      <c r="K70" s="33">
        <f>SUM(C70:J70)</f>
        <v/>
      </c>
      <c r="L70" s="39" t="inlineStr">
        <is>
          <t>∑</t>
        </is>
      </c>
      <c r="M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26953125" customWidth="1" min="10" max="10"/>
    <col width="15.7265625" customWidth="1" min="11" max="11"/>
    <col width="21" customWidth="1" min="12" max="12"/>
    <col width="11.81640625" customWidth="1" min="13" max="13"/>
  </cols>
  <sheetData>
    <row r="1" ht="30" customHeight="1">
      <c r="A1" s="1" t="n"/>
      <c r="B1" s="2" t="inlineStr">
        <is>
          <t>GCG CENTRAL AMERICA</t>
        </is>
      </c>
      <c r="C1" s="26" t="inlineStr">
        <is>
          <t>1171</t>
        </is>
      </c>
      <c r="D1" s="26" t="inlineStr">
        <is>
          <t>1162</t>
        </is>
      </c>
      <c r="E1" s="26" t="inlineStr">
        <is>
          <t>1076</t>
        </is>
      </c>
      <c r="F1" s="26" t="inlineStr">
        <is>
          <t>1170</t>
        </is>
      </c>
      <c r="G1" s="26" t="inlineStr">
        <is>
          <t>1078</t>
        </is>
      </c>
      <c r="H1" s="26" t="inlineStr">
        <is>
          <t>1172</t>
        </is>
      </c>
      <c r="I1" s="26" t="inlineStr">
        <is>
          <t>1074</t>
        </is>
      </c>
      <c r="J1" s="26" t="inlineStr">
        <is>
          <t>1161</t>
        </is>
      </c>
      <c r="K1" s="3" t="n"/>
      <c r="L1" s="3" t="n"/>
      <c r="M1" s="3" t="n"/>
    </row>
    <row r="2" ht="72" customHeight="1">
      <c r="A2" s="4">
        <f>VALUE(TEXT(EDATE(DATE(LEFT(DEC!A2,4),RIGHT(DEC!A2,2),1),1),"yyyymm"))</f>
        <v/>
      </c>
      <c r="B2" s="5" t="inlineStr">
        <is>
          <t>JAN</t>
        </is>
      </c>
      <c r="C2" s="27" t="inlineStr">
        <is>
          <t>GCG Culinary Costa Rica</t>
        </is>
      </c>
      <c r="D2" s="27" t="inlineStr">
        <is>
          <t>GCG Food Guatemala</t>
        </is>
      </c>
      <c r="E2" s="27" t="inlineStr">
        <is>
          <t>GCG Guatemala</t>
        </is>
      </c>
      <c r="F2" s="27" t="inlineStr">
        <is>
          <t>GCG Aviation Ground Honduras</t>
        </is>
      </c>
      <c r="G2" s="27" t="inlineStr">
        <is>
          <t>GCG Honduras</t>
        </is>
      </c>
      <c r="H2" s="27" t="inlineStr">
        <is>
          <t>GCG Concessions Panama</t>
        </is>
      </c>
      <c r="I2" s="27" t="inlineStr">
        <is>
          <t>GCG El Salvador</t>
        </is>
      </c>
      <c r="J2" s="27" t="inlineStr">
        <is>
          <t>GCG Food El Salvador</t>
        </is>
      </c>
      <c r="K2" s="28" t="inlineStr">
        <is>
          <t>TOTAL</t>
        </is>
      </c>
      <c r="L2" s="4" t="inlineStr">
        <is>
          <t>Total by Division</t>
        </is>
      </c>
      <c r="M2" s="29">
        <f>N(M11)&lt;&gt;0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0" t="n"/>
      <c r="I3" s="30" t="n"/>
      <c r="J3" s="30" t="n"/>
      <c r="K3" s="31">
        <f>IF(COUNT(C3:J3)=0,"",SUM(C3:J3))</f>
        <v/>
      </c>
      <c r="L3" s="4" t="inlineStr">
        <is>
          <t>∑</t>
        </is>
      </c>
      <c r="M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0" t="n"/>
      <c r="I4" s="30" t="n"/>
      <c r="J4" s="30" t="n"/>
      <c r="K4" s="31">
        <f>IF(COUNT(C4:J4)=0,"",SUM(C4:J4))</f>
        <v/>
      </c>
      <c r="L4" s="4" t="inlineStr">
        <is>
          <t>∑</t>
        </is>
      </c>
      <c r="M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11">
        <f>IF(COUNT(J3:J4)=0,"",SUM(J3:J4))</f>
        <v/>
      </c>
      <c r="K5" s="31">
        <f>IF(COUNT(K3:K4)=0,"",SUM(K3:K4))</f>
        <v/>
      </c>
      <c r="L5" s="4" t="inlineStr">
        <is>
          <t>ϝ</t>
        </is>
      </c>
      <c r="M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0" t="n"/>
      <c r="I6" s="30" t="n"/>
      <c r="J6" s="30" t="n"/>
      <c r="K6" s="31">
        <f>IF(COUNT(C6:J6)=0,"",SUM(C6:J6))</f>
        <v/>
      </c>
      <c r="L6" s="4" t="inlineStr">
        <is>
          <t>∑</t>
        </is>
      </c>
      <c r="M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0" t="n"/>
      <c r="I7" s="30" t="n"/>
      <c r="J7" s="30" t="n"/>
      <c r="K7" s="31">
        <f>IF(COUNT(C7:J7)=0,"",SUM(C7:J7))</f>
        <v/>
      </c>
      <c r="L7" s="4" t="inlineStr">
        <is>
          <t>∑</t>
        </is>
      </c>
      <c r="M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0" t="n"/>
      <c r="I8" s="30" t="n"/>
      <c r="J8" s="30" t="n"/>
      <c r="K8" s="31">
        <f>IF(COUNT(C8:J8)=0,"",SUM(C8:J8))</f>
        <v/>
      </c>
      <c r="L8" s="4" t="inlineStr">
        <is>
          <t>∑</t>
        </is>
      </c>
      <c r="M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0" t="n"/>
      <c r="I9" s="30" t="n"/>
      <c r="J9" s="30" t="n"/>
      <c r="K9" s="31">
        <f>IF(COUNT(C9:J9)=0,"",SUM(C9:J9))</f>
        <v/>
      </c>
      <c r="L9" s="4" t="inlineStr">
        <is>
          <t>∑</t>
        </is>
      </c>
      <c r="M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2" t="n"/>
      <c r="I10" s="32" t="n"/>
      <c r="J10" s="32" t="n"/>
      <c r="K10" s="33">
        <f>IFERROR(AVERAGE(C10:J10),"")</f>
        <v/>
      </c>
      <c r="L10" s="4" t="inlineStr">
        <is>
          <t>Avg</t>
        </is>
      </c>
      <c r="M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16">
        <f>IF(COUNT(J6:J9)=0,"",N(J6)+N(J7)*0.75+N(J8)*0.5+N(J9)*0.25)</f>
        <v/>
      </c>
      <c r="K11" s="34">
        <f>IF(COUNT(K6:K9)=0,"",N(K6)+N(K7)*0.75+N(K8)*0.5+N(K9)*0.25)</f>
        <v/>
      </c>
      <c r="L11" s="4" t="inlineStr">
        <is>
          <t>FTE</t>
        </is>
      </c>
      <c r="M11" s="35">
        <f>IF(COUNT(K5:K9)=0,"",N(K6)+N(K7)+N(K8)+N(K9)-N(K5))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0" t="n"/>
      <c r="I12" s="30" t="n"/>
      <c r="J12" s="30" t="n"/>
      <c r="K12" s="31">
        <f>IF(COUNT(C12:J12)=0,"",SUM(C12:J12))</f>
        <v/>
      </c>
      <c r="L12" s="4" t="inlineStr">
        <is>
          <t>∑</t>
        </is>
      </c>
      <c r="M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2" t="n"/>
      <c r="I13" s="32" t="n"/>
      <c r="J13" s="32" t="n"/>
      <c r="K13" s="33">
        <f>IF(COUNT(C13:J13)=0,"",SUM(C13:J13))</f>
        <v/>
      </c>
      <c r="L13" s="4" t="inlineStr">
        <is>
          <t>∑</t>
        </is>
      </c>
      <c r="M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16">
        <f>IFERROR(J13/J10,"")</f>
        <v/>
      </c>
      <c r="K14" s="34">
        <f>IF(COUNT(C14:J14)=0,"",SUM(C14:J14))</f>
        <v/>
      </c>
      <c r="L14" s="4" t="inlineStr">
        <is>
          <t>FTE</t>
        </is>
      </c>
      <c r="M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11">
        <f>IF(COUNT(J5,J12)=0,"",SUM(J5,J12))</f>
        <v/>
      </c>
      <c r="K15" s="31">
        <f>IF(COUNT(K5,K12)=0,"",SUM(K5,K12))</f>
        <v/>
      </c>
      <c r="L15" s="4" t="inlineStr">
        <is>
          <t>ϝ</t>
        </is>
      </c>
      <c r="M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16">
        <f>IF(COUNT(J11,J14)=0,"",SUM(J11,J14))</f>
        <v/>
      </c>
      <c r="K16" s="34">
        <f>IF(COUNT(K11,K14)=0,"",SUM(K11,K14))</f>
        <v/>
      </c>
      <c r="L16" s="4" t="inlineStr">
        <is>
          <t>FTE</t>
        </is>
      </c>
      <c r="M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19">
        <f>IFERROR(J12/J15,"")</f>
        <v/>
      </c>
      <c r="K17" s="36">
        <f>IFERROR(K12/K15,"")</f>
        <v/>
      </c>
      <c r="L17" s="4" t="inlineStr">
        <is>
          <t>ϝ</t>
        </is>
      </c>
      <c r="M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0" t="n"/>
      <c r="I18" s="30" t="n"/>
      <c r="J18" s="30" t="n"/>
      <c r="K18" s="31">
        <f>IF(COUNT(C18:J18)=0,"",SUM(C18:J18))</f>
        <v/>
      </c>
      <c r="L18" s="4" t="inlineStr">
        <is>
          <t>∑</t>
        </is>
      </c>
      <c r="M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0" t="n"/>
      <c r="I19" s="30" t="n"/>
      <c r="J19" s="30" t="n"/>
      <c r="K19" s="31">
        <f>IF(COUNT(C19:J19)=0,"",SUM(C19:J19))</f>
        <v/>
      </c>
      <c r="L19" s="4" t="inlineStr">
        <is>
          <t>∑</t>
        </is>
      </c>
      <c r="M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0" t="n"/>
      <c r="I20" s="30" t="n"/>
      <c r="J20" s="30" t="n"/>
      <c r="K20" s="31">
        <f>IF(COUNT(C20:J20)=0,"",SUM(C20:J20))</f>
        <v/>
      </c>
      <c r="L20" s="4" t="inlineStr">
        <is>
          <t>∑</t>
        </is>
      </c>
      <c r="M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11">
        <f>IF(COUNT(J19:J20)=0,"",SUM(J19:J20))</f>
        <v/>
      </c>
      <c r="K21" s="31">
        <f>IF(COUNT(K19:K20)=0,"",SUM(K19:K20))</f>
        <v/>
      </c>
      <c r="L21" s="4" t="inlineStr">
        <is>
          <t>ϝ</t>
        </is>
      </c>
      <c r="M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0" t="n"/>
      <c r="I22" s="30" t="n"/>
      <c r="J22" s="30" t="n"/>
      <c r="K22" s="31">
        <f>IF(COUNT(C22:J22)=0,"",SUM(C22:J22))</f>
        <v/>
      </c>
      <c r="L22" s="4" t="inlineStr">
        <is>
          <t>∑</t>
        </is>
      </c>
      <c r="M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0" t="n"/>
      <c r="I23" s="30" t="n"/>
      <c r="J23" s="30" t="n"/>
      <c r="K23" s="31">
        <f>IF(COUNT(C23:J23)=0,"",SUM(C23:J23))</f>
        <v/>
      </c>
      <c r="L23" s="4" t="inlineStr">
        <is>
          <t>∑</t>
        </is>
      </c>
      <c r="M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11">
        <f>IF(COUNT(J22:J23)=0,"",SUM(J22:J23))</f>
        <v/>
      </c>
      <c r="K24" s="31">
        <f>IF(COUNT(K22:K23)=0,"",SUM(K22:K23))</f>
        <v/>
      </c>
      <c r="L24" s="4" t="inlineStr">
        <is>
          <t>ϝ</t>
        </is>
      </c>
      <c r="M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19">
        <f>IF(COUNT(J31,J32)&lt;2,"",IF((J32+J31)=0,"",N(J22)/((J32+J31)/2)))</f>
        <v/>
      </c>
      <c r="K25" s="36">
        <f>IF(COUNT(K31,K32)&lt;2,"",IF((K32+K31)=0,"",N(K22)/((K32+K31)/2)))</f>
        <v/>
      </c>
      <c r="L25" s="4" t="inlineStr">
        <is>
          <t>ϝ</t>
        </is>
      </c>
      <c r="M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19">
        <f>IF(COUNT(J31,J32)&lt;2,"",IF((J32+J31)=0,"",N(J23)/((J32+J31)/2)))</f>
        <v/>
      </c>
      <c r="K26" s="36">
        <f>IF(COUNT(K31,K32)&lt;2,"",IF((K32+K31)=0,"",N(K23)/((K32+K31)/2)))</f>
        <v/>
      </c>
      <c r="L26" s="4" t="inlineStr">
        <is>
          <t>ϝ</t>
        </is>
      </c>
      <c r="M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0" t="n"/>
      <c r="I27" s="30" t="n"/>
      <c r="J27" s="30" t="n"/>
      <c r="K27" s="31">
        <f>IF(COUNT(C27:J27)=0,"",SUM(C27:J27))</f>
        <v/>
      </c>
      <c r="L27" s="4" t="inlineStr">
        <is>
          <t>∑</t>
        </is>
      </c>
      <c r="M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0" t="n"/>
      <c r="I28" s="30" t="n"/>
      <c r="J28" s="30" t="n"/>
      <c r="K28" s="31">
        <f>IF(COUNT(C28:J28)=0,"",SUM(C28:J28))</f>
        <v/>
      </c>
      <c r="L28" s="4" t="inlineStr">
        <is>
          <t>∑</t>
        </is>
      </c>
      <c r="M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19">
        <f>IF(COUNT(J31,J32)&lt;2,"",IF((J32+J31)=0,"",N(J27)/((J32+J31)/2)))</f>
        <v/>
      </c>
      <c r="K29" s="36">
        <f>IF(COUNT(K31,K32)&lt;2,"",IF((K32+K31)=0,"",N(K27)/((K32+K31)/2)))</f>
        <v/>
      </c>
      <c r="L29" s="4" t="inlineStr">
        <is>
          <t>ϝ</t>
        </is>
      </c>
      <c r="M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19">
        <f>IF(COUNT(J31,J32)&lt;2,"",IF((J32+J31)=0,"",N(J28)/((J32+J31)/2)))</f>
        <v/>
      </c>
      <c r="K30" s="36">
        <f>IF(COUNT(K31,K32)&lt;2,"",IF((K32+K31)=0,"",N(K28)/((K32+K31)/2)))</f>
        <v/>
      </c>
      <c r="L30" s="4" t="inlineStr">
        <is>
          <t>ϝ</t>
        </is>
      </c>
      <c r="M30" s="3" t="n"/>
    </row>
    <row r="31" ht="15.5" customHeight="1">
      <c r="A31" s="3" t="n"/>
      <c r="B31" s="10" t="inlineStr">
        <is>
          <t>Headcount last Month</t>
        </is>
      </c>
      <c r="C31" s="11">
        <f>IF(DEC!C5="","",DEC!C5)</f>
        <v/>
      </c>
      <c r="D31" s="11">
        <f>IF(DEC!D5="","",DEC!D5)</f>
        <v/>
      </c>
      <c r="E31" s="11">
        <f>IF(DEC!E5="","",DEC!E5)</f>
        <v/>
      </c>
      <c r="F31" s="11">
        <f>IF(DEC!F5="","",DEC!F5)</f>
        <v/>
      </c>
      <c r="G31" s="11">
        <f>IF(DEC!G5="","",DEC!G5)</f>
        <v/>
      </c>
      <c r="H31" s="11">
        <f>IF(DEC!H5="","",DEC!H5)</f>
        <v/>
      </c>
      <c r="I31" s="11">
        <f>IF(DEC!I5="","",DEC!I5)</f>
        <v/>
      </c>
      <c r="J31" s="11">
        <f>IF(DEC!J5="","",DEC!J5)</f>
        <v/>
      </c>
      <c r="K31" s="31">
        <f>IF(COUNT(C31:J31)=0,"",SUM(C31:J31))</f>
        <v/>
      </c>
      <c r="L31" s="4" t="inlineStr">
        <is>
          <t>∑</t>
        </is>
      </c>
      <c r="M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11">
        <f>IF(J5="","",J5)</f>
        <v/>
      </c>
      <c r="K32" s="31">
        <f>IF(COUNT(C32:J32)=0,"",SUM(C32:J32))</f>
        <v/>
      </c>
      <c r="L32" s="4" t="inlineStr">
        <is>
          <t>∑</t>
        </is>
      </c>
      <c r="M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19">
        <f>IF(COUNT(J31,J32)&lt;2,"",IF((J32+J31)=0,"",N(J24)/((J32+J31)/2)))</f>
        <v/>
      </c>
      <c r="K33" s="36">
        <f>IF(COUNT(K31,K32)&lt;2,"",IF((K32+K31)=0,"",N(K24)/((K32+K31)/2)))</f>
        <v/>
      </c>
      <c r="L33" s="4" t="inlineStr">
        <is>
          <t>ϝ</t>
        </is>
      </c>
      <c r="M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0" t="n"/>
      <c r="I34" s="30" t="n"/>
      <c r="J34" s="30" t="n"/>
      <c r="K34" s="31">
        <f>IF(COUNT(C34:J34)=0,"",SUM(C34:J34))</f>
        <v/>
      </c>
      <c r="L34" s="4" t="inlineStr">
        <is>
          <t>∑</t>
        </is>
      </c>
      <c r="M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0" t="n"/>
      <c r="I35" s="30" t="n"/>
      <c r="J35" s="30" t="n"/>
      <c r="K35" s="31">
        <f>IF(COUNT(C35:J35)=0,"",SUM(C35:J35))</f>
        <v/>
      </c>
      <c r="L35" s="4" t="inlineStr">
        <is>
          <t>∑</t>
        </is>
      </c>
      <c r="M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11">
        <f>IF(COUNT(J34:J35)=0,"",SUM(J34:J35))</f>
        <v/>
      </c>
      <c r="K36" s="31">
        <f>IF(COUNT(K34:K35)=0,"",SUM(K34:K35))</f>
        <v/>
      </c>
      <c r="L36" s="4" t="inlineStr">
        <is>
          <t>ϝ</t>
        </is>
      </c>
      <c r="M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11">
        <f>IF(COUNT(J5,J36)=0,"",N(J5)+N(J36))</f>
        <v/>
      </c>
      <c r="K37" s="31">
        <f>IF(COUNT(K5,K36)=0,"",N(K5)+N(K36))</f>
        <v/>
      </c>
      <c r="L37" s="4" t="inlineStr">
        <is>
          <t>ϝ</t>
        </is>
      </c>
      <c r="M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19">
        <f>IFERROR(J36/J37,"")</f>
        <v/>
      </c>
      <c r="K38" s="36">
        <f>IFERROR(K36/K37,"")</f>
        <v/>
      </c>
      <c r="L38" s="4" t="inlineStr">
        <is>
          <t>ϝ</t>
        </is>
      </c>
      <c r="M38" s="3" t="n"/>
    </row>
    <row r="39" ht="15.5" customHeight="1">
      <c r="A39" s="3" t="n"/>
      <c r="B39" s="10" t="inlineStr">
        <is>
          <t>Permanent TimeToHire (Days) YTD</t>
        </is>
      </c>
      <c r="C39" s="14">
        <f>IF('(Culinary_CRI)'!$AB$7="","",'(Culinary_CRI)'!$AB$7)</f>
        <v/>
      </c>
      <c r="D39" s="14">
        <f>IF('(Food_GTM)'!$AB$7="","",'(Food_GTM)'!$AB$7)</f>
        <v/>
      </c>
      <c r="E39" s="14">
        <f>IF('(GCG_GTM)'!$AB$7="","",'(GCG_GTM)'!$AB$7)</f>
        <v/>
      </c>
      <c r="F39" s="14">
        <f>IF('(Ground_HND)'!$AB$7="","",'(Ground_HND)'!$AB$7)</f>
        <v/>
      </c>
      <c r="G39" s="14">
        <f>IF('(GCG_HND)'!$AB$7="","",'(GCG_HND)'!$AB$7)</f>
        <v/>
      </c>
      <c r="H39" s="14">
        <f>IF('(Concess_PAN)'!$AB$7="","",'(Concess_PAN)'!$AB$7)</f>
        <v/>
      </c>
      <c r="I39" s="14">
        <f>IF('(GCG_SLV)'!$AB$7="","",'(GCG_SLV)'!$AB$7)</f>
        <v/>
      </c>
      <c r="J39" s="14">
        <f>IF('(Food_SLV)'!$AB$7="","",'(Food_SLV)'!$AB$7)</f>
        <v/>
      </c>
      <c r="K39" s="33">
        <f>IFERROR(AVERAGE(C39:J39),"")</f>
        <v/>
      </c>
      <c r="L39" s="4" t="inlineStr">
        <is>
          <t>Avg</t>
        </is>
      </c>
      <c r="M39" s="3" t="n"/>
    </row>
    <row r="40" ht="15.5" customHeight="1">
      <c r="A40" s="3" t="n"/>
      <c r="B40" s="10" t="inlineStr">
        <is>
          <t>Temporary TimeToHire (Days) YTD</t>
        </is>
      </c>
      <c r="C40" s="14">
        <f>IF('(Culinary_CRI)'!$AD$7="","",'(Culinary_CRI)'!$AD$7)</f>
        <v/>
      </c>
      <c r="D40" s="14">
        <f>IF('(Food_GTM)'!$AD$7="","",'(Food_GTM)'!$AD$7)</f>
        <v/>
      </c>
      <c r="E40" s="14">
        <f>IF('(GCG_GTM)'!$AD$7="","",'(GCG_GTM)'!$AD$7)</f>
        <v/>
      </c>
      <c r="F40" s="14">
        <f>IF('(Ground_HND)'!$AD$7="","",'(Ground_HND)'!$AD$7)</f>
        <v/>
      </c>
      <c r="G40" s="14">
        <f>IF('(GCG_HND)'!$AD$7="","",'(GCG_HND)'!$AD$7)</f>
        <v/>
      </c>
      <c r="H40" s="14">
        <f>IF('(Concess_PAN)'!$AD$7="","",'(Concess_PAN)'!$AD$7)</f>
        <v/>
      </c>
      <c r="I40" s="14">
        <f>IF('(GCG_SLV)'!$AD$7="","",'(GCG_SLV)'!$AD$7)</f>
        <v/>
      </c>
      <c r="J40" s="14">
        <f>IF('(Food_SLV)'!$AD$7="","",'(Food_SLV)'!$AD$7)</f>
        <v/>
      </c>
      <c r="K40" s="33">
        <f>IFERROR(AVERAGE(C40:J40),"")</f>
        <v/>
      </c>
      <c r="L40" s="4" t="inlineStr">
        <is>
          <t>Avg</t>
        </is>
      </c>
      <c r="M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7" t="n"/>
      <c r="I41" s="37" t="n"/>
      <c r="J41" s="37" t="n"/>
      <c r="K41" s="38">
        <f>IFERROR(AVERAGE(C41:J41),"")</f>
        <v/>
      </c>
      <c r="L41" s="4" t="inlineStr">
        <is>
          <t>Avg</t>
        </is>
      </c>
      <c r="M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0" t="n"/>
      <c r="I42" s="30" t="n"/>
      <c r="J42" s="30" t="n"/>
      <c r="K42" s="31">
        <f>IF(COUNT(C42:J42)=0,"",SUM(C42:J42))</f>
        <v/>
      </c>
      <c r="L42" s="4" t="inlineStr">
        <is>
          <t>∑</t>
        </is>
      </c>
      <c r="M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2" t="n"/>
      <c r="I43" s="32" t="n"/>
      <c r="J43" s="32" t="n"/>
      <c r="K43" s="33">
        <f>IF(COUNT(C43:J43)=0,"",SUM(C43:J43))</f>
        <v/>
      </c>
      <c r="L43" s="4" t="inlineStr">
        <is>
          <t>∑</t>
        </is>
      </c>
      <c r="M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2" t="n"/>
      <c r="I44" s="32" t="n"/>
      <c r="J44" s="32" t="n"/>
      <c r="K44" s="33">
        <f>IF(COUNT(C44:J44)=0,"",SUM(C44:J44))</f>
        <v/>
      </c>
      <c r="L44" s="4" t="inlineStr">
        <is>
          <t>∑</t>
        </is>
      </c>
      <c r="M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14">
        <f>IF(COUNT(J43:J44)=0,"",SUM(J43:J44))</f>
        <v/>
      </c>
      <c r="K45" s="33">
        <f>IF(COUNT(K43:K44)=0,"",SUM(K43:K44))</f>
        <v/>
      </c>
      <c r="L45" s="4" t="inlineStr">
        <is>
          <t>ϝ</t>
        </is>
      </c>
      <c r="M45" s="3" t="n"/>
    </row>
    <row r="46" ht="15.5" customHeight="1">
      <c r="A46" s="3" t="n"/>
      <c r="B46" s="13" t="inlineStr">
        <is>
          <t>Absent Rate Non-Certified (%)</t>
        </is>
      </c>
      <c r="C46" s="19">
        <f>IF('(Culinary_CRI)'!$G$7="","",'(Culinary_CRI)'!$G$7)</f>
        <v/>
      </c>
      <c r="D46" s="19">
        <f>IF('(Food_GTM)'!$G$7="","",'(Food_GTM)'!$G$7)</f>
        <v/>
      </c>
      <c r="E46" s="19">
        <f>IF('(GCG_GTM)'!$G$7="","",'(GCG_GTM)'!$G$7)</f>
        <v/>
      </c>
      <c r="F46" s="19">
        <f>IF('(Ground_HND)'!$G$7="","",'(Ground_HND)'!$G$7)</f>
        <v/>
      </c>
      <c r="G46" s="19">
        <f>IF('(GCG_HND)'!$G$7="","",'(GCG_HND)'!$G$7)</f>
        <v/>
      </c>
      <c r="H46" s="19">
        <f>IF('(Concess_PAN)'!$G$7="","",'(Concess_PAN)'!$G$7)</f>
        <v/>
      </c>
      <c r="I46" s="19">
        <f>IF('(GCG_SLV)'!$G$7="","",'(GCG_SLV)'!$G$7)</f>
        <v/>
      </c>
      <c r="J46" s="19">
        <f>IF('(Food_SLV)'!$G$7="","",'(Food_SLV)'!$G$7)</f>
        <v/>
      </c>
      <c r="K46" s="36">
        <f t="array" ref="K46">IF(COUNT(C46:J46)=0,"",IFERROR(SUMPRODUCT(IFERROR(C46:J46*((C3:J3)+(C4:J4)),0))/SUMPRODUCT(IFERROR(ISNUMBER(C46:J46)*((C3:J3)+(C4:J4)),0)),""))</f>
        <v/>
      </c>
      <c r="L46" s="4" t="inlineStr">
        <is>
          <t>Weighted</t>
        </is>
      </c>
      <c r="M46" s="3" t="n"/>
    </row>
    <row r="47" ht="15.5" customHeight="1">
      <c r="A47" s="3" t="n"/>
      <c r="B47" s="13" t="inlineStr">
        <is>
          <t>Absent Rate Certified (%)</t>
        </is>
      </c>
      <c r="C47" s="19">
        <f>IF('(Culinary_CRI)'!$O$7="","",'(Culinary_CRI)'!$O$7)</f>
        <v/>
      </c>
      <c r="D47" s="19">
        <f>IF('(Food_GTM)'!$O$7="","",'(Food_GTM)'!$O$7)</f>
        <v/>
      </c>
      <c r="E47" s="19">
        <f>IF('(GCG_GTM)'!$O$7="","",'(GCG_GTM)'!$O$7)</f>
        <v/>
      </c>
      <c r="F47" s="19">
        <f>IF('(Ground_HND)'!$O$7="","",'(Ground_HND)'!$O$7)</f>
        <v/>
      </c>
      <c r="G47" s="19">
        <f>IF('(GCG_HND)'!$O$7="","",'(GCG_HND)'!$O$7)</f>
        <v/>
      </c>
      <c r="H47" s="19">
        <f>IF('(Concess_PAN)'!$O$7="","",'(Concess_PAN)'!$O$7)</f>
        <v/>
      </c>
      <c r="I47" s="19">
        <f>IF('(GCG_SLV)'!$O$7="","",'(GCG_SLV)'!$O$7)</f>
        <v/>
      </c>
      <c r="J47" s="19">
        <f>IF('(Food_SLV)'!$O$7="","",'(Food_SLV)'!$O$7)</f>
        <v/>
      </c>
      <c r="K47" s="36">
        <f t="array" ref="K47">IF(COUNT(C47:J47)=0,"",IFERROR(SUMPRODUCT(IFERROR(C47:J47*((C3:J3)+(C4:J4)),0))/SUMPRODUCT(IFERROR(ISNUMBER(C47:J47)*((C3:J3)+(C4:J4)),0)),""))</f>
        <v/>
      </c>
      <c r="L47" s="4" t="inlineStr">
        <is>
          <t>Weighted</t>
        </is>
      </c>
      <c r="M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19">
        <f>IF(COUNT(J46:J47)=0,"",SUM(J46:J47))</f>
        <v/>
      </c>
      <c r="K48" s="36">
        <f>IF(COUNT(K46:K47)=0,"",SUM(K46:K47))</f>
        <v/>
      </c>
      <c r="L48" s="4" t="inlineStr">
        <is>
          <t>Weighted</t>
        </is>
      </c>
      <c r="M48" s="3" t="n"/>
    </row>
    <row r="49" ht="15.5" customHeight="1">
      <c r="A49" s="3" t="n"/>
      <c r="B49" s="18" t="inlineStr">
        <is>
          <t>Weight factor</t>
        </is>
      </c>
      <c r="C49" s="19">
        <f>IFERROR(C5/$K5,"")</f>
        <v/>
      </c>
      <c r="D49" s="19">
        <f>IFERROR(D5/$K5,"")</f>
        <v/>
      </c>
      <c r="E49" s="19">
        <f>IFERROR(E5/$K5,"")</f>
        <v/>
      </c>
      <c r="F49" s="19">
        <f>IFERROR(F5/$K5,"")</f>
        <v/>
      </c>
      <c r="G49" s="19">
        <f>IFERROR(G5/$K5,"")</f>
        <v/>
      </c>
      <c r="H49" s="19">
        <f>IFERROR(H5/$K5,"")</f>
        <v/>
      </c>
      <c r="I49" s="19">
        <f>IFERROR(I5/$K5,"")</f>
        <v/>
      </c>
      <c r="J49" s="19">
        <f>IFERROR(J5/$K5,"")</f>
        <v/>
      </c>
      <c r="K49" s="36">
        <f>IF(COUNT(C49:J49)=0,"",SUM(C49:J49))</f>
        <v/>
      </c>
      <c r="L49" s="4" t="inlineStr">
        <is>
          <t>Weight Factor</t>
        </is>
      </c>
      <c r="M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2" t="n"/>
      <c r="I50" s="32" t="n"/>
      <c r="J50" s="32" t="n"/>
      <c r="K50" s="33">
        <f>IF(COUNT(C50:J50)=0,"",SUM(C50:J50))</f>
        <v/>
      </c>
      <c r="L50" s="4" t="inlineStr">
        <is>
          <t>∑</t>
        </is>
      </c>
      <c r="M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2" t="n"/>
      <c r="I51" s="32" t="n"/>
      <c r="J51" s="32" t="n"/>
      <c r="K51" s="33">
        <f>IF(COUNT(C51:J51)=0,"",SUM(C51:J51))</f>
        <v/>
      </c>
      <c r="L51" s="4" t="inlineStr">
        <is>
          <t>∑</t>
        </is>
      </c>
      <c r="M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2" t="n"/>
      <c r="I52" s="32" t="n"/>
      <c r="J52" s="32" t="n"/>
      <c r="K52" s="33">
        <f>IF(COUNT(C52:J52)=0,"",SUM(C52:J52))</f>
        <v/>
      </c>
      <c r="L52" s="4" t="inlineStr">
        <is>
          <t>∑</t>
        </is>
      </c>
      <c r="M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2" t="n"/>
      <c r="I53" s="32" t="n"/>
      <c r="J53" s="32" t="n"/>
      <c r="K53" s="33">
        <f>IF(COUNT(C53:J53)=0,"",SUM(C53:J53))</f>
        <v/>
      </c>
      <c r="L53" s="4" t="inlineStr">
        <is>
          <t>∑</t>
        </is>
      </c>
      <c r="M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2" t="n"/>
      <c r="I54" s="32" t="n"/>
      <c r="J54" s="32" t="n"/>
      <c r="K54" s="33">
        <f>IF(COUNT(C54:J54)=0,"",SUM(C54:J54))</f>
        <v/>
      </c>
      <c r="L54" s="4" t="inlineStr">
        <is>
          <t>∑</t>
        </is>
      </c>
      <c r="M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14">
        <f>IF(COUNT(J50:J54)=0,"",SUM(J50:J54))</f>
        <v/>
      </c>
      <c r="K55" s="33">
        <f>IF(COUNT(K50:K54)=0,"",SUM(K50:K54))</f>
        <v/>
      </c>
      <c r="L55" s="4" t="inlineStr">
        <is>
          <t>ϝ</t>
        </is>
      </c>
      <c r="M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2" t="n"/>
      <c r="I56" s="32" t="n"/>
      <c r="J56" s="32" t="n"/>
      <c r="K56" s="33">
        <f>IF(COUNT(C56:J56)=0,"",SUM(C56:J56))</f>
        <v/>
      </c>
      <c r="L56" s="4" t="inlineStr">
        <is>
          <t>∑</t>
        </is>
      </c>
      <c r="M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2" t="n"/>
      <c r="I57" s="32" t="n"/>
      <c r="J57" s="32" t="n"/>
      <c r="K57" s="33">
        <f>IF(COUNT(C57:J57)=0,"",SUM(C57:J57))</f>
        <v/>
      </c>
      <c r="L57" s="4" t="inlineStr">
        <is>
          <t>∑</t>
        </is>
      </c>
      <c r="M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2" t="n"/>
      <c r="I58" s="32" t="n"/>
      <c r="J58" s="32" t="n"/>
      <c r="K58" s="33">
        <f>IF(COUNT(C58:J58)=0,"",SUM(C58:J58))</f>
        <v/>
      </c>
      <c r="L58" s="4" t="inlineStr">
        <is>
          <t>∑</t>
        </is>
      </c>
      <c r="M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2" t="n"/>
      <c r="I59" s="32" t="n"/>
      <c r="J59" s="32" t="n"/>
      <c r="K59" s="33">
        <f>IF(COUNT(C59:J59)=0,"",SUM(C59:J59))</f>
        <v/>
      </c>
      <c r="L59" s="4" t="inlineStr">
        <is>
          <t>∑</t>
        </is>
      </c>
      <c r="M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19">
        <f>IFERROR(J50/J$55,"")</f>
        <v/>
      </c>
      <c r="K60" s="36">
        <f>IFERROR(K50/K$55,"")</f>
        <v/>
      </c>
      <c r="L60" s="4" t="inlineStr">
        <is>
          <t>ϝ</t>
        </is>
      </c>
      <c r="M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19">
        <f>IFERROR(J51/J$55,"")</f>
        <v/>
      </c>
      <c r="K61" s="36">
        <f>IFERROR(K51/K$55,"")</f>
        <v/>
      </c>
      <c r="L61" s="4" t="inlineStr">
        <is>
          <t>ϝ</t>
        </is>
      </c>
      <c r="M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19">
        <f>IFERROR(J52/J$55,"")</f>
        <v/>
      </c>
      <c r="K62" s="36">
        <f>IFERROR(K52/K$55,"")</f>
        <v/>
      </c>
      <c r="L62" s="4" t="inlineStr">
        <is>
          <t>ϝ</t>
        </is>
      </c>
      <c r="M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19">
        <f>IFERROR(J53/J$55,"")</f>
        <v/>
      </c>
      <c r="K63" s="36">
        <f>IFERROR(K53/K$55,"")</f>
        <v/>
      </c>
      <c r="L63" s="4" t="inlineStr">
        <is>
          <t>ϝ</t>
        </is>
      </c>
      <c r="M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19">
        <f>IFERROR(J54/J$55,"")</f>
        <v/>
      </c>
      <c r="K64" s="36">
        <f>IFERROR(K54/K$55,"")</f>
        <v/>
      </c>
      <c r="L64" s="4" t="inlineStr">
        <is>
          <t>ϝ</t>
        </is>
      </c>
      <c r="M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19">
        <f>IFERROR(J56/J5,"")</f>
        <v/>
      </c>
      <c r="K65" s="36">
        <f>IFERROR(K56/K5,"")</f>
        <v/>
      </c>
      <c r="L65" s="4" t="inlineStr">
        <is>
          <t>ϝ</t>
        </is>
      </c>
      <c r="M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16">
        <f>IFERROR(J55/J5,"")</f>
        <v/>
      </c>
      <c r="K66" s="34">
        <f>IFERROR(K55/K5,"")</f>
        <v/>
      </c>
      <c r="L66" s="4" t="inlineStr">
        <is>
          <t>ϝ</t>
        </is>
      </c>
      <c r="M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16">
        <f>IFERROR(J55/J56,"")</f>
        <v/>
      </c>
      <c r="K67" s="34">
        <f>IFERROR(K55/K56,"")</f>
        <v/>
      </c>
      <c r="L67" s="4" t="inlineStr">
        <is>
          <t>ϝ</t>
        </is>
      </c>
      <c r="M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16">
        <f>IF(COUNT(J58:J59)=0,"",IFERROR((N(J58)+N(J59))/J5,""))</f>
        <v/>
      </c>
      <c r="K68" s="34">
        <f>IF(COUNT(K58:K59)=0,"",IFERROR((N(K58)+N(K59))/K5,""))</f>
        <v/>
      </c>
      <c r="L68" s="4" t="inlineStr">
        <is>
          <t>ϝ</t>
        </is>
      </c>
      <c r="M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16">
        <f>IF(COUNT(J58:J59)=0,"",IFERROR((N(J58)+N(J59))/J56,""))</f>
        <v/>
      </c>
      <c r="K69" s="34">
        <f>IF(COUNT(K58:K59)=0,"",IFERROR((N(K58)+N(K59))/K56,""))</f>
        <v/>
      </c>
      <c r="L69" s="4" t="inlineStr">
        <is>
          <t>ϝ</t>
        </is>
      </c>
      <c r="M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14">
        <f>COUNTBLANK(J3:J4)+COUNTBLANK(J6:J10)+COUNTBLANK(J12:J13)+COUNTBLANK(J18:J20)+COUNTBLANK(J22:J23)+COUNTBLANK(J27:J28)+COUNTBLANK(J34:J35)+COUNTBLANK(J39:J44)+COUNTBLANK(J46:J47)+COUNTBLANK(J50:J54)+COUNTBLANK(J56:J59)</f>
        <v/>
      </c>
      <c r="K70" s="33">
        <f>SUM(C70:J70)</f>
        <v/>
      </c>
      <c r="L70" s="39" t="inlineStr">
        <is>
          <t>∑</t>
        </is>
      </c>
      <c r="M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26953125" customWidth="1" min="10" max="10"/>
    <col width="15.7265625" customWidth="1" min="11" max="11"/>
    <col width="21" customWidth="1" min="12" max="12"/>
    <col width="11.81640625" customWidth="1" min="13" max="13"/>
  </cols>
  <sheetData>
    <row r="1" ht="30" customHeight="1">
      <c r="A1" s="1" t="n"/>
      <c r="B1" s="2" t="inlineStr">
        <is>
          <t>GCG CENTRAL AMERICA</t>
        </is>
      </c>
      <c r="C1" s="26" t="inlineStr">
        <is>
          <t>1171</t>
        </is>
      </c>
      <c r="D1" s="26" t="inlineStr">
        <is>
          <t>1162</t>
        </is>
      </c>
      <c r="E1" s="26" t="inlineStr">
        <is>
          <t>1076</t>
        </is>
      </c>
      <c r="F1" s="26" t="inlineStr">
        <is>
          <t>1170</t>
        </is>
      </c>
      <c r="G1" s="26" t="inlineStr">
        <is>
          <t>1078</t>
        </is>
      </c>
      <c r="H1" s="26" t="inlineStr">
        <is>
          <t>1172</t>
        </is>
      </c>
      <c r="I1" s="26" t="inlineStr">
        <is>
          <t>1074</t>
        </is>
      </c>
      <c r="J1" s="26" t="inlineStr">
        <is>
          <t>1161</t>
        </is>
      </c>
      <c r="K1" s="3" t="n"/>
      <c r="L1" s="3" t="n"/>
      <c r="M1" s="3" t="n"/>
    </row>
    <row r="2" ht="72" customHeight="1">
      <c r="A2" s="4">
        <f>VALUE(TEXT(EDATE(DATE(LEFT(JAN!A2,4),RIGHT(JAN!A2,2),1),1),"yyyymm"))</f>
        <v/>
      </c>
      <c r="B2" s="5" t="inlineStr">
        <is>
          <t>FEB</t>
        </is>
      </c>
      <c r="C2" s="27" t="inlineStr">
        <is>
          <t>GCG Culinary Costa Rica</t>
        </is>
      </c>
      <c r="D2" s="27" t="inlineStr">
        <is>
          <t>GCG Food Guatemala</t>
        </is>
      </c>
      <c r="E2" s="27" t="inlineStr">
        <is>
          <t>GCG Guatemala</t>
        </is>
      </c>
      <c r="F2" s="27" t="inlineStr">
        <is>
          <t>GCG Aviation Ground Honduras</t>
        </is>
      </c>
      <c r="G2" s="27" t="inlineStr">
        <is>
          <t>GCG Honduras</t>
        </is>
      </c>
      <c r="H2" s="27" t="inlineStr">
        <is>
          <t>GCG Concessions Panama</t>
        </is>
      </c>
      <c r="I2" s="27" t="inlineStr">
        <is>
          <t>GCG El Salvador</t>
        </is>
      </c>
      <c r="J2" s="27" t="inlineStr">
        <is>
          <t>GCG Food El Salvador</t>
        </is>
      </c>
      <c r="K2" s="28" t="inlineStr">
        <is>
          <t>TOTAL</t>
        </is>
      </c>
      <c r="L2" s="4" t="inlineStr">
        <is>
          <t>Total by Division</t>
        </is>
      </c>
      <c r="M2" s="29">
        <f>N(M11)&lt;&gt;0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0" t="n"/>
      <c r="I3" s="30" t="n"/>
      <c r="J3" s="30" t="n"/>
      <c r="K3" s="31">
        <f>IF(COUNT(C3:J3)=0,"",SUM(C3:J3))</f>
        <v/>
      </c>
      <c r="L3" s="4" t="inlineStr">
        <is>
          <t>∑</t>
        </is>
      </c>
      <c r="M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0" t="n"/>
      <c r="I4" s="30" t="n"/>
      <c r="J4" s="30" t="n"/>
      <c r="K4" s="31">
        <f>IF(COUNT(C4:J4)=0,"",SUM(C4:J4))</f>
        <v/>
      </c>
      <c r="L4" s="4" t="inlineStr">
        <is>
          <t>∑</t>
        </is>
      </c>
      <c r="M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11">
        <f>IF(COUNT(J3:J4)=0,"",SUM(J3:J4))</f>
        <v/>
      </c>
      <c r="K5" s="31">
        <f>IF(COUNT(K3:K4)=0,"",SUM(K3:K4))</f>
        <v/>
      </c>
      <c r="L5" s="4" t="inlineStr">
        <is>
          <t>ϝ</t>
        </is>
      </c>
      <c r="M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0" t="n"/>
      <c r="I6" s="30" t="n"/>
      <c r="J6" s="30" t="n"/>
      <c r="K6" s="31">
        <f>IF(COUNT(C6:J6)=0,"",SUM(C6:J6))</f>
        <v/>
      </c>
      <c r="L6" s="4" t="inlineStr">
        <is>
          <t>∑</t>
        </is>
      </c>
      <c r="M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0" t="n"/>
      <c r="I7" s="30" t="n"/>
      <c r="J7" s="30" t="n"/>
      <c r="K7" s="31">
        <f>IF(COUNT(C7:J7)=0,"",SUM(C7:J7))</f>
        <v/>
      </c>
      <c r="L7" s="4" t="inlineStr">
        <is>
          <t>∑</t>
        </is>
      </c>
      <c r="M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0" t="n"/>
      <c r="I8" s="30" t="n"/>
      <c r="J8" s="30" t="n"/>
      <c r="K8" s="31">
        <f>IF(COUNT(C8:J8)=0,"",SUM(C8:J8))</f>
        <v/>
      </c>
      <c r="L8" s="4" t="inlineStr">
        <is>
          <t>∑</t>
        </is>
      </c>
      <c r="M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0" t="n"/>
      <c r="I9" s="30" t="n"/>
      <c r="J9" s="30" t="n"/>
      <c r="K9" s="31">
        <f>IF(COUNT(C9:J9)=0,"",SUM(C9:J9))</f>
        <v/>
      </c>
      <c r="L9" s="4" t="inlineStr">
        <is>
          <t>∑</t>
        </is>
      </c>
      <c r="M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2" t="n"/>
      <c r="I10" s="32" t="n"/>
      <c r="J10" s="32" t="n"/>
      <c r="K10" s="33">
        <f>IFERROR(AVERAGE(C10:J10),"")</f>
        <v/>
      </c>
      <c r="L10" s="4" t="inlineStr">
        <is>
          <t>Avg</t>
        </is>
      </c>
      <c r="M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16">
        <f>IF(COUNT(J6:J9)=0,"",N(J6)+N(J7)*0.75+N(J8)*0.5+N(J9)*0.25)</f>
        <v/>
      </c>
      <c r="K11" s="34">
        <f>IF(COUNT(K6:K9)=0,"",N(K6)+N(K7)*0.75+N(K8)*0.5+N(K9)*0.25)</f>
        <v/>
      </c>
      <c r="L11" s="4" t="inlineStr">
        <is>
          <t>FTE</t>
        </is>
      </c>
      <c r="M11" s="35">
        <f>IF(COUNT(K5:K9)=0,"",N(K6)+N(K7)+N(K8)+N(K9)-N(K5))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0" t="n"/>
      <c r="I12" s="30" t="n"/>
      <c r="J12" s="30" t="n"/>
      <c r="K12" s="31">
        <f>IF(COUNT(C12:J12)=0,"",SUM(C12:J12))</f>
        <v/>
      </c>
      <c r="L12" s="4" t="inlineStr">
        <is>
          <t>∑</t>
        </is>
      </c>
      <c r="M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2" t="n"/>
      <c r="I13" s="32" t="n"/>
      <c r="J13" s="32" t="n"/>
      <c r="K13" s="33">
        <f>IF(COUNT(C13:J13)=0,"",SUM(C13:J13))</f>
        <v/>
      </c>
      <c r="L13" s="4" t="inlineStr">
        <is>
          <t>∑</t>
        </is>
      </c>
      <c r="M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16">
        <f>IFERROR(J13/J10,"")</f>
        <v/>
      </c>
      <c r="K14" s="34">
        <f>IF(COUNT(C14:J14)=0,"",SUM(C14:J14))</f>
        <v/>
      </c>
      <c r="L14" s="4" t="inlineStr">
        <is>
          <t>FTE</t>
        </is>
      </c>
      <c r="M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11">
        <f>IF(COUNT(J5,J12)=0,"",SUM(J5,J12))</f>
        <v/>
      </c>
      <c r="K15" s="31">
        <f>IF(COUNT(K5,K12)=0,"",SUM(K5,K12))</f>
        <v/>
      </c>
      <c r="L15" s="4" t="inlineStr">
        <is>
          <t>ϝ</t>
        </is>
      </c>
      <c r="M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16">
        <f>IF(COUNT(J11,J14)=0,"",SUM(J11,J14))</f>
        <v/>
      </c>
      <c r="K16" s="34">
        <f>IF(COUNT(K11,K14)=0,"",SUM(K11,K14))</f>
        <v/>
      </c>
      <c r="L16" s="4" t="inlineStr">
        <is>
          <t>FTE</t>
        </is>
      </c>
      <c r="M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19">
        <f>IFERROR(J12/J15,"")</f>
        <v/>
      </c>
      <c r="K17" s="36">
        <f>IFERROR(K12/K15,"")</f>
        <v/>
      </c>
      <c r="L17" s="4" t="inlineStr">
        <is>
          <t>ϝ</t>
        </is>
      </c>
      <c r="M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0" t="n"/>
      <c r="I18" s="30" t="n"/>
      <c r="J18" s="30" t="n"/>
      <c r="K18" s="31">
        <f>IF(COUNT(C18:J18)=0,"",SUM(C18:J18))</f>
        <v/>
      </c>
      <c r="L18" s="4" t="inlineStr">
        <is>
          <t>∑</t>
        </is>
      </c>
      <c r="M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0" t="n"/>
      <c r="I19" s="30" t="n"/>
      <c r="J19" s="30" t="n"/>
      <c r="K19" s="31">
        <f>IF(COUNT(C19:J19)=0,"",SUM(C19:J19))</f>
        <v/>
      </c>
      <c r="L19" s="4" t="inlineStr">
        <is>
          <t>∑</t>
        </is>
      </c>
      <c r="M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0" t="n"/>
      <c r="I20" s="30" t="n"/>
      <c r="J20" s="30" t="n"/>
      <c r="K20" s="31">
        <f>IF(COUNT(C20:J20)=0,"",SUM(C20:J20))</f>
        <v/>
      </c>
      <c r="L20" s="4" t="inlineStr">
        <is>
          <t>∑</t>
        </is>
      </c>
      <c r="M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11">
        <f>IF(COUNT(J19:J20)=0,"",SUM(J19:J20))</f>
        <v/>
      </c>
      <c r="K21" s="31">
        <f>IF(COUNT(K19:K20)=0,"",SUM(K19:K20))</f>
        <v/>
      </c>
      <c r="L21" s="4" t="inlineStr">
        <is>
          <t>ϝ</t>
        </is>
      </c>
      <c r="M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0" t="n"/>
      <c r="I22" s="30" t="n"/>
      <c r="J22" s="30" t="n"/>
      <c r="K22" s="31">
        <f>IF(COUNT(C22:J22)=0,"",SUM(C22:J22))</f>
        <v/>
      </c>
      <c r="L22" s="4" t="inlineStr">
        <is>
          <t>∑</t>
        </is>
      </c>
      <c r="M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0" t="n"/>
      <c r="I23" s="30" t="n"/>
      <c r="J23" s="30" t="n"/>
      <c r="K23" s="31">
        <f>IF(COUNT(C23:J23)=0,"",SUM(C23:J23))</f>
        <v/>
      </c>
      <c r="L23" s="4" t="inlineStr">
        <is>
          <t>∑</t>
        </is>
      </c>
      <c r="M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11">
        <f>IF(COUNT(J22:J23)=0,"",SUM(J22:J23))</f>
        <v/>
      </c>
      <c r="K24" s="31">
        <f>IF(COUNT(K22:K23)=0,"",SUM(K22:K23))</f>
        <v/>
      </c>
      <c r="L24" s="4" t="inlineStr">
        <is>
          <t>ϝ</t>
        </is>
      </c>
      <c r="M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19">
        <f>IF(COUNT(J31,J32)&lt;2,"",IF((J32+J31)=0,"",N(J22)/((J32+J31)/2)))</f>
        <v/>
      </c>
      <c r="K25" s="36">
        <f>IF(COUNT(K31,K32)&lt;2,"",IF((K32+K31)=0,"",N(K22)/((K32+K31)/2)))</f>
        <v/>
      </c>
      <c r="L25" s="4" t="inlineStr">
        <is>
          <t>ϝ</t>
        </is>
      </c>
      <c r="M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19">
        <f>IF(COUNT(J31,J32)&lt;2,"",IF((J32+J31)=0,"",N(J23)/((J32+J31)/2)))</f>
        <v/>
      </c>
      <c r="K26" s="36">
        <f>IF(COUNT(K31,K32)&lt;2,"",IF((K32+K31)=0,"",N(K23)/((K32+K31)/2)))</f>
        <v/>
      </c>
      <c r="L26" s="4" t="inlineStr">
        <is>
          <t>ϝ</t>
        </is>
      </c>
      <c r="M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0" t="n"/>
      <c r="I27" s="30" t="n"/>
      <c r="J27" s="30" t="n"/>
      <c r="K27" s="31">
        <f>IF(COUNT(C27:J27)=0,"",SUM(C27:J27))</f>
        <v/>
      </c>
      <c r="L27" s="4" t="inlineStr">
        <is>
          <t>∑</t>
        </is>
      </c>
      <c r="M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0" t="n"/>
      <c r="I28" s="30" t="n"/>
      <c r="J28" s="30" t="n"/>
      <c r="K28" s="31">
        <f>IF(COUNT(C28:J28)=0,"",SUM(C28:J28))</f>
        <v/>
      </c>
      <c r="L28" s="4" t="inlineStr">
        <is>
          <t>∑</t>
        </is>
      </c>
      <c r="M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19">
        <f>IF(COUNT(J31,J32)&lt;2,"",IF((J32+J31)=0,"",N(J27)/((J32+J31)/2)))</f>
        <v/>
      </c>
      <c r="K29" s="36">
        <f>IF(COUNT(K31,K32)&lt;2,"",IF((K32+K31)=0,"",N(K27)/((K32+K31)/2)))</f>
        <v/>
      </c>
      <c r="L29" s="4" t="inlineStr">
        <is>
          <t>ϝ</t>
        </is>
      </c>
      <c r="M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19">
        <f>IF(COUNT(J31,J32)&lt;2,"",IF((J32+J31)=0,"",N(J28)/((J32+J31)/2)))</f>
        <v/>
      </c>
      <c r="K30" s="36">
        <f>IF(COUNT(K31,K32)&lt;2,"",IF((K32+K31)=0,"",N(K28)/((K32+K31)/2)))</f>
        <v/>
      </c>
      <c r="L30" s="4" t="inlineStr">
        <is>
          <t>ϝ</t>
        </is>
      </c>
      <c r="M30" s="3" t="n"/>
    </row>
    <row r="31" ht="15.5" customHeight="1">
      <c r="A31" s="3" t="n"/>
      <c r="B31" s="10" t="inlineStr">
        <is>
          <t>Headcount last Month</t>
        </is>
      </c>
      <c r="C31" s="11">
        <f>IF(JAN!C5="","",JAN!C5)</f>
        <v/>
      </c>
      <c r="D31" s="11">
        <f>IF(JAN!D5="","",JAN!D5)</f>
        <v/>
      </c>
      <c r="E31" s="11">
        <f>IF(JAN!E5="","",JAN!E5)</f>
        <v/>
      </c>
      <c r="F31" s="11">
        <f>IF(JAN!F5="","",JAN!F5)</f>
        <v/>
      </c>
      <c r="G31" s="11">
        <f>IF(JAN!G5="","",JAN!G5)</f>
        <v/>
      </c>
      <c r="H31" s="11">
        <f>IF(JAN!H5="","",JAN!H5)</f>
        <v/>
      </c>
      <c r="I31" s="11">
        <f>IF(JAN!I5="","",JAN!I5)</f>
        <v/>
      </c>
      <c r="J31" s="11">
        <f>IF(JAN!J5="","",JAN!J5)</f>
        <v/>
      </c>
      <c r="K31" s="31">
        <f>IF(COUNT(C31:J31)=0,"",SUM(C31:J31))</f>
        <v/>
      </c>
      <c r="L31" s="4" t="inlineStr">
        <is>
          <t>∑</t>
        </is>
      </c>
      <c r="M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11">
        <f>IF(J5="","",J5)</f>
        <v/>
      </c>
      <c r="K32" s="31">
        <f>IF(COUNT(C32:J32)=0,"",SUM(C32:J32))</f>
        <v/>
      </c>
      <c r="L32" s="4" t="inlineStr">
        <is>
          <t>∑</t>
        </is>
      </c>
      <c r="M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19">
        <f>IF(COUNT(J31,J32)&lt;2,"",IF((J32+J31)=0,"",N(J24)/((J32+J31)/2)))</f>
        <v/>
      </c>
      <c r="K33" s="36">
        <f>IF(COUNT(K31,K32)&lt;2,"",IF((K32+K31)=0,"",N(K24)/((K32+K31)/2)))</f>
        <v/>
      </c>
      <c r="L33" s="4" t="inlineStr">
        <is>
          <t>ϝ</t>
        </is>
      </c>
      <c r="M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0" t="n"/>
      <c r="I34" s="30" t="n"/>
      <c r="J34" s="30" t="n"/>
      <c r="K34" s="31">
        <f>IF(COUNT(C34:J34)=0,"",SUM(C34:J34))</f>
        <v/>
      </c>
      <c r="L34" s="4" t="inlineStr">
        <is>
          <t>∑</t>
        </is>
      </c>
      <c r="M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0" t="n"/>
      <c r="I35" s="30" t="n"/>
      <c r="J35" s="30" t="n"/>
      <c r="K35" s="31">
        <f>IF(COUNT(C35:J35)=0,"",SUM(C35:J35))</f>
        <v/>
      </c>
      <c r="L35" s="4" t="inlineStr">
        <is>
          <t>∑</t>
        </is>
      </c>
      <c r="M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11">
        <f>IF(COUNT(J34:J35)=0,"",SUM(J34:J35))</f>
        <v/>
      </c>
      <c r="K36" s="31">
        <f>IF(COUNT(K34:K35)=0,"",SUM(K34:K35))</f>
        <v/>
      </c>
      <c r="L36" s="4" t="inlineStr">
        <is>
          <t>ϝ</t>
        </is>
      </c>
      <c r="M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11">
        <f>IF(COUNT(J5,J36)=0,"",N(J5)+N(J36))</f>
        <v/>
      </c>
      <c r="K37" s="31">
        <f>IF(COUNT(K5,K36)=0,"",N(K5)+N(K36))</f>
        <v/>
      </c>
      <c r="L37" s="4" t="inlineStr">
        <is>
          <t>ϝ</t>
        </is>
      </c>
      <c r="M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19">
        <f>IFERROR(J36/J37,"")</f>
        <v/>
      </c>
      <c r="K38" s="36">
        <f>IFERROR(K36/K37,"")</f>
        <v/>
      </c>
      <c r="L38" s="4" t="inlineStr">
        <is>
          <t>ϝ</t>
        </is>
      </c>
      <c r="M38" s="3" t="n"/>
    </row>
    <row r="39" ht="15.5" customHeight="1">
      <c r="A39" s="3" t="n"/>
      <c r="B39" s="10" t="inlineStr">
        <is>
          <t>Permanent TimeToHire (Days) YTD</t>
        </is>
      </c>
      <c r="C39" s="14">
        <f>IF('(Culinary_CRI)'!$AB$8="","",'(Culinary_CRI)'!$AB$8)</f>
        <v/>
      </c>
      <c r="D39" s="14">
        <f>IF('(Food_GTM)'!$AB$8="","",'(Food_GTM)'!$AB$8)</f>
        <v/>
      </c>
      <c r="E39" s="14">
        <f>IF('(GCG_GTM)'!$AB$8="","",'(GCG_GTM)'!$AB$8)</f>
        <v/>
      </c>
      <c r="F39" s="14">
        <f>IF('(Ground_HND)'!$AB$8="","",'(Ground_HND)'!$AB$8)</f>
        <v/>
      </c>
      <c r="G39" s="14">
        <f>IF('(GCG_HND)'!$AB$8="","",'(GCG_HND)'!$AB$8)</f>
        <v/>
      </c>
      <c r="H39" s="14">
        <f>IF('(Concess_PAN)'!$AB$8="","",'(Concess_PAN)'!$AB$8)</f>
        <v/>
      </c>
      <c r="I39" s="14">
        <f>IF('(GCG_SLV)'!$AB$8="","",'(GCG_SLV)'!$AB$8)</f>
        <v/>
      </c>
      <c r="J39" s="14">
        <f>IF('(Food_SLV)'!$AB$8="","",'(Food_SLV)'!$AB$8)</f>
        <v/>
      </c>
      <c r="K39" s="33">
        <f>IFERROR(AVERAGE(C39:J39),"")</f>
        <v/>
      </c>
      <c r="L39" s="4" t="inlineStr">
        <is>
          <t>Avg</t>
        </is>
      </c>
      <c r="M39" s="3" t="n"/>
    </row>
    <row r="40" ht="15.5" customHeight="1">
      <c r="A40" s="3" t="n"/>
      <c r="B40" s="10" t="inlineStr">
        <is>
          <t>Temporary TimeToHire (Days) YTD</t>
        </is>
      </c>
      <c r="C40" s="14">
        <f>IF('(Culinary_CRI)'!$AD$8="","",'(Culinary_CRI)'!$AD$8)</f>
        <v/>
      </c>
      <c r="D40" s="14">
        <f>IF('(Food_GTM)'!$AD$8="","",'(Food_GTM)'!$AD$8)</f>
        <v/>
      </c>
      <c r="E40" s="14">
        <f>IF('(GCG_GTM)'!$AD$8="","",'(GCG_GTM)'!$AD$8)</f>
        <v/>
      </c>
      <c r="F40" s="14">
        <f>IF('(Ground_HND)'!$AD$8="","",'(Ground_HND)'!$AD$8)</f>
        <v/>
      </c>
      <c r="G40" s="14">
        <f>IF('(GCG_HND)'!$AD$8="","",'(GCG_HND)'!$AD$8)</f>
        <v/>
      </c>
      <c r="H40" s="14">
        <f>IF('(Concess_PAN)'!$AD$8="","",'(Concess_PAN)'!$AD$8)</f>
        <v/>
      </c>
      <c r="I40" s="14">
        <f>IF('(GCG_SLV)'!$AD$8="","",'(GCG_SLV)'!$AD$8)</f>
        <v/>
      </c>
      <c r="J40" s="14">
        <f>IF('(Food_SLV)'!$AD$8="","",'(Food_SLV)'!$AD$8)</f>
        <v/>
      </c>
      <c r="K40" s="33">
        <f>IFERROR(AVERAGE(C40:J40),"")</f>
        <v/>
      </c>
      <c r="L40" s="4" t="inlineStr">
        <is>
          <t>Avg</t>
        </is>
      </c>
      <c r="M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7" t="n"/>
      <c r="I41" s="37" t="n"/>
      <c r="J41" s="37" t="n"/>
      <c r="K41" s="38">
        <f>IFERROR(AVERAGE(C41:J41),"")</f>
        <v/>
      </c>
      <c r="L41" s="4" t="inlineStr">
        <is>
          <t>Avg</t>
        </is>
      </c>
      <c r="M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0" t="n"/>
      <c r="I42" s="30" t="n"/>
      <c r="J42" s="30" t="n"/>
      <c r="K42" s="31">
        <f>IF(COUNT(C42:J42)=0,"",SUM(C42:J42))</f>
        <v/>
      </c>
      <c r="L42" s="4" t="inlineStr">
        <is>
          <t>∑</t>
        </is>
      </c>
      <c r="M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2" t="n"/>
      <c r="I43" s="32" t="n"/>
      <c r="J43" s="32" t="n"/>
      <c r="K43" s="33">
        <f>IF(COUNT(C43:J43)=0,"",SUM(C43:J43))</f>
        <v/>
      </c>
      <c r="L43" s="4" t="inlineStr">
        <is>
          <t>∑</t>
        </is>
      </c>
      <c r="M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2" t="n"/>
      <c r="I44" s="32" t="n"/>
      <c r="J44" s="32" t="n"/>
      <c r="K44" s="33">
        <f>IF(COUNT(C44:J44)=0,"",SUM(C44:J44))</f>
        <v/>
      </c>
      <c r="L44" s="4" t="inlineStr">
        <is>
          <t>∑</t>
        </is>
      </c>
      <c r="M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14">
        <f>IF(COUNT(J43:J44)=0,"",SUM(J43:J44))</f>
        <v/>
      </c>
      <c r="K45" s="33">
        <f>IF(COUNT(K43:K44)=0,"",SUM(K43:K44))</f>
        <v/>
      </c>
      <c r="L45" s="4" t="inlineStr">
        <is>
          <t>ϝ</t>
        </is>
      </c>
      <c r="M45" s="3" t="n"/>
    </row>
    <row r="46" ht="15.5" customHeight="1">
      <c r="A46" s="3" t="n"/>
      <c r="B46" s="13" t="inlineStr">
        <is>
          <t>Absent Rate Non-Certified (%)</t>
        </is>
      </c>
      <c r="C46" s="19">
        <f>IF('(Culinary_CRI)'!$G$8="","",'(Culinary_CRI)'!$G$8)</f>
        <v/>
      </c>
      <c r="D46" s="19">
        <f>IF('(Food_GTM)'!$G$8="","",'(Food_GTM)'!$G$8)</f>
        <v/>
      </c>
      <c r="E46" s="19">
        <f>IF('(GCG_GTM)'!$G$8="","",'(GCG_GTM)'!$G$8)</f>
        <v/>
      </c>
      <c r="F46" s="19">
        <f>IF('(Ground_HND)'!$G$8="","",'(Ground_HND)'!$G$8)</f>
        <v/>
      </c>
      <c r="G46" s="19">
        <f>IF('(GCG_HND)'!$G$8="","",'(GCG_HND)'!$G$8)</f>
        <v/>
      </c>
      <c r="H46" s="19">
        <f>IF('(Concess_PAN)'!$G$8="","",'(Concess_PAN)'!$G$8)</f>
        <v/>
      </c>
      <c r="I46" s="19">
        <f>IF('(GCG_SLV)'!$G$8="","",'(GCG_SLV)'!$G$8)</f>
        <v/>
      </c>
      <c r="J46" s="19">
        <f>IF('(Food_SLV)'!$G$8="","",'(Food_SLV)'!$G$8)</f>
        <v/>
      </c>
      <c r="K46" s="36">
        <f t="array" ref="K46">IF(COUNT(C46:J46)=0,"",IFERROR(SUMPRODUCT(IFERROR(C46:J46*((C3:J3)+(C4:J4)),0))/SUMPRODUCT(IFERROR(ISNUMBER(C46:J46)*((C3:J3)+(C4:J4)),0)),""))</f>
        <v/>
      </c>
      <c r="L46" s="4" t="inlineStr">
        <is>
          <t>Weighted</t>
        </is>
      </c>
      <c r="M46" s="3" t="n"/>
    </row>
    <row r="47" ht="15.5" customHeight="1">
      <c r="A47" s="3" t="n"/>
      <c r="B47" s="13" t="inlineStr">
        <is>
          <t>Absent Rate Certified (%)</t>
        </is>
      </c>
      <c r="C47" s="19">
        <f>IF('(Culinary_CRI)'!$O$8="","",'(Culinary_CRI)'!$O$8)</f>
        <v/>
      </c>
      <c r="D47" s="19">
        <f>IF('(Food_GTM)'!$O$8="","",'(Food_GTM)'!$O$8)</f>
        <v/>
      </c>
      <c r="E47" s="19">
        <f>IF('(GCG_GTM)'!$O$8="","",'(GCG_GTM)'!$O$8)</f>
        <v/>
      </c>
      <c r="F47" s="19">
        <f>IF('(Ground_HND)'!$O$8="","",'(Ground_HND)'!$O$8)</f>
        <v/>
      </c>
      <c r="G47" s="19">
        <f>IF('(GCG_HND)'!$O$8="","",'(GCG_HND)'!$O$8)</f>
        <v/>
      </c>
      <c r="H47" s="19">
        <f>IF('(Concess_PAN)'!$O$8="","",'(Concess_PAN)'!$O$8)</f>
        <v/>
      </c>
      <c r="I47" s="19">
        <f>IF('(GCG_SLV)'!$O$8="","",'(GCG_SLV)'!$O$8)</f>
        <v/>
      </c>
      <c r="J47" s="19">
        <f>IF('(Food_SLV)'!$O$8="","",'(Food_SLV)'!$O$8)</f>
        <v/>
      </c>
      <c r="K47" s="36">
        <f t="array" ref="K47">IF(COUNT(C47:J47)=0,"",IFERROR(SUMPRODUCT(IFERROR(C47:J47*((C3:J3)+(C4:J4)),0))/SUMPRODUCT(IFERROR(ISNUMBER(C47:J47)*((C3:J3)+(C4:J4)),0)),""))</f>
        <v/>
      </c>
      <c r="L47" s="4" t="inlineStr">
        <is>
          <t>Weighted</t>
        </is>
      </c>
      <c r="M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19">
        <f>IF(COUNT(J46:J47)=0,"",SUM(J46:J47))</f>
        <v/>
      </c>
      <c r="K48" s="36">
        <f>IF(COUNT(K46:K47)=0,"",SUM(K46:K47))</f>
        <v/>
      </c>
      <c r="L48" s="4" t="inlineStr">
        <is>
          <t>Weighted</t>
        </is>
      </c>
      <c r="M48" s="3" t="n"/>
    </row>
    <row r="49" ht="15.5" customHeight="1">
      <c r="A49" s="3" t="n"/>
      <c r="B49" s="18" t="inlineStr">
        <is>
          <t>Weight factor</t>
        </is>
      </c>
      <c r="C49" s="19">
        <f>IFERROR(C5/$K5,"")</f>
        <v/>
      </c>
      <c r="D49" s="19">
        <f>IFERROR(D5/$K5,"")</f>
        <v/>
      </c>
      <c r="E49" s="19">
        <f>IFERROR(E5/$K5,"")</f>
        <v/>
      </c>
      <c r="F49" s="19">
        <f>IFERROR(F5/$K5,"")</f>
        <v/>
      </c>
      <c r="G49" s="19">
        <f>IFERROR(G5/$K5,"")</f>
        <v/>
      </c>
      <c r="H49" s="19">
        <f>IFERROR(H5/$K5,"")</f>
        <v/>
      </c>
      <c r="I49" s="19">
        <f>IFERROR(I5/$K5,"")</f>
        <v/>
      </c>
      <c r="J49" s="19">
        <f>IFERROR(J5/$K5,"")</f>
        <v/>
      </c>
      <c r="K49" s="36">
        <f>IF(COUNT(C49:J49)=0,"",SUM(C49:J49))</f>
        <v/>
      </c>
      <c r="L49" s="4" t="inlineStr">
        <is>
          <t>Weight Factor</t>
        </is>
      </c>
      <c r="M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2" t="n"/>
      <c r="I50" s="32" t="n"/>
      <c r="J50" s="32" t="n"/>
      <c r="K50" s="33">
        <f>IF(COUNT(C50:J50)=0,"",SUM(C50:J50))</f>
        <v/>
      </c>
      <c r="L50" s="4" t="inlineStr">
        <is>
          <t>∑</t>
        </is>
      </c>
      <c r="M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2" t="n"/>
      <c r="I51" s="32" t="n"/>
      <c r="J51" s="32" t="n"/>
      <c r="K51" s="33">
        <f>IF(COUNT(C51:J51)=0,"",SUM(C51:J51))</f>
        <v/>
      </c>
      <c r="L51" s="4" t="inlineStr">
        <is>
          <t>∑</t>
        </is>
      </c>
      <c r="M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2" t="n"/>
      <c r="I52" s="32" t="n"/>
      <c r="J52" s="32" t="n"/>
      <c r="K52" s="33">
        <f>IF(COUNT(C52:J52)=0,"",SUM(C52:J52))</f>
        <v/>
      </c>
      <c r="L52" s="4" t="inlineStr">
        <is>
          <t>∑</t>
        </is>
      </c>
      <c r="M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2" t="n"/>
      <c r="I53" s="32" t="n"/>
      <c r="J53" s="32" t="n"/>
      <c r="K53" s="33">
        <f>IF(COUNT(C53:J53)=0,"",SUM(C53:J53))</f>
        <v/>
      </c>
      <c r="L53" s="4" t="inlineStr">
        <is>
          <t>∑</t>
        </is>
      </c>
      <c r="M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2" t="n"/>
      <c r="I54" s="32" t="n"/>
      <c r="J54" s="32" t="n"/>
      <c r="K54" s="33">
        <f>IF(COUNT(C54:J54)=0,"",SUM(C54:J54))</f>
        <v/>
      </c>
      <c r="L54" s="4" t="inlineStr">
        <is>
          <t>∑</t>
        </is>
      </c>
      <c r="M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14">
        <f>IF(COUNT(J50:J54)=0,"",SUM(J50:J54))</f>
        <v/>
      </c>
      <c r="K55" s="33">
        <f>IF(COUNT(K50:K54)=0,"",SUM(K50:K54))</f>
        <v/>
      </c>
      <c r="L55" s="4" t="inlineStr">
        <is>
          <t>ϝ</t>
        </is>
      </c>
      <c r="M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2" t="n"/>
      <c r="I56" s="32" t="n"/>
      <c r="J56" s="32" t="n"/>
      <c r="K56" s="33">
        <f>IF(COUNT(C56:J56)=0,"",SUM(C56:J56))</f>
        <v/>
      </c>
      <c r="L56" s="4" t="inlineStr">
        <is>
          <t>∑</t>
        </is>
      </c>
      <c r="M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2" t="n"/>
      <c r="I57" s="32" t="n"/>
      <c r="J57" s="32" t="n"/>
      <c r="K57" s="33">
        <f>IF(COUNT(C57:J57)=0,"",SUM(C57:J57))</f>
        <v/>
      </c>
      <c r="L57" s="4" t="inlineStr">
        <is>
          <t>∑</t>
        </is>
      </c>
      <c r="M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2" t="n"/>
      <c r="I58" s="32" t="n"/>
      <c r="J58" s="32" t="n"/>
      <c r="K58" s="33">
        <f>IF(COUNT(C58:J58)=0,"",SUM(C58:J58))</f>
        <v/>
      </c>
      <c r="L58" s="4" t="inlineStr">
        <is>
          <t>∑</t>
        </is>
      </c>
      <c r="M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2" t="n"/>
      <c r="I59" s="32" t="n"/>
      <c r="J59" s="32" t="n"/>
      <c r="K59" s="33">
        <f>IF(COUNT(C59:J59)=0,"",SUM(C59:J59))</f>
        <v/>
      </c>
      <c r="L59" s="4" t="inlineStr">
        <is>
          <t>∑</t>
        </is>
      </c>
      <c r="M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19">
        <f>IFERROR(J50/J$55,"")</f>
        <v/>
      </c>
      <c r="K60" s="36">
        <f>IFERROR(K50/K$55,"")</f>
        <v/>
      </c>
      <c r="L60" s="4" t="inlineStr">
        <is>
          <t>ϝ</t>
        </is>
      </c>
      <c r="M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19">
        <f>IFERROR(J51/J$55,"")</f>
        <v/>
      </c>
      <c r="K61" s="36">
        <f>IFERROR(K51/K$55,"")</f>
        <v/>
      </c>
      <c r="L61" s="4" t="inlineStr">
        <is>
          <t>ϝ</t>
        </is>
      </c>
      <c r="M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19">
        <f>IFERROR(J52/J$55,"")</f>
        <v/>
      </c>
      <c r="K62" s="36">
        <f>IFERROR(K52/K$55,"")</f>
        <v/>
      </c>
      <c r="L62" s="4" t="inlineStr">
        <is>
          <t>ϝ</t>
        </is>
      </c>
      <c r="M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19">
        <f>IFERROR(J53/J$55,"")</f>
        <v/>
      </c>
      <c r="K63" s="36">
        <f>IFERROR(K53/K$55,"")</f>
        <v/>
      </c>
      <c r="L63" s="4" t="inlineStr">
        <is>
          <t>ϝ</t>
        </is>
      </c>
      <c r="M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19">
        <f>IFERROR(J54/J$55,"")</f>
        <v/>
      </c>
      <c r="K64" s="36">
        <f>IFERROR(K54/K$55,"")</f>
        <v/>
      </c>
      <c r="L64" s="4" t="inlineStr">
        <is>
          <t>ϝ</t>
        </is>
      </c>
      <c r="M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19">
        <f>IFERROR(J56/J5,"")</f>
        <v/>
      </c>
      <c r="K65" s="36">
        <f>IFERROR(K56/K5,"")</f>
        <v/>
      </c>
      <c r="L65" s="4" t="inlineStr">
        <is>
          <t>ϝ</t>
        </is>
      </c>
      <c r="M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16">
        <f>IFERROR(J55/J5,"")</f>
        <v/>
      </c>
      <c r="K66" s="34">
        <f>IFERROR(K55/K5,"")</f>
        <v/>
      </c>
      <c r="L66" s="4" t="inlineStr">
        <is>
          <t>ϝ</t>
        </is>
      </c>
      <c r="M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16">
        <f>IFERROR(J55/J56,"")</f>
        <v/>
      </c>
      <c r="K67" s="34">
        <f>IFERROR(K55/K56,"")</f>
        <v/>
      </c>
      <c r="L67" s="4" t="inlineStr">
        <is>
          <t>ϝ</t>
        </is>
      </c>
      <c r="M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16">
        <f>IF(COUNT(J58:J59)=0,"",IFERROR((N(J58)+N(J59))/J5,""))</f>
        <v/>
      </c>
      <c r="K68" s="34">
        <f>IF(COUNT(K58:K59)=0,"",IFERROR((N(K58)+N(K59))/K5,""))</f>
        <v/>
      </c>
      <c r="L68" s="4" t="inlineStr">
        <is>
          <t>ϝ</t>
        </is>
      </c>
      <c r="M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16">
        <f>IF(COUNT(J58:J59)=0,"",IFERROR((N(J58)+N(J59))/J56,""))</f>
        <v/>
      </c>
      <c r="K69" s="34">
        <f>IF(COUNT(K58:K59)=0,"",IFERROR((N(K58)+N(K59))/K56,""))</f>
        <v/>
      </c>
      <c r="L69" s="4" t="inlineStr">
        <is>
          <t>ϝ</t>
        </is>
      </c>
      <c r="M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14">
        <f>COUNTBLANK(J3:J4)+COUNTBLANK(J6:J10)+COUNTBLANK(J12:J13)+COUNTBLANK(J18:J20)+COUNTBLANK(J22:J23)+COUNTBLANK(J27:J28)+COUNTBLANK(J34:J35)+COUNTBLANK(J39:J44)+COUNTBLANK(J46:J47)+COUNTBLANK(J50:J54)+COUNTBLANK(J56:J59)</f>
        <v/>
      </c>
      <c r="K70" s="33">
        <f>SUM(C70:J70)</f>
        <v/>
      </c>
      <c r="L70" s="39" t="inlineStr">
        <is>
          <t>∑</t>
        </is>
      </c>
      <c r="M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26953125" customWidth="1" min="10" max="10"/>
    <col width="15.7265625" customWidth="1" min="11" max="11"/>
    <col width="21" customWidth="1" min="12" max="12"/>
    <col width="11.81640625" customWidth="1" min="13" max="13"/>
  </cols>
  <sheetData>
    <row r="1" ht="30" customHeight="1">
      <c r="A1" s="1" t="n"/>
      <c r="B1" s="2" t="inlineStr">
        <is>
          <t>GCG CENTRAL AMERICA</t>
        </is>
      </c>
      <c r="C1" s="26" t="inlineStr">
        <is>
          <t>1171</t>
        </is>
      </c>
      <c r="D1" s="26" t="inlineStr">
        <is>
          <t>1162</t>
        </is>
      </c>
      <c r="E1" s="26" t="inlineStr">
        <is>
          <t>1076</t>
        </is>
      </c>
      <c r="F1" s="26" t="inlineStr">
        <is>
          <t>1170</t>
        </is>
      </c>
      <c r="G1" s="26" t="inlineStr">
        <is>
          <t>1078</t>
        </is>
      </c>
      <c r="H1" s="26" t="inlineStr">
        <is>
          <t>1172</t>
        </is>
      </c>
      <c r="I1" s="26" t="inlineStr">
        <is>
          <t>1074</t>
        </is>
      </c>
      <c r="J1" s="26" t="inlineStr">
        <is>
          <t>1161</t>
        </is>
      </c>
      <c r="K1" s="3" t="n"/>
      <c r="L1" s="3" t="n"/>
      <c r="M1" s="3" t="n"/>
    </row>
    <row r="2" ht="72" customHeight="1">
      <c r="A2" s="4">
        <f>VALUE(TEXT(EDATE(DATE(LEFT(FEB!A2,4),RIGHT(FEB!A2,2),1),1),"yyyymm"))</f>
        <v/>
      </c>
      <c r="B2" s="5" t="inlineStr">
        <is>
          <t>MAR</t>
        </is>
      </c>
      <c r="C2" s="27" t="inlineStr">
        <is>
          <t>GCG Culinary Costa Rica</t>
        </is>
      </c>
      <c r="D2" s="27" t="inlineStr">
        <is>
          <t>GCG Food Guatemala</t>
        </is>
      </c>
      <c r="E2" s="27" t="inlineStr">
        <is>
          <t>GCG Guatemala</t>
        </is>
      </c>
      <c r="F2" s="27" t="inlineStr">
        <is>
          <t>GCG Aviation Ground Honduras</t>
        </is>
      </c>
      <c r="G2" s="27" t="inlineStr">
        <is>
          <t>GCG Honduras</t>
        </is>
      </c>
      <c r="H2" s="27" t="inlineStr">
        <is>
          <t>GCG Concessions Panama</t>
        </is>
      </c>
      <c r="I2" s="27" t="inlineStr">
        <is>
          <t>GCG El Salvador</t>
        </is>
      </c>
      <c r="J2" s="27" t="inlineStr">
        <is>
          <t>GCG Food El Salvador</t>
        </is>
      </c>
      <c r="K2" s="28" t="inlineStr">
        <is>
          <t>TOTAL</t>
        </is>
      </c>
      <c r="L2" s="4" t="inlineStr">
        <is>
          <t>Total by Division</t>
        </is>
      </c>
      <c r="M2" s="29">
        <f>N(M11)&lt;&gt;0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0" t="n"/>
      <c r="I3" s="30" t="n"/>
      <c r="J3" s="30" t="n"/>
      <c r="K3" s="31">
        <f>IF(COUNT(C3:J3)=0,"",SUM(C3:J3))</f>
        <v/>
      </c>
      <c r="L3" s="4" t="inlineStr">
        <is>
          <t>∑</t>
        </is>
      </c>
      <c r="M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0" t="n"/>
      <c r="I4" s="30" t="n"/>
      <c r="J4" s="30" t="n"/>
      <c r="K4" s="31">
        <f>IF(COUNT(C4:J4)=0,"",SUM(C4:J4))</f>
        <v/>
      </c>
      <c r="L4" s="4" t="inlineStr">
        <is>
          <t>∑</t>
        </is>
      </c>
      <c r="M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11">
        <f>IF(COUNT(J3:J4)=0,"",SUM(J3:J4))</f>
        <v/>
      </c>
      <c r="K5" s="31">
        <f>IF(COUNT(K3:K4)=0,"",SUM(K3:K4))</f>
        <v/>
      </c>
      <c r="L5" s="4" t="inlineStr">
        <is>
          <t>ϝ</t>
        </is>
      </c>
      <c r="M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0" t="n"/>
      <c r="I6" s="30" t="n"/>
      <c r="J6" s="30" t="n"/>
      <c r="K6" s="31">
        <f>IF(COUNT(C6:J6)=0,"",SUM(C6:J6))</f>
        <v/>
      </c>
      <c r="L6" s="4" t="inlineStr">
        <is>
          <t>∑</t>
        </is>
      </c>
      <c r="M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0" t="n"/>
      <c r="I7" s="30" t="n"/>
      <c r="J7" s="30" t="n"/>
      <c r="K7" s="31">
        <f>IF(COUNT(C7:J7)=0,"",SUM(C7:J7))</f>
        <v/>
      </c>
      <c r="L7" s="4" t="inlineStr">
        <is>
          <t>∑</t>
        </is>
      </c>
      <c r="M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0" t="n"/>
      <c r="I8" s="30" t="n"/>
      <c r="J8" s="30" t="n"/>
      <c r="K8" s="31">
        <f>IF(COUNT(C8:J8)=0,"",SUM(C8:J8))</f>
        <v/>
      </c>
      <c r="L8" s="4" t="inlineStr">
        <is>
          <t>∑</t>
        </is>
      </c>
      <c r="M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0" t="n"/>
      <c r="I9" s="30" t="n"/>
      <c r="J9" s="30" t="n"/>
      <c r="K9" s="31">
        <f>IF(COUNT(C9:J9)=0,"",SUM(C9:J9))</f>
        <v/>
      </c>
      <c r="L9" s="4" t="inlineStr">
        <is>
          <t>∑</t>
        </is>
      </c>
      <c r="M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2" t="n"/>
      <c r="I10" s="32" t="n"/>
      <c r="J10" s="32" t="n"/>
      <c r="K10" s="33">
        <f>IFERROR(AVERAGE(C10:J10),"")</f>
        <v/>
      </c>
      <c r="L10" s="4" t="inlineStr">
        <is>
          <t>Avg</t>
        </is>
      </c>
      <c r="M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16">
        <f>IF(COUNT(J6:J9)=0,"",N(J6)+N(J7)*0.75+N(J8)*0.5+N(J9)*0.25)</f>
        <v/>
      </c>
      <c r="K11" s="34">
        <f>IF(COUNT(K6:K9)=0,"",N(K6)+N(K7)*0.75+N(K8)*0.5+N(K9)*0.25)</f>
        <v/>
      </c>
      <c r="L11" s="4" t="inlineStr">
        <is>
          <t>FTE</t>
        </is>
      </c>
      <c r="M11" s="35">
        <f>IF(COUNT(K5:K9)=0,"",N(K6)+N(K7)+N(K8)+N(K9)-N(K5))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0" t="n"/>
      <c r="I12" s="30" t="n"/>
      <c r="J12" s="30" t="n"/>
      <c r="K12" s="31">
        <f>IF(COUNT(C12:J12)=0,"",SUM(C12:J12))</f>
        <v/>
      </c>
      <c r="L12" s="4" t="inlineStr">
        <is>
          <t>∑</t>
        </is>
      </c>
      <c r="M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2" t="n"/>
      <c r="I13" s="32" t="n"/>
      <c r="J13" s="32" t="n"/>
      <c r="K13" s="33">
        <f>IF(COUNT(C13:J13)=0,"",SUM(C13:J13))</f>
        <v/>
      </c>
      <c r="L13" s="4" t="inlineStr">
        <is>
          <t>∑</t>
        </is>
      </c>
      <c r="M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16">
        <f>IFERROR(J13/J10,"")</f>
        <v/>
      </c>
      <c r="K14" s="34">
        <f>IF(COUNT(C14:J14)=0,"",SUM(C14:J14))</f>
        <v/>
      </c>
      <c r="L14" s="4" t="inlineStr">
        <is>
          <t>FTE</t>
        </is>
      </c>
      <c r="M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11">
        <f>IF(COUNT(J5,J12)=0,"",SUM(J5,J12))</f>
        <v/>
      </c>
      <c r="K15" s="31">
        <f>IF(COUNT(K5,K12)=0,"",SUM(K5,K12))</f>
        <v/>
      </c>
      <c r="L15" s="4" t="inlineStr">
        <is>
          <t>ϝ</t>
        </is>
      </c>
      <c r="M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16">
        <f>IF(COUNT(J11,J14)=0,"",SUM(J11,J14))</f>
        <v/>
      </c>
      <c r="K16" s="34">
        <f>IF(COUNT(K11,K14)=0,"",SUM(K11,K14))</f>
        <v/>
      </c>
      <c r="L16" s="4" t="inlineStr">
        <is>
          <t>FTE</t>
        </is>
      </c>
      <c r="M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19">
        <f>IFERROR(J12/J15,"")</f>
        <v/>
      </c>
      <c r="K17" s="36">
        <f>IFERROR(K12/K15,"")</f>
        <v/>
      </c>
      <c r="L17" s="4" t="inlineStr">
        <is>
          <t>ϝ</t>
        </is>
      </c>
      <c r="M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0" t="n"/>
      <c r="I18" s="30" t="n"/>
      <c r="J18" s="30" t="n"/>
      <c r="K18" s="31">
        <f>IF(COUNT(C18:J18)=0,"",SUM(C18:J18))</f>
        <v/>
      </c>
      <c r="L18" s="4" t="inlineStr">
        <is>
          <t>∑</t>
        </is>
      </c>
      <c r="M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0" t="n"/>
      <c r="I19" s="30" t="n"/>
      <c r="J19" s="30" t="n"/>
      <c r="K19" s="31">
        <f>IF(COUNT(C19:J19)=0,"",SUM(C19:J19))</f>
        <v/>
      </c>
      <c r="L19" s="4" t="inlineStr">
        <is>
          <t>∑</t>
        </is>
      </c>
      <c r="M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0" t="n"/>
      <c r="I20" s="30" t="n"/>
      <c r="J20" s="30" t="n"/>
      <c r="K20" s="31">
        <f>IF(COUNT(C20:J20)=0,"",SUM(C20:J20))</f>
        <v/>
      </c>
      <c r="L20" s="4" t="inlineStr">
        <is>
          <t>∑</t>
        </is>
      </c>
      <c r="M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11">
        <f>IF(COUNT(J19:J20)=0,"",SUM(J19:J20))</f>
        <v/>
      </c>
      <c r="K21" s="31">
        <f>IF(COUNT(K19:K20)=0,"",SUM(K19:K20))</f>
        <v/>
      </c>
      <c r="L21" s="4" t="inlineStr">
        <is>
          <t>ϝ</t>
        </is>
      </c>
      <c r="M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0" t="n"/>
      <c r="I22" s="30" t="n"/>
      <c r="J22" s="30" t="n"/>
      <c r="K22" s="31">
        <f>IF(COUNT(C22:J22)=0,"",SUM(C22:J22))</f>
        <v/>
      </c>
      <c r="L22" s="4" t="inlineStr">
        <is>
          <t>∑</t>
        </is>
      </c>
      <c r="M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0" t="n"/>
      <c r="I23" s="30" t="n"/>
      <c r="J23" s="30" t="n"/>
      <c r="K23" s="31">
        <f>IF(COUNT(C23:J23)=0,"",SUM(C23:J23))</f>
        <v/>
      </c>
      <c r="L23" s="4" t="inlineStr">
        <is>
          <t>∑</t>
        </is>
      </c>
      <c r="M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11">
        <f>IF(COUNT(J22:J23)=0,"",SUM(J22:J23))</f>
        <v/>
      </c>
      <c r="K24" s="31">
        <f>IF(COUNT(K22:K23)=0,"",SUM(K22:K23))</f>
        <v/>
      </c>
      <c r="L24" s="4" t="inlineStr">
        <is>
          <t>ϝ</t>
        </is>
      </c>
      <c r="M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19">
        <f>IF(COUNT(J31,J32)&lt;2,"",IF((J32+J31)=0,"",N(J22)/((J32+J31)/2)))</f>
        <v/>
      </c>
      <c r="K25" s="36">
        <f>IF(COUNT(K31,K32)&lt;2,"",IF((K32+K31)=0,"",N(K22)/((K32+K31)/2)))</f>
        <v/>
      </c>
      <c r="L25" s="4" t="inlineStr">
        <is>
          <t>ϝ</t>
        </is>
      </c>
      <c r="M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19">
        <f>IF(COUNT(J31,J32)&lt;2,"",IF((J32+J31)=0,"",N(J23)/((J32+J31)/2)))</f>
        <v/>
      </c>
      <c r="K26" s="36">
        <f>IF(COUNT(K31,K32)&lt;2,"",IF((K32+K31)=0,"",N(K23)/((K32+K31)/2)))</f>
        <v/>
      </c>
      <c r="L26" s="4" t="inlineStr">
        <is>
          <t>ϝ</t>
        </is>
      </c>
      <c r="M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0" t="n"/>
      <c r="I27" s="30" t="n"/>
      <c r="J27" s="30" t="n"/>
      <c r="K27" s="31">
        <f>IF(COUNT(C27:J27)=0,"",SUM(C27:J27))</f>
        <v/>
      </c>
      <c r="L27" s="4" t="inlineStr">
        <is>
          <t>∑</t>
        </is>
      </c>
      <c r="M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0" t="n"/>
      <c r="I28" s="30" t="n"/>
      <c r="J28" s="30" t="n"/>
      <c r="K28" s="31">
        <f>IF(COUNT(C28:J28)=0,"",SUM(C28:J28))</f>
        <v/>
      </c>
      <c r="L28" s="4" t="inlineStr">
        <is>
          <t>∑</t>
        </is>
      </c>
      <c r="M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19">
        <f>IF(COUNT(J31,J32)&lt;2,"",IF((J32+J31)=0,"",N(J27)/((J32+J31)/2)))</f>
        <v/>
      </c>
      <c r="K29" s="36">
        <f>IF(COUNT(K31,K32)&lt;2,"",IF((K32+K31)=0,"",N(K27)/((K32+K31)/2)))</f>
        <v/>
      </c>
      <c r="L29" s="4" t="inlineStr">
        <is>
          <t>ϝ</t>
        </is>
      </c>
      <c r="M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19">
        <f>IF(COUNT(J31,J32)&lt;2,"",IF((J32+J31)=0,"",N(J28)/((J32+J31)/2)))</f>
        <v/>
      </c>
      <c r="K30" s="36">
        <f>IF(COUNT(K31,K32)&lt;2,"",IF((K32+K31)=0,"",N(K28)/((K32+K31)/2)))</f>
        <v/>
      </c>
      <c r="L30" s="4" t="inlineStr">
        <is>
          <t>ϝ</t>
        </is>
      </c>
      <c r="M30" s="3" t="n"/>
    </row>
    <row r="31" ht="15.5" customHeight="1">
      <c r="A31" s="3" t="n"/>
      <c r="B31" s="10" t="inlineStr">
        <is>
          <t>Headcount last Month</t>
        </is>
      </c>
      <c r="C31" s="11">
        <f>IF(FEB!C5="","",FEB!C5)</f>
        <v/>
      </c>
      <c r="D31" s="11">
        <f>IF(FEB!D5="","",FEB!D5)</f>
        <v/>
      </c>
      <c r="E31" s="11">
        <f>IF(FEB!E5="","",FEB!E5)</f>
        <v/>
      </c>
      <c r="F31" s="11">
        <f>IF(FEB!F5="","",FEB!F5)</f>
        <v/>
      </c>
      <c r="G31" s="11">
        <f>IF(FEB!G5="","",FEB!G5)</f>
        <v/>
      </c>
      <c r="H31" s="11">
        <f>IF(FEB!H5="","",FEB!H5)</f>
        <v/>
      </c>
      <c r="I31" s="11">
        <f>IF(FEB!I5="","",FEB!I5)</f>
        <v/>
      </c>
      <c r="J31" s="11">
        <f>IF(FEB!J5="","",FEB!J5)</f>
        <v/>
      </c>
      <c r="K31" s="31">
        <f>IF(COUNT(C31:J31)=0,"",SUM(C31:J31))</f>
        <v/>
      </c>
      <c r="L31" s="4" t="inlineStr">
        <is>
          <t>∑</t>
        </is>
      </c>
      <c r="M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11">
        <f>IF(J5="","",J5)</f>
        <v/>
      </c>
      <c r="K32" s="31">
        <f>IF(COUNT(C32:J32)=0,"",SUM(C32:J32))</f>
        <v/>
      </c>
      <c r="L32" s="4" t="inlineStr">
        <is>
          <t>∑</t>
        </is>
      </c>
      <c r="M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19">
        <f>IF(COUNT(J31,J32)&lt;2,"",IF((J32+J31)=0,"",N(J24)/((J32+J31)/2)))</f>
        <v/>
      </c>
      <c r="K33" s="36">
        <f>IF(COUNT(K31,K32)&lt;2,"",IF((K32+K31)=0,"",N(K24)/((K32+K31)/2)))</f>
        <v/>
      </c>
      <c r="L33" s="4" t="inlineStr">
        <is>
          <t>ϝ</t>
        </is>
      </c>
      <c r="M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0" t="n"/>
      <c r="I34" s="30" t="n"/>
      <c r="J34" s="30" t="n"/>
      <c r="K34" s="31">
        <f>IF(COUNT(C34:J34)=0,"",SUM(C34:J34))</f>
        <v/>
      </c>
      <c r="L34" s="4" t="inlineStr">
        <is>
          <t>∑</t>
        </is>
      </c>
      <c r="M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0" t="n"/>
      <c r="I35" s="30" t="n"/>
      <c r="J35" s="30" t="n"/>
      <c r="K35" s="31">
        <f>IF(COUNT(C35:J35)=0,"",SUM(C35:J35))</f>
        <v/>
      </c>
      <c r="L35" s="4" t="inlineStr">
        <is>
          <t>∑</t>
        </is>
      </c>
      <c r="M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11">
        <f>IF(COUNT(J34:J35)=0,"",SUM(J34:J35))</f>
        <v/>
      </c>
      <c r="K36" s="31">
        <f>IF(COUNT(K34:K35)=0,"",SUM(K34:K35))</f>
        <v/>
      </c>
      <c r="L36" s="4" t="inlineStr">
        <is>
          <t>ϝ</t>
        </is>
      </c>
      <c r="M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11">
        <f>IF(COUNT(J5,J36)=0,"",N(J5)+N(J36))</f>
        <v/>
      </c>
      <c r="K37" s="31">
        <f>IF(COUNT(K5,K36)=0,"",N(K5)+N(K36))</f>
        <v/>
      </c>
      <c r="L37" s="4" t="inlineStr">
        <is>
          <t>ϝ</t>
        </is>
      </c>
      <c r="M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19">
        <f>IFERROR(J36/J37,"")</f>
        <v/>
      </c>
      <c r="K38" s="36">
        <f>IFERROR(K36/K37,"")</f>
        <v/>
      </c>
      <c r="L38" s="4" t="inlineStr">
        <is>
          <t>ϝ</t>
        </is>
      </c>
      <c r="M38" s="3" t="n"/>
    </row>
    <row r="39" ht="15.5" customHeight="1">
      <c r="A39" s="3" t="n"/>
      <c r="B39" s="10" t="inlineStr">
        <is>
          <t>Permanent TimeToHire (Days) YTD</t>
        </is>
      </c>
      <c r="C39" s="14">
        <f>IF('(Culinary_CRI)'!$AB$9="","",'(Culinary_CRI)'!$AB$9)</f>
        <v/>
      </c>
      <c r="D39" s="14">
        <f>IF('(Food_GTM)'!$AB$9="","",'(Food_GTM)'!$AB$9)</f>
        <v/>
      </c>
      <c r="E39" s="14">
        <f>IF('(GCG_GTM)'!$AB$9="","",'(GCG_GTM)'!$AB$9)</f>
        <v/>
      </c>
      <c r="F39" s="14">
        <f>IF('(Ground_HND)'!$AB$9="","",'(Ground_HND)'!$AB$9)</f>
        <v/>
      </c>
      <c r="G39" s="14">
        <f>IF('(GCG_HND)'!$AB$9="","",'(GCG_HND)'!$AB$9)</f>
        <v/>
      </c>
      <c r="H39" s="14">
        <f>IF('(Concess_PAN)'!$AB$9="","",'(Concess_PAN)'!$AB$9)</f>
        <v/>
      </c>
      <c r="I39" s="14">
        <f>IF('(GCG_SLV)'!$AB$9="","",'(GCG_SLV)'!$AB$9)</f>
        <v/>
      </c>
      <c r="J39" s="14">
        <f>IF('(Food_SLV)'!$AB$9="","",'(Food_SLV)'!$AB$9)</f>
        <v/>
      </c>
      <c r="K39" s="33">
        <f>IFERROR(AVERAGE(C39:J39),"")</f>
        <v/>
      </c>
      <c r="L39" s="4" t="inlineStr">
        <is>
          <t>Avg</t>
        </is>
      </c>
      <c r="M39" s="3" t="n"/>
    </row>
    <row r="40" ht="15.5" customHeight="1">
      <c r="A40" s="3" t="n"/>
      <c r="B40" s="10" t="inlineStr">
        <is>
          <t>Temporary TimeToHire (Days) YTD</t>
        </is>
      </c>
      <c r="C40" s="14">
        <f>IF('(Culinary_CRI)'!$AD$9="","",'(Culinary_CRI)'!$AD$9)</f>
        <v/>
      </c>
      <c r="D40" s="14">
        <f>IF('(Food_GTM)'!$AD$9="","",'(Food_GTM)'!$AD$9)</f>
        <v/>
      </c>
      <c r="E40" s="14">
        <f>IF('(GCG_GTM)'!$AD$9="","",'(GCG_GTM)'!$AD$9)</f>
        <v/>
      </c>
      <c r="F40" s="14">
        <f>IF('(Ground_HND)'!$AD$9="","",'(Ground_HND)'!$AD$9)</f>
        <v/>
      </c>
      <c r="G40" s="14">
        <f>IF('(GCG_HND)'!$AD$9="","",'(GCG_HND)'!$AD$9)</f>
        <v/>
      </c>
      <c r="H40" s="14">
        <f>IF('(Concess_PAN)'!$AD$9="","",'(Concess_PAN)'!$AD$9)</f>
        <v/>
      </c>
      <c r="I40" s="14">
        <f>IF('(GCG_SLV)'!$AD$9="","",'(GCG_SLV)'!$AD$9)</f>
        <v/>
      </c>
      <c r="J40" s="14">
        <f>IF('(Food_SLV)'!$AD$9="","",'(Food_SLV)'!$AD$9)</f>
        <v/>
      </c>
      <c r="K40" s="33">
        <f>IFERROR(AVERAGE(C40:J40),"")</f>
        <v/>
      </c>
      <c r="L40" s="4" t="inlineStr">
        <is>
          <t>Avg</t>
        </is>
      </c>
      <c r="M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7" t="n"/>
      <c r="I41" s="37" t="n"/>
      <c r="J41" s="37" t="n"/>
      <c r="K41" s="38">
        <f>IFERROR(AVERAGE(C41:J41),"")</f>
        <v/>
      </c>
      <c r="L41" s="4" t="inlineStr">
        <is>
          <t>Avg</t>
        </is>
      </c>
      <c r="M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0" t="n"/>
      <c r="I42" s="30" t="n"/>
      <c r="J42" s="30" t="n"/>
      <c r="K42" s="31">
        <f>IF(COUNT(C42:J42)=0,"",SUM(C42:J42))</f>
        <v/>
      </c>
      <c r="L42" s="4" t="inlineStr">
        <is>
          <t>∑</t>
        </is>
      </c>
      <c r="M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2" t="n"/>
      <c r="I43" s="32" t="n"/>
      <c r="J43" s="32" t="n"/>
      <c r="K43" s="33">
        <f>IF(COUNT(C43:J43)=0,"",SUM(C43:J43))</f>
        <v/>
      </c>
      <c r="L43" s="4" t="inlineStr">
        <is>
          <t>∑</t>
        </is>
      </c>
      <c r="M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2" t="n"/>
      <c r="I44" s="32" t="n"/>
      <c r="J44" s="32" t="n"/>
      <c r="K44" s="33">
        <f>IF(COUNT(C44:J44)=0,"",SUM(C44:J44))</f>
        <v/>
      </c>
      <c r="L44" s="4" t="inlineStr">
        <is>
          <t>∑</t>
        </is>
      </c>
      <c r="M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14">
        <f>IF(COUNT(J43:J44)=0,"",SUM(J43:J44))</f>
        <v/>
      </c>
      <c r="K45" s="33">
        <f>IF(COUNT(K43:K44)=0,"",SUM(K43:K44))</f>
        <v/>
      </c>
      <c r="L45" s="4" t="inlineStr">
        <is>
          <t>ϝ</t>
        </is>
      </c>
      <c r="M45" s="3" t="n"/>
    </row>
    <row r="46" ht="15.5" customHeight="1">
      <c r="A46" s="3" t="n"/>
      <c r="B46" s="13" t="inlineStr">
        <is>
          <t>Absent Rate Non-Certified (%)</t>
        </is>
      </c>
      <c r="C46" s="19">
        <f>IF('(Culinary_CRI)'!$G$9="","",'(Culinary_CRI)'!$G$9)</f>
        <v/>
      </c>
      <c r="D46" s="19">
        <f>IF('(Food_GTM)'!$G$9="","",'(Food_GTM)'!$G$9)</f>
        <v/>
      </c>
      <c r="E46" s="19">
        <f>IF('(GCG_GTM)'!$G$9="","",'(GCG_GTM)'!$G$9)</f>
        <v/>
      </c>
      <c r="F46" s="19">
        <f>IF('(Ground_HND)'!$G$9="","",'(Ground_HND)'!$G$9)</f>
        <v/>
      </c>
      <c r="G46" s="19">
        <f>IF('(GCG_HND)'!$G$9="","",'(GCG_HND)'!$G$9)</f>
        <v/>
      </c>
      <c r="H46" s="19">
        <f>IF('(Concess_PAN)'!$G$9="","",'(Concess_PAN)'!$G$9)</f>
        <v/>
      </c>
      <c r="I46" s="19">
        <f>IF('(GCG_SLV)'!$G$9="","",'(GCG_SLV)'!$G$9)</f>
        <v/>
      </c>
      <c r="J46" s="19">
        <f>IF('(Food_SLV)'!$G$9="","",'(Food_SLV)'!$G$9)</f>
        <v/>
      </c>
      <c r="K46" s="36">
        <f t="array" ref="K46">IF(COUNT(C46:J46)=0,"",IFERROR(SUMPRODUCT(IFERROR(C46:J46*((C3:J3)+(C4:J4)),0))/SUMPRODUCT(IFERROR(ISNUMBER(C46:J46)*((C3:J3)+(C4:J4)),0)),""))</f>
        <v/>
      </c>
      <c r="L46" s="4" t="inlineStr">
        <is>
          <t>Weighted</t>
        </is>
      </c>
      <c r="M46" s="3" t="n"/>
    </row>
    <row r="47" ht="15.5" customHeight="1">
      <c r="A47" s="3" t="n"/>
      <c r="B47" s="13" t="inlineStr">
        <is>
          <t>Absent Rate Certified (%)</t>
        </is>
      </c>
      <c r="C47" s="19">
        <f>IF('(Culinary_CRI)'!$O$9="","",'(Culinary_CRI)'!$O$9)</f>
        <v/>
      </c>
      <c r="D47" s="19">
        <f>IF('(Food_GTM)'!$O$9="","",'(Food_GTM)'!$O$9)</f>
        <v/>
      </c>
      <c r="E47" s="19">
        <f>IF('(GCG_GTM)'!$O$9="","",'(GCG_GTM)'!$O$9)</f>
        <v/>
      </c>
      <c r="F47" s="19">
        <f>IF('(Ground_HND)'!$O$9="","",'(Ground_HND)'!$O$9)</f>
        <v/>
      </c>
      <c r="G47" s="19">
        <f>IF('(GCG_HND)'!$O$9="","",'(GCG_HND)'!$O$9)</f>
        <v/>
      </c>
      <c r="H47" s="19">
        <f>IF('(Concess_PAN)'!$O$9="","",'(Concess_PAN)'!$O$9)</f>
        <v/>
      </c>
      <c r="I47" s="19">
        <f>IF('(GCG_SLV)'!$O$9="","",'(GCG_SLV)'!$O$9)</f>
        <v/>
      </c>
      <c r="J47" s="19">
        <f>IF('(Food_SLV)'!$O$9="","",'(Food_SLV)'!$O$9)</f>
        <v/>
      </c>
      <c r="K47" s="36">
        <f t="array" ref="K47">IF(COUNT(C47:J47)=0,"",IFERROR(SUMPRODUCT(IFERROR(C47:J47*((C3:J3)+(C4:J4)),0))/SUMPRODUCT(IFERROR(ISNUMBER(C47:J47)*((C3:J3)+(C4:J4)),0)),""))</f>
        <v/>
      </c>
      <c r="L47" s="4" t="inlineStr">
        <is>
          <t>Weighted</t>
        </is>
      </c>
      <c r="M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19">
        <f>IF(COUNT(J46:J47)=0,"",SUM(J46:J47))</f>
        <v/>
      </c>
      <c r="K48" s="36">
        <f>IF(COUNT(K46:K47)=0,"",SUM(K46:K47))</f>
        <v/>
      </c>
      <c r="L48" s="4" t="inlineStr">
        <is>
          <t>Weighted</t>
        </is>
      </c>
      <c r="M48" s="3" t="n"/>
    </row>
    <row r="49" ht="15.5" customHeight="1">
      <c r="A49" s="3" t="n"/>
      <c r="B49" s="18" t="inlineStr">
        <is>
          <t>Weight factor</t>
        </is>
      </c>
      <c r="C49" s="19">
        <f>IFERROR(C5/$K5,"")</f>
        <v/>
      </c>
      <c r="D49" s="19">
        <f>IFERROR(D5/$K5,"")</f>
        <v/>
      </c>
      <c r="E49" s="19">
        <f>IFERROR(E5/$K5,"")</f>
        <v/>
      </c>
      <c r="F49" s="19">
        <f>IFERROR(F5/$K5,"")</f>
        <v/>
      </c>
      <c r="G49" s="19">
        <f>IFERROR(G5/$K5,"")</f>
        <v/>
      </c>
      <c r="H49" s="19">
        <f>IFERROR(H5/$K5,"")</f>
        <v/>
      </c>
      <c r="I49" s="19">
        <f>IFERROR(I5/$K5,"")</f>
        <v/>
      </c>
      <c r="J49" s="19">
        <f>IFERROR(J5/$K5,"")</f>
        <v/>
      </c>
      <c r="K49" s="36">
        <f>IF(COUNT(C49:J49)=0,"",SUM(C49:J49))</f>
        <v/>
      </c>
      <c r="L49" s="4" t="inlineStr">
        <is>
          <t>Weight Factor</t>
        </is>
      </c>
      <c r="M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2" t="n"/>
      <c r="I50" s="32" t="n"/>
      <c r="J50" s="32" t="n"/>
      <c r="K50" s="33">
        <f>IF(COUNT(C50:J50)=0,"",SUM(C50:J50))</f>
        <v/>
      </c>
      <c r="L50" s="4" t="inlineStr">
        <is>
          <t>∑</t>
        </is>
      </c>
      <c r="M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2" t="n"/>
      <c r="I51" s="32" t="n"/>
      <c r="J51" s="32" t="n"/>
      <c r="K51" s="33">
        <f>IF(COUNT(C51:J51)=0,"",SUM(C51:J51))</f>
        <v/>
      </c>
      <c r="L51" s="4" t="inlineStr">
        <is>
          <t>∑</t>
        </is>
      </c>
      <c r="M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2" t="n"/>
      <c r="I52" s="32" t="n"/>
      <c r="J52" s="32" t="n"/>
      <c r="K52" s="33">
        <f>IF(COUNT(C52:J52)=0,"",SUM(C52:J52))</f>
        <v/>
      </c>
      <c r="L52" s="4" t="inlineStr">
        <is>
          <t>∑</t>
        </is>
      </c>
      <c r="M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2" t="n"/>
      <c r="I53" s="32" t="n"/>
      <c r="J53" s="32" t="n"/>
      <c r="K53" s="33">
        <f>IF(COUNT(C53:J53)=0,"",SUM(C53:J53))</f>
        <v/>
      </c>
      <c r="L53" s="4" t="inlineStr">
        <is>
          <t>∑</t>
        </is>
      </c>
      <c r="M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2" t="n"/>
      <c r="I54" s="32" t="n"/>
      <c r="J54" s="32" t="n"/>
      <c r="K54" s="33">
        <f>IF(COUNT(C54:J54)=0,"",SUM(C54:J54))</f>
        <v/>
      </c>
      <c r="L54" s="4" t="inlineStr">
        <is>
          <t>∑</t>
        </is>
      </c>
      <c r="M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14">
        <f>IF(COUNT(J50:J54)=0,"",SUM(J50:J54))</f>
        <v/>
      </c>
      <c r="K55" s="33">
        <f>IF(COUNT(K50:K54)=0,"",SUM(K50:K54))</f>
        <v/>
      </c>
      <c r="L55" s="4" t="inlineStr">
        <is>
          <t>ϝ</t>
        </is>
      </c>
      <c r="M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2" t="n"/>
      <c r="I56" s="32" t="n"/>
      <c r="J56" s="32" t="n"/>
      <c r="K56" s="33">
        <f>IF(COUNT(C56:J56)=0,"",SUM(C56:J56))</f>
        <v/>
      </c>
      <c r="L56" s="4" t="inlineStr">
        <is>
          <t>∑</t>
        </is>
      </c>
      <c r="M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2" t="n"/>
      <c r="I57" s="32" t="n"/>
      <c r="J57" s="32" t="n"/>
      <c r="K57" s="33">
        <f>IF(COUNT(C57:J57)=0,"",SUM(C57:J57))</f>
        <v/>
      </c>
      <c r="L57" s="4" t="inlineStr">
        <is>
          <t>∑</t>
        </is>
      </c>
      <c r="M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2" t="n"/>
      <c r="I58" s="32" t="n"/>
      <c r="J58" s="32" t="n"/>
      <c r="K58" s="33">
        <f>IF(COUNT(C58:J58)=0,"",SUM(C58:J58))</f>
        <v/>
      </c>
      <c r="L58" s="4" t="inlineStr">
        <is>
          <t>∑</t>
        </is>
      </c>
      <c r="M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2" t="n"/>
      <c r="I59" s="32" t="n"/>
      <c r="J59" s="32" t="n"/>
      <c r="K59" s="33">
        <f>IF(COUNT(C59:J59)=0,"",SUM(C59:J59))</f>
        <v/>
      </c>
      <c r="L59" s="4" t="inlineStr">
        <is>
          <t>∑</t>
        </is>
      </c>
      <c r="M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19">
        <f>IFERROR(J50/J$55,"")</f>
        <v/>
      </c>
      <c r="K60" s="36">
        <f>IFERROR(K50/K$55,"")</f>
        <v/>
      </c>
      <c r="L60" s="4" t="inlineStr">
        <is>
          <t>ϝ</t>
        </is>
      </c>
      <c r="M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19">
        <f>IFERROR(J51/J$55,"")</f>
        <v/>
      </c>
      <c r="K61" s="36">
        <f>IFERROR(K51/K$55,"")</f>
        <v/>
      </c>
      <c r="L61" s="4" t="inlineStr">
        <is>
          <t>ϝ</t>
        </is>
      </c>
      <c r="M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19">
        <f>IFERROR(J52/J$55,"")</f>
        <v/>
      </c>
      <c r="K62" s="36">
        <f>IFERROR(K52/K$55,"")</f>
        <v/>
      </c>
      <c r="L62" s="4" t="inlineStr">
        <is>
          <t>ϝ</t>
        </is>
      </c>
      <c r="M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19">
        <f>IFERROR(J53/J$55,"")</f>
        <v/>
      </c>
      <c r="K63" s="36">
        <f>IFERROR(K53/K$55,"")</f>
        <v/>
      </c>
      <c r="L63" s="4" t="inlineStr">
        <is>
          <t>ϝ</t>
        </is>
      </c>
      <c r="M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19">
        <f>IFERROR(J54/J$55,"")</f>
        <v/>
      </c>
      <c r="K64" s="36">
        <f>IFERROR(K54/K$55,"")</f>
        <v/>
      </c>
      <c r="L64" s="4" t="inlineStr">
        <is>
          <t>ϝ</t>
        </is>
      </c>
      <c r="M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19">
        <f>IFERROR(J56/J5,"")</f>
        <v/>
      </c>
      <c r="K65" s="36">
        <f>IFERROR(K56/K5,"")</f>
        <v/>
      </c>
      <c r="L65" s="4" t="inlineStr">
        <is>
          <t>ϝ</t>
        </is>
      </c>
      <c r="M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16">
        <f>IFERROR(J55/J5,"")</f>
        <v/>
      </c>
      <c r="K66" s="34">
        <f>IFERROR(K55/K5,"")</f>
        <v/>
      </c>
      <c r="L66" s="4" t="inlineStr">
        <is>
          <t>ϝ</t>
        </is>
      </c>
      <c r="M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16">
        <f>IFERROR(J55/J56,"")</f>
        <v/>
      </c>
      <c r="K67" s="34">
        <f>IFERROR(K55/K56,"")</f>
        <v/>
      </c>
      <c r="L67" s="4" t="inlineStr">
        <is>
          <t>ϝ</t>
        </is>
      </c>
      <c r="M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16">
        <f>IF(COUNT(J58:J59)=0,"",IFERROR((N(J58)+N(J59))/J5,""))</f>
        <v/>
      </c>
      <c r="K68" s="34">
        <f>IF(COUNT(K58:K59)=0,"",IFERROR((N(K58)+N(K59))/K5,""))</f>
        <v/>
      </c>
      <c r="L68" s="4" t="inlineStr">
        <is>
          <t>ϝ</t>
        </is>
      </c>
      <c r="M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16">
        <f>IF(COUNT(J58:J59)=0,"",IFERROR((N(J58)+N(J59))/J56,""))</f>
        <v/>
      </c>
      <c r="K69" s="34">
        <f>IF(COUNT(K58:K59)=0,"",IFERROR((N(K58)+N(K59))/K56,""))</f>
        <v/>
      </c>
      <c r="L69" s="4" t="inlineStr">
        <is>
          <t>ϝ</t>
        </is>
      </c>
      <c r="M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14">
        <f>COUNTBLANK(J3:J4)+COUNTBLANK(J6:J10)+COUNTBLANK(J12:J13)+COUNTBLANK(J18:J20)+COUNTBLANK(J22:J23)+COUNTBLANK(J27:J28)+COUNTBLANK(J34:J35)+COUNTBLANK(J39:J44)+COUNTBLANK(J46:J47)+COUNTBLANK(J50:J54)+COUNTBLANK(J56:J59)</f>
        <v/>
      </c>
      <c r="K70" s="33">
        <f>SUM(C70:J70)</f>
        <v/>
      </c>
      <c r="L70" s="39" t="inlineStr">
        <is>
          <t>∑</t>
        </is>
      </c>
      <c r="M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26953125" customWidth="1" min="10" max="10"/>
    <col width="15.7265625" customWidth="1" min="11" max="11"/>
    <col width="21" customWidth="1" min="12" max="12"/>
    <col width="11.81640625" customWidth="1" min="13" max="13"/>
  </cols>
  <sheetData>
    <row r="1" ht="30" customHeight="1">
      <c r="A1" s="1" t="n"/>
      <c r="B1" s="2" t="inlineStr">
        <is>
          <t>GCG CENTRAL AMERICA</t>
        </is>
      </c>
      <c r="C1" s="26" t="inlineStr">
        <is>
          <t>1171</t>
        </is>
      </c>
      <c r="D1" s="26" t="inlineStr">
        <is>
          <t>1162</t>
        </is>
      </c>
      <c r="E1" s="26" t="inlineStr">
        <is>
          <t>1076</t>
        </is>
      </c>
      <c r="F1" s="26" t="inlineStr">
        <is>
          <t>1170</t>
        </is>
      </c>
      <c r="G1" s="26" t="inlineStr">
        <is>
          <t>1078</t>
        </is>
      </c>
      <c r="H1" s="26" t="inlineStr">
        <is>
          <t>1172</t>
        </is>
      </c>
      <c r="I1" s="26" t="inlineStr">
        <is>
          <t>1074</t>
        </is>
      </c>
      <c r="J1" s="26" t="inlineStr">
        <is>
          <t>1161</t>
        </is>
      </c>
      <c r="K1" s="3" t="n"/>
      <c r="L1" s="3" t="n"/>
      <c r="M1" s="3" t="n"/>
    </row>
    <row r="2" ht="72" customHeight="1">
      <c r="A2" s="4">
        <f>VALUE(TEXT(EDATE(DATE(LEFT(MAR!A2,4),RIGHT(MAR!A2,2),1),1),"yyyymm"))</f>
        <v/>
      </c>
      <c r="B2" s="5" t="inlineStr">
        <is>
          <t>APR</t>
        </is>
      </c>
      <c r="C2" s="27" t="inlineStr">
        <is>
          <t>GCG Culinary Costa Rica</t>
        </is>
      </c>
      <c r="D2" s="27" t="inlineStr">
        <is>
          <t>GCG Food Guatemala</t>
        </is>
      </c>
      <c r="E2" s="27" t="inlineStr">
        <is>
          <t>GCG Guatemala</t>
        </is>
      </c>
      <c r="F2" s="27" t="inlineStr">
        <is>
          <t>GCG Aviation Ground Honduras</t>
        </is>
      </c>
      <c r="G2" s="27" t="inlineStr">
        <is>
          <t>GCG Honduras</t>
        </is>
      </c>
      <c r="H2" s="27" t="inlineStr">
        <is>
          <t>GCG Concessions Panama</t>
        </is>
      </c>
      <c r="I2" s="27" t="inlineStr">
        <is>
          <t>GCG El Salvador</t>
        </is>
      </c>
      <c r="J2" s="27" t="inlineStr">
        <is>
          <t>GCG Food El Salvador</t>
        </is>
      </c>
      <c r="K2" s="28" t="inlineStr">
        <is>
          <t>TOTAL</t>
        </is>
      </c>
      <c r="L2" s="4" t="inlineStr">
        <is>
          <t>Total by Division</t>
        </is>
      </c>
      <c r="M2" s="29">
        <f>N(M11)&lt;&gt;0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0" t="n"/>
      <c r="I3" s="30" t="n"/>
      <c r="J3" s="30" t="n"/>
      <c r="K3" s="31">
        <f>IF(COUNT(C3:J3)=0,"",SUM(C3:J3))</f>
        <v/>
      </c>
      <c r="L3" s="4" t="inlineStr">
        <is>
          <t>∑</t>
        </is>
      </c>
      <c r="M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0" t="n"/>
      <c r="I4" s="30" t="n"/>
      <c r="J4" s="30" t="n"/>
      <c r="K4" s="31">
        <f>IF(COUNT(C4:J4)=0,"",SUM(C4:J4))</f>
        <v/>
      </c>
      <c r="L4" s="4" t="inlineStr">
        <is>
          <t>∑</t>
        </is>
      </c>
      <c r="M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11">
        <f>IF(COUNT(J3:J4)=0,"",SUM(J3:J4))</f>
        <v/>
      </c>
      <c r="K5" s="31">
        <f>IF(COUNT(K3:K4)=0,"",SUM(K3:K4))</f>
        <v/>
      </c>
      <c r="L5" s="4" t="inlineStr">
        <is>
          <t>ϝ</t>
        </is>
      </c>
      <c r="M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0" t="n"/>
      <c r="I6" s="30" t="n"/>
      <c r="J6" s="30" t="n"/>
      <c r="K6" s="31">
        <f>IF(COUNT(C6:J6)=0,"",SUM(C6:J6))</f>
        <v/>
      </c>
      <c r="L6" s="4" t="inlineStr">
        <is>
          <t>∑</t>
        </is>
      </c>
      <c r="M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0" t="n"/>
      <c r="I7" s="30" t="n"/>
      <c r="J7" s="30" t="n"/>
      <c r="K7" s="31">
        <f>IF(COUNT(C7:J7)=0,"",SUM(C7:J7))</f>
        <v/>
      </c>
      <c r="L7" s="4" t="inlineStr">
        <is>
          <t>∑</t>
        </is>
      </c>
      <c r="M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0" t="n"/>
      <c r="I8" s="30" t="n"/>
      <c r="J8" s="30" t="n"/>
      <c r="K8" s="31">
        <f>IF(COUNT(C8:J8)=0,"",SUM(C8:J8))</f>
        <v/>
      </c>
      <c r="L8" s="4" t="inlineStr">
        <is>
          <t>∑</t>
        </is>
      </c>
      <c r="M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0" t="n"/>
      <c r="I9" s="30" t="n"/>
      <c r="J9" s="30" t="n"/>
      <c r="K9" s="31">
        <f>IF(COUNT(C9:J9)=0,"",SUM(C9:J9))</f>
        <v/>
      </c>
      <c r="L9" s="4" t="inlineStr">
        <is>
          <t>∑</t>
        </is>
      </c>
      <c r="M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2" t="n"/>
      <c r="I10" s="32" t="n"/>
      <c r="J10" s="32" t="n"/>
      <c r="K10" s="33">
        <f>IFERROR(AVERAGE(C10:J10),"")</f>
        <v/>
      </c>
      <c r="L10" s="4" t="inlineStr">
        <is>
          <t>Avg</t>
        </is>
      </c>
      <c r="M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16">
        <f>IF(COUNT(J6:J9)=0,"",N(J6)+N(J7)*0.75+N(J8)*0.5+N(J9)*0.25)</f>
        <v/>
      </c>
      <c r="K11" s="34">
        <f>IF(COUNT(K6:K9)=0,"",N(K6)+N(K7)*0.75+N(K8)*0.5+N(K9)*0.25)</f>
        <v/>
      </c>
      <c r="L11" s="4" t="inlineStr">
        <is>
          <t>FTE</t>
        </is>
      </c>
      <c r="M11" s="35">
        <f>IF(COUNT(K5:K9)=0,"",N(K6)+N(K7)+N(K8)+N(K9)-N(K5))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0" t="n"/>
      <c r="I12" s="30" t="n"/>
      <c r="J12" s="30" t="n"/>
      <c r="K12" s="31">
        <f>IF(COUNT(C12:J12)=0,"",SUM(C12:J12))</f>
        <v/>
      </c>
      <c r="L12" s="4" t="inlineStr">
        <is>
          <t>∑</t>
        </is>
      </c>
      <c r="M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2" t="n"/>
      <c r="I13" s="32" t="n"/>
      <c r="J13" s="32" t="n"/>
      <c r="K13" s="33">
        <f>IF(COUNT(C13:J13)=0,"",SUM(C13:J13))</f>
        <v/>
      </c>
      <c r="L13" s="4" t="inlineStr">
        <is>
          <t>∑</t>
        </is>
      </c>
      <c r="M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16">
        <f>IFERROR(J13/J10,"")</f>
        <v/>
      </c>
      <c r="K14" s="34">
        <f>IF(COUNT(C14:J14)=0,"",SUM(C14:J14))</f>
        <v/>
      </c>
      <c r="L14" s="4" t="inlineStr">
        <is>
          <t>FTE</t>
        </is>
      </c>
      <c r="M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11">
        <f>IF(COUNT(J5,J12)=0,"",SUM(J5,J12))</f>
        <v/>
      </c>
      <c r="K15" s="31">
        <f>IF(COUNT(K5,K12)=0,"",SUM(K5,K12))</f>
        <v/>
      </c>
      <c r="L15" s="4" t="inlineStr">
        <is>
          <t>ϝ</t>
        </is>
      </c>
      <c r="M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16">
        <f>IF(COUNT(J11,J14)=0,"",SUM(J11,J14))</f>
        <v/>
      </c>
      <c r="K16" s="34">
        <f>IF(COUNT(K11,K14)=0,"",SUM(K11,K14))</f>
        <v/>
      </c>
      <c r="L16" s="4" t="inlineStr">
        <is>
          <t>FTE</t>
        </is>
      </c>
      <c r="M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19">
        <f>IFERROR(J12/J15,"")</f>
        <v/>
      </c>
      <c r="K17" s="36">
        <f>IFERROR(K12/K15,"")</f>
        <v/>
      </c>
      <c r="L17" s="4" t="inlineStr">
        <is>
          <t>ϝ</t>
        </is>
      </c>
      <c r="M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0" t="n"/>
      <c r="I18" s="30" t="n"/>
      <c r="J18" s="30" t="n"/>
      <c r="K18" s="31">
        <f>IF(COUNT(C18:J18)=0,"",SUM(C18:J18))</f>
        <v/>
      </c>
      <c r="L18" s="4" t="inlineStr">
        <is>
          <t>∑</t>
        </is>
      </c>
      <c r="M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0" t="n"/>
      <c r="I19" s="30" t="n"/>
      <c r="J19" s="30" t="n"/>
      <c r="K19" s="31">
        <f>IF(COUNT(C19:J19)=0,"",SUM(C19:J19))</f>
        <v/>
      </c>
      <c r="L19" s="4" t="inlineStr">
        <is>
          <t>∑</t>
        </is>
      </c>
      <c r="M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0" t="n"/>
      <c r="I20" s="30" t="n"/>
      <c r="J20" s="30" t="n"/>
      <c r="K20" s="31">
        <f>IF(COUNT(C20:J20)=0,"",SUM(C20:J20))</f>
        <v/>
      </c>
      <c r="L20" s="4" t="inlineStr">
        <is>
          <t>∑</t>
        </is>
      </c>
      <c r="M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11">
        <f>IF(COUNT(J19:J20)=0,"",SUM(J19:J20))</f>
        <v/>
      </c>
      <c r="K21" s="31">
        <f>IF(COUNT(K19:K20)=0,"",SUM(K19:K20))</f>
        <v/>
      </c>
      <c r="L21" s="4" t="inlineStr">
        <is>
          <t>ϝ</t>
        </is>
      </c>
      <c r="M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0" t="n"/>
      <c r="I22" s="30" t="n"/>
      <c r="J22" s="30" t="n"/>
      <c r="K22" s="31">
        <f>IF(COUNT(C22:J22)=0,"",SUM(C22:J22))</f>
        <v/>
      </c>
      <c r="L22" s="4" t="inlineStr">
        <is>
          <t>∑</t>
        </is>
      </c>
      <c r="M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0" t="n"/>
      <c r="I23" s="30" t="n"/>
      <c r="J23" s="30" t="n"/>
      <c r="K23" s="31">
        <f>IF(COUNT(C23:J23)=0,"",SUM(C23:J23))</f>
        <v/>
      </c>
      <c r="L23" s="4" t="inlineStr">
        <is>
          <t>∑</t>
        </is>
      </c>
      <c r="M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11">
        <f>IF(COUNT(J22:J23)=0,"",SUM(J22:J23))</f>
        <v/>
      </c>
      <c r="K24" s="31">
        <f>IF(COUNT(K22:K23)=0,"",SUM(K22:K23))</f>
        <v/>
      </c>
      <c r="L24" s="4" t="inlineStr">
        <is>
          <t>ϝ</t>
        </is>
      </c>
      <c r="M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19">
        <f>IF(COUNT(J31,J32)&lt;2,"",IF((J32+J31)=0,"",N(J22)/((J32+J31)/2)))</f>
        <v/>
      </c>
      <c r="K25" s="36">
        <f>IF(COUNT(K31,K32)&lt;2,"",IF((K32+K31)=0,"",N(K22)/((K32+K31)/2)))</f>
        <v/>
      </c>
      <c r="L25" s="4" t="inlineStr">
        <is>
          <t>ϝ</t>
        </is>
      </c>
      <c r="M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19">
        <f>IF(COUNT(J31,J32)&lt;2,"",IF((J32+J31)=0,"",N(J23)/((J32+J31)/2)))</f>
        <v/>
      </c>
      <c r="K26" s="36">
        <f>IF(COUNT(K31,K32)&lt;2,"",IF((K32+K31)=0,"",N(K23)/((K32+K31)/2)))</f>
        <v/>
      </c>
      <c r="L26" s="4" t="inlineStr">
        <is>
          <t>ϝ</t>
        </is>
      </c>
      <c r="M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0" t="n"/>
      <c r="I27" s="30" t="n"/>
      <c r="J27" s="30" t="n"/>
      <c r="K27" s="31">
        <f>IF(COUNT(C27:J27)=0,"",SUM(C27:J27))</f>
        <v/>
      </c>
      <c r="L27" s="4" t="inlineStr">
        <is>
          <t>∑</t>
        </is>
      </c>
      <c r="M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0" t="n"/>
      <c r="I28" s="30" t="n"/>
      <c r="J28" s="30" t="n"/>
      <c r="K28" s="31">
        <f>IF(COUNT(C28:J28)=0,"",SUM(C28:J28))</f>
        <v/>
      </c>
      <c r="L28" s="4" t="inlineStr">
        <is>
          <t>∑</t>
        </is>
      </c>
      <c r="M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19">
        <f>IF(COUNT(J31,J32)&lt;2,"",IF((J32+J31)=0,"",N(J27)/((J32+J31)/2)))</f>
        <v/>
      </c>
      <c r="K29" s="36">
        <f>IF(COUNT(K31,K32)&lt;2,"",IF((K32+K31)=0,"",N(K27)/((K32+K31)/2)))</f>
        <v/>
      </c>
      <c r="L29" s="4" t="inlineStr">
        <is>
          <t>ϝ</t>
        </is>
      </c>
      <c r="M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19">
        <f>IF(COUNT(J31,J32)&lt;2,"",IF((J32+J31)=0,"",N(J28)/((J32+J31)/2)))</f>
        <v/>
      </c>
      <c r="K30" s="36">
        <f>IF(COUNT(K31,K32)&lt;2,"",IF((K32+K31)=0,"",N(K28)/((K32+K31)/2)))</f>
        <v/>
      </c>
      <c r="L30" s="4" t="inlineStr">
        <is>
          <t>ϝ</t>
        </is>
      </c>
      <c r="M30" s="3" t="n"/>
    </row>
    <row r="31" ht="15.5" customHeight="1">
      <c r="A31" s="3" t="n"/>
      <c r="B31" s="10" t="inlineStr">
        <is>
          <t>Headcount last Month</t>
        </is>
      </c>
      <c r="C31" s="11">
        <f>IF(MAR!C5="","",MAR!C5)</f>
        <v/>
      </c>
      <c r="D31" s="11">
        <f>IF(MAR!D5="","",MAR!D5)</f>
        <v/>
      </c>
      <c r="E31" s="11">
        <f>IF(MAR!E5="","",MAR!E5)</f>
        <v/>
      </c>
      <c r="F31" s="11">
        <f>IF(MAR!F5="","",MAR!F5)</f>
        <v/>
      </c>
      <c r="G31" s="11">
        <f>IF(MAR!G5="","",MAR!G5)</f>
        <v/>
      </c>
      <c r="H31" s="11">
        <f>IF(MAR!H5="","",MAR!H5)</f>
        <v/>
      </c>
      <c r="I31" s="11">
        <f>IF(MAR!I5="","",MAR!I5)</f>
        <v/>
      </c>
      <c r="J31" s="11">
        <f>IF(MAR!J5="","",MAR!J5)</f>
        <v/>
      </c>
      <c r="K31" s="31">
        <f>IF(COUNT(C31:J31)=0,"",SUM(C31:J31))</f>
        <v/>
      </c>
      <c r="L31" s="4" t="inlineStr">
        <is>
          <t>∑</t>
        </is>
      </c>
      <c r="M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11">
        <f>IF(J5="","",J5)</f>
        <v/>
      </c>
      <c r="K32" s="31">
        <f>IF(COUNT(C32:J32)=0,"",SUM(C32:J32))</f>
        <v/>
      </c>
      <c r="L32" s="4" t="inlineStr">
        <is>
          <t>∑</t>
        </is>
      </c>
      <c r="M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19">
        <f>IF(COUNT(J31,J32)&lt;2,"",IF((J32+J31)=0,"",N(J24)/((J32+J31)/2)))</f>
        <v/>
      </c>
      <c r="K33" s="36">
        <f>IF(COUNT(K31,K32)&lt;2,"",IF((K32+K31)=0,"",N(K24)/((K32+K31)/2)))</f>
        <v/>
      </c>
      <c r="L33" s="4" t="inlineStr">
        <is>
          <t>ϝ</t>
        </is>
      </c>
      <c r="M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0" t="n"/>
      <c r="I34" s="30" t="n"/>
      <c r="J34" s="30" t="n"/>
      <c r="K34" s="31">
        <f>IF(COUNT(C34:J34)=0,"",SUM(C34:J34))</f>
        <v/>
      </c>
      <c r="L34" s="4" t="inlineStr">
        <is>
          <t>∑</t>
        </is>
      </c>
      <c r="M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0" t="n"/>
      <c r="I35" s="30" t="n"/>
      <c r="J35" s="30" t="n"/>
      <c r="K35" s="31">
        <f>IF(COUNT(C35:J35)=0,"",SUM(C35:J35))</f>
        <v/>
      </c>
      <c r="L35" s="4" t="inlineStr">
        <is>
          <t>∑</t>
        </is>
      </c>
      <c r="M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11">
        <f>IF(COUNT(J34:J35)=0,"",SUM(J34:J35))</f>
        <v/>
      </c>
      <c r="K36" s="31">
        <f>IF(COUNT(K34:K35)=0,"",SUM(K34:K35))</f>
        <v/>
      </c>
      <c r="L36" s="4" t="inlineStr">
        <is>
          <t>ϝ</t>
        </is>
      </c>
      <c r="M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11">
        <f>IF(COUNT(J5,J36)=0,"",N(J5)+N(J36))</f>
        <v/>
      </c>
      <c r="K37" s="31">
        <f>IF(COUNT(K5,K36)=0,"",N(K5)+N(K36))</f>
        <v/>
      </c>
      <c r="L37" s="4" t="inlineStr">
        <is>
          <t>ϝ</t>
        </is>
      </c>
      <c r="M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19">
        <f>IFERROR(J36/J37,"")</f>
        <v/>
      </c>
      <c r="K38" s="36">
        <f>IFERROR(K36/K37,"")</f>
        <v/>
      </c>
      <c r="L38" s="4" t="inlineStr">
        <is>
          <t>ϝ</t>
        </is>
      </c>
      <c r="M38" s="3" t="n"/>
    </row>
    <row r="39" ht="15.5" customHeight="1">
      <c r="A39" s="3" t="n"/>
      <c r="B39" s="10" t="inlineStr">
        <is>
          <t>Permanent TimeToHire (Days) YTD</t>
        </is>
      </c>
      <c r="C39" s="14">
        <f>IF('(Culinary_CRI)'!$AB$10="","",'(Culinary_CRI)'!$AB$10)</f>
        <v/>
      </c>
      <c r="D39" s="14">
        <f>IF('(Food_GTM)'!$AB$10="","",'(Food_GTM)'!$AB$10)</f>
        <v/>
      </c>
      <c r="E39" s="14">
        <f>IF('(GCG_GTM)'!$AB$10="","",'(GCG_GTM)'!$AB$10)</f>
        <v/>
      </c>
      <c r="F39" s="14">
        <f>IF('(Ground_HND)'!$AB$10="","",'(Ground_HND)'!$AB$10)</f>
        <v/>
      </c>
      <c r="G39" s="14">
        <f>IF('(GCG_HND)'!$AB$10="","",'(GCG_HND)'!$AB$10)</f>
        <v/>
      </c>
      <c r="H39" s="14">
        <f>IF('(Concess_PAN)'!$AB$10="","",'(Concess_PAN)'!$AB$10)</f>
        <v/>
      </c>
      <c r="I39" s="14">
        <f>IF('(GCG_SLV)'!$AB$10="","",'(GCG_SLV)'!$AB$10)</f>
        <v/>
      </c>
      <c r="J39" s="14">
        <f>IF('(Food_SLV)'!$AB$10="","",'(Food_SLV)'!$AB$10)</f>
        <v/>
      </c>
      <c r="K39" s="33">
        <f>IFERROR(AVERAGE(C39:J39),"")</f>
        <v/>
      </c>
      <c r="L39" s="4" t="inlineStr">
        <is>
          <t>Avg</t>
        </is>
      </c>
      <c r="M39" s="3" t="n"/>
    </row>
    <row r="40" ht="15.5" customHeight="1">
      <c r="A40" s="3" t="n"/>
      <c r="B40" s="10" t="inlineStr">
        <is>
          <t>Temporary TimeToHire (Days) YTD</t>
        </is>
      </c>
      <c r="C40" s="14">
        <f>IF('(Culinary_CRI)'!$AD$10="","",'(Culinary_CRI)'!$AD$10)</f>
        <v/>
      </c>
      <c r="D40" s="14">
        <f>IF('(Food_GTM)'!$AD$10="","",'(Food_GTM)'!$AD$10)</f>
        <v/>
      </c>
      <c r="E40" s="14">
        <f>IF('(GCG_GTM)'!$AD$10="","",'(GCG_GTM)'!$AD$10)</f>
        <v/>
      </c>
      <c r="F40" s="14">
        <f>IF('(Ground_HND)'!$AD$10="","",'(Ground_HND)'!$AD$10)</f>
        <v/>
      </c>
      <c r="G40" s="14">
        <f>IF('(GCG_HND)'!$AD$10="","",'(GCG_HND)'!$AD$10)</f>
        <v/>
      </c>
      <c r="H40" s="14">
        <f>IF('(Concess_PAN)'!$AD$10="","",'(Concess_PAN)'!$AD$10)</f>
        <v/>
      </c>
      <c r="I40" s="14">
        <f>IF('(GCG_SLV)'!$AD$10="","",'(GCG_SLV)'!$AD$10)</f>
        <v/>
      </c>
      <c r="J40" s="14">
        <f>IF('(Food_SLV)'!$AD$10="","",'(Food_SLV)'!$AD$10)</f>
        <v/>
      </c>
      <c r="K40" s="33">
        <f>IFERROR(AVERAGE(C40:J40),"")</f>
        <v/>
      </c>
      <c r="L40" s="4" t="inlineStr">
        <is>
          <t>Avg</t>
        </is>
      </c>
      <c r="M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7" t="n"/>
      <c r="I41" s="37" t="n"/>
      <c r="J41" s="37" t="n"/>
      <c r="K41" s="38">
        <f>IFERROR(AVERAGE(C41:J41),"")</f>
        <v/>
      </c>
      <c r="L41" s="4" t="inlineStr">
        <is>
          <t>Avg</t>
        </is>
      </c>
      <c r="M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0" t="n"/>
      <c r="I42" s="30" t="n"/>
      <c r="J42" s="30" t="n"/>
      <c r="K42" s="31">
        <f>IF(COUNT(C42:J42)=0,"",SUM(C42:J42))</f>
        <v/>
      </c>
      <c r="L42" s="4" t="inlineStr">
        <is>
          <t>∑</t>
        </is>
      </c>
      <c r="M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2" t="n"/>
      <c r="I43" s="32" t="n"/>
      <c r="J43" s="32" t="n"/>
      <c r="K43" s="33">
        <f>IF(COUNT(C43:J43)=0,"",SUM(C43:J43))</f>
        <v/>
      </c>
      <c r="L43" s="4" t="inlineStr">
        <is>
          <t>∑</t>
        </is>
      </c>
      <c r="M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2" t="n"/>
      <c r="I44" s="32" t="n"/>
      <c r="J44" s="32" t="n"/>
      <c r="K44" s="33">
        <f>IF(COUNT(C44:J44)=0,"",SUM(C44:J44))</f>
        <v/>
      </c>
      <c r="L44" s="4" t="inlineStr">
        <is>
          <t>∑</t>
        </is>
      </c>
      <c r="M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14">
        <f>IF(COUNT(J43:J44)=0,"",SUM(J43:J44))</f>
        <v/>
      </c>
      <c r="K45" s="33">
        <f>IF(COUNT(K43:K44)=0,"",SUM(K43:K44))</f>
        <v/>
      </c>
      <c r="L45" s="4" t="inlineStr">
        <is>
          <t>ϝ</t>
        </is>
      </c>
      <c r="M45" s="3" t="n"/>
    </row>
    <row r="46" ht="15.5" customHeight="1">
      <c r="A46" s="3" t="n"/>
      <c r="B46" s="13" t="inlineStr">
        <is>
          <t>Absent Rate Non-Certified (%)</t>
        </is>
      </c>
      <c r="C46" s="19">
        <f>IF('(Culinary_CRI)'!$G$10="","",'(Culinary_CRI)'!$G$10)</f>
        <v/>
      </c>
      <c r="D46" s="19">
        <f>IF('(Food_GTM)'!$G$10="","",'(Food_GTM)'!$G$10)</f>
        <v/>
      </c>
      <c r="E46" s="19">
        <f>IF('(GCG_GTM)'!$G$10="","",'(GCG_GTM)'!$G$10)</f>
        <v/>
      </c>
      <c r="F46" s="19">
        <f>IF('(Ground_HND)'!$G$10="","",'(Ground_HND)'!$G$10)</f>
        <v/>
      </c>
      <c r="G46" s="19">
        <f>IF('(GCG_HND)'!$G$10="","",'(GCG_HND)'!$G$10)</f>
        <v/>
      </c>
      <c r="H46" s="19">
        <f>IF('(Concess_PAN)'!$G$10="","",'(Concess_PAN)'!$G$10)</f>
        <v/>
      </c>
      <c r="I46" s="19">
        <f>IF('(GCG_SLV)'!$G$10="","",'(GCG_SLV)'!$G$10)</f>
        <v/>
      </c>
      <c r="J46" s="19">
        <f>IF('(Food_SLV)'!$G$10="","",'(Food_SLV)'!$G$10)</f>
        <v/>
      </c>
      <c r="K46" s="36">
        <f t="array" ref="K46">IF(COUNT(C46:J46)=0,"",IFERROR(SUMPRODUCT(IFERROR(C46:J46*((C3:J3)+(C4:J4)),0))/SUMPRODUCT(IFERROR(ISNUMBER(C46:J46)*((C3:J3)+(C4:J4)),0)),""))</f>
        <v/>
      </c>
      <c r="L46" s="4" t="inlineStr">
        <is>
          <t>Weighted</t>
        </is>
      </c>
      <c r="M46" s="3" t="n"/>
    </row>
    <row r="47" ht="15.5" customHeight="1">
      <c r="A47" s="3" t="n"/>
      <c r="B47" s="13" t="inlineStr">
        <is>
          <t>Absent Rate Certified (%)</t>
        </is>
      </c>
      <c r="C47" s="19">
        <f>IF('(Culinary_CRI)'!$O$10="","",'(Culinary_CRI)'!$O$10)</f>
        <v/>
      </c>
      <c r="D47" s="19">
        <f>IF('(Food_GTM)'!$O$10="","",'(Food_GTM)'!$O$10)</f>
        <v/>
      </c>
      <c r="E47" s="19">
        <f>IF('(GCG_GTM)'!$O$10="","",'(GCG_GTM)'!$O$10)</f>
        <v/>
      </c>
      <c r="F47" s="19">
        <f>IF('(Ground_HND)'!$O$10="","",'(Ground_HND)'!$O$10)</f>
        <v/>
      </c>
      <c r="G47" s="19">
        <f>IF('(GCG_HND)'!$O$10="","",'(GCG_HND)'!$O$10)</f>
        <v/>
      </c>
      <c r="H47" s="19">
        <f>IF('(Concess_PAN)'!$O$10="","",'(Concess_PAN)'!$O$10)</f>
        <v/>
      </c>
      <c r="I47" s="19">
        <f>IF('(GCG_SLV)'!$O$10="","",'(GCG_SLV)'!$O$10)</f>
        <v/>
      </c>
      <c r="J47" s="19">
        <f>IF('(Food_SLV)'!$O$10="","",'(Food_SLV)'!$O$10)</f>
        <v/>
      </c>
      <c r="K47" s="36">
        <f t="array" ref="K47">IF(COUNT(C47:J47)=0,"",IFERROR(SUMPRODUCT(IFERROR(C47:J47*((C3:J3)+(C4:J4)),0))/SUMPRODUCT(IFERROR(ISNUMBER(C47:J47)*((C3:J3)+(C4:J4)),0)),""))</f>
        <v/>
      </c>
      <c r="L47" s="4" t="inlineStr">
        <is>
          <t>Weighted</t>
        </is>
      </c>
      <c r="M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19">
        <f>IF(COUNT(J46:J47)=0,"",SUM(J46:J47))</f>
        <v/>
      </c>
      <c r="K48" s="36">
        <f>IF(COUNT(K46:K47)=0,"",SUM(K46:K47))</f>
        <v/>
      </c>
      <c r="L48" s="4" t="inlineStr">
        <is>
          <t>Weighted</t>
        </is>
      </c>
      <c r="M48" s="3" t="n"/>
    </row>
    <row r="49" ht="15.5" customHeight="1">
      <c r="A49" s="3" t="n"/>
      <c r="B49" s="18" t="inlineStr">
        <is>
          <t>Weight factor</t>
        </is>
      </c>
      <c r="C49" s="19">
        <f>IFERROR(C5/$K5,"")</f>
        <v/>
      </c>
      <c r="D49" s="19">
        <f>IFERROR(D5/$K5,"")</f>
        <v/>
      </c>
      <c r="E49" s="19">
        <f>IFERROR(E5/$K5,"")</f>
        <v/>
      </c>
      <c r="F49" s="19">
        <f>IFERROR(F5/$K5,"")</f>
        <v/>
      </c>
      <c r="G49" s="19">
        <f>IFERROR(G5/$K5,"")</f>
        <v/>
      </c>
      <c r="H49" s="19">
        <f>IFERROR(H5/$K5,"")</f>
        <v/>
      </c>
      <c r="I49" s="19">
        <f>IFERROR(I5/$K5,"")</f>
        <v/>
      </c>
      <c r="J49" s="19">
        <f>IFERROR(J5/$K5,"")</f>
        <v/>
      </c>
      <c r="K49" s="36">
        <f>IF(COUNT(C49:J49)=0,"",SUM(C49:J49))</f>
        <v/>
      </c>
      <c r="L49" s="4" t="inlineStr">
        <is>
          <t>Weight Factor</t>
        </is>
      </c>
      <c r="M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2" t="n"/>
      <c r="I50" s="32" t="n"/>
      <c r="J50" s="32" t="n"/>
      <c r="K50" s="33">
        <f>IF(COUNT(C50:J50)=0,"",SUM(C50:J50))</f>
        <v/>
      </c>
      <c r="L50" s="4" t="inlineStr">
        <is>
          <t>∑</t>
        </is>
      </c>
      <c r="M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2" t="n"/>
      <c r="I51" s="32" t="n"/>
      <c r="J51" s="32" t="n"/>
      <c r="K51" s="33">
        <f>IF(COUNT(C51:J51)=0,"",SUM(C51:J51))</f>
        <v/>
      </c>
      <c r="L51" s="4" t="inlineStr">
        <is>
          <t>∑</t>
        </is>
      </c>
      <c r="M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2" t="n"/>
      <c r="I52" s="32" t="n"/>
      <c r="J52" s="32" t="n"/>
      <c r="K52" s="33">
        <f>IF(COUNT(C52:J52)=0,"",SUM(C52:J52))</f>
        <v/>
      </c>
      <c r="L52" s="4" t="inlineStr">
        <is>
          <t>∑</t>
        </is>
      </c>
      <c r="M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2" t="n"/>
      <c r="I53" s="32" t="n"/>
      <c r="J53" s="32" t="n"/>
      <c r="K53" s="33">
        <f>IF(COUNT(C53:J53)=0,"",SUM(C53:J53))</f>
        <v/>
      </c>
      <c r="L53" s="4" t="inlineStr">
        <is>
          <t>∑</t>
        </is>
      </c>
      <c r="M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2" t="n"/>
      <c r="I54" s="32" t="n"/>
      <c r="J54" s="32" t="n"/>
      <c r="K54" s="33">
        <f>IF(COUNT(C54:J54)=0,"",SUM(C54:J54))</f>
        <v/>
      </c>
      <c r="L54" s="4" t="inlineStr">
        <is>
          <t>∑</t>
        </is>
      </c>
      <c r="M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14">
        <f>IF(COUNT(J50:J54)=0,"",SUM(J50:J54))</f>
        <v/>
      </c>
      <c r="K55" s="33">
        <f>IF(COUNT(K50:K54)=0,"",SUM(K50:K54))</f>
        <v/>
      </c>
      <c r="L55" s="4" t="inlineStr">
        <is>
          <t>ϝ</t>
        </is>
      </c>
      <c r="M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2" t="n"/>
      <c r="I56" s="32" t="n"/>
      <c r="J56" s="32" t="n"/>
      <c r="K56" s="33">
        <f>IF(COUNT(C56:J56)=0,"",SUM(C56:J56))</f>
        <v/>
      </c>
      <c r="L56" s="4" t="inlineStr">
        <is>
          <t>∑</t>
        </is>
      </c>
      <c r="M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2" t="n"/>
      <c r="I57" s="32" t="n"/>
      <c r="J57" s="32" t="n"/>
      <c r="K57" s="33">
        <f>IF(COUNT(C57:J57)=0,"",SUM(C57:J57))</f>
        <v/>
      </c>
      <c r="L57" s="4" t="inlineStr">
        <is>
          <t>∑</t>
        </is>
      </c>
      <c r="M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2" t="n"/>
      <c r="I58" s="32" t="n"/>
      <c r="J58" s="32" t="n"/>
      <c r="K58" s="33">
        <f>IF(COUNT(C58:J58)=0,"",SUM(C58:J58))</f>
        <v/>
      </c>
      <c r="L58" s="4" t="inlineStr">
        <is>
          <t>∑</t>
        </is>
      </c>
      <c r="M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2" t="n"/>
      <c r="I59" s="32" t="n"/>
      <c r="J59" s="32" t="n"/>
      <c r="K59" s="33">
        <f>IF(COUNT(C59:J59)=0,"",SUM(C59:J59))</f>
        <v/>
      </c>
      <c r="L59" s="4" t="inlineStr">
        <is>
          <t>∑</t>
        </is>
      </c>
      <c r="M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19">
        <f>IFERROR(J50/J$55,"")</f>
        <v/>
      </c>
      <c r="K60" s="36">
        <f>IFERROR(K50/K$55,"")</f>
        <v/>
      </c>
      <c r="L60" s="4" t="inlineStr">
        <is>
          <t>ϝ</t>
        </is>
      </c>
      <c r="M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19">
        <f>IFERROR(J51/J$55,"")</f>
        <v/>
      </c>
      <c r="K61" s="36">
        <f>IFERROR(K51/K$55,"")</f>
        <v/>
      </c>
      <c r="L61" s="4" t="inlineStr">
        <is>
          <t>ϝ</t>
        </is>
      </c>
      <c r="M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19">
        <f>IFERROR(J52/J$55,"")</f>
        <v/>
      </c>
      <c r="K62" s="36">
        <f>IFERROR(K52/K$55,"")</f>
        <v/>
      </c>
      <c r="L62" s="4" t="inlineStr">
        <is>
          <t>ϝ</t>
        </is>
      </c>
      <c r="M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19">
        <f>IFERROR(J53/J$55,"")</f>
        <v/>
      </c>
      <c r="K63" s="36">
        <f>IFERROR(K53/K$55,"")</f>
        <v/>
      </c>
      <c r="L63" s="4" t="inlineStr">
        <is>
          <t>ϝ</t>
        </is>
      </c>
      <c r="M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19">
        <f>IFERROR(J54/J$55,"")</f>
        <v/>
      </c>
      <c r="K64" s="36">
        <f>IFERROR(K54/K$55,"")</f>
        <v/>
      </c>
      <c r="L64" s="4" t="inlineStr">
        <is>
          <t>ϝ</t>
        </is>
      </c>
      <c r="M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19">
        <f>IFERROR(J56/J5,"")</f>
        <v/>
      </c>
      <c r="K65" s="36">
        <f>IFERROR(K56/K5,"")</f>
        <v/>
      </c>
      <c r="L65" s="4" t="inlineStr">
        <is>
          <t>ϝ</t>
        </is>
      </c>
      <c r="M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16">
        <f>IFERROR(J55/J5,"")</f>
        <v/>
      </c>
      <c r="K66" s="34">
        <f>IFERROR(K55/K5,"")</f>
        <v/>
      </c>
      <c r="L66" s="4" t="inlineStr">
        <is>
          <t>ϝ</t>
        </is>
      </c>
      <c r="M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16">
        <f>IFERROR(J55/J56,"")</f>
        <v/>
      </c>
      <c r="K67" s="34">
        <f>IFERROR(K55/K56,"")</f>
        <v/>
      </c>
      <c r="L67" s="4" t="inlineStr">
        <is>
          <t>ϝ</t>
        </is>
      </c>
      <c r="M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16">
        <f>IF(COUNT(J58:J59)=0,"",IFERROR((N(J58)+N(J59))/J5,""))</f>
        <v/>
      </c>
      <c r="K68" s="34">
        <f>IF(COUNT(K58:K59)=0,"",IFERROR((N(K58)+N(K59))/K5,""))</f>
        <v/>
      </c>
      <c r="L68" s="4" t="inlineStr">
        <is>
          <t>ϝ</t>
        </is>
      </c>
      <c r="M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16">
        <f>IF(COUNT(J58:J59)=0,"",IFERROR((N(J58)+N(J59))/J56,""))</f>
        <v/>
      </c>
      <c r="K69" s="34">
        <f>IF(COUNT(K58:K59)=0,"",IFERROR((N(K58)+N(K59))/K56,""))</f>
        <v/>
      </c>
      <c r="L69" s="4" t="inlineStr">
        <is>
          <t>ϝ</t>
        </is>
      </c>
      <c r="M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14">
        <f>COUNTBLANK(J3:J4)+COUNTBLANK(J6:J10)+COUNTBLANK(J12:J13)+COUNTBLANK(J18:J20)+COUNTBLANK(J22:J23)+COUNTBLANK(J27:J28)+COUNTBLANK(J34:J35)+COUNTBLANK(J39:J44)+COUNTBLANK(J46:J47)+COUNTBLANK(J50:J54)+COUNTBLANK(J56:J59)</f>
        <v/>
      </c>
      <c r="K70" s="33">
        <f>SUM(C70:J70)</f>
        <v/>
      </c>
      <c r="L70" s="39" t="inlineStr">
        <is>
          <t>∑</t>
        </is>
      </c>
      <c r="M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26953125" customWidth="1" min="10" max="10"/>
    <col width="15.7265625" customWidth="1" min="11" max="11"/>
    <col width="21" customWidth="1" min="12" max="12"/>
    <col width="11.81640625" customWidth="1" min="13" max="13"/>
  </cols>
  <sheetData>
    <row r="1" ht="30" customHeight="1">
      <c r="A1" s="1" t="n"/>
      <c r="B1" s="2" t="inlineStr">
        <is>
          <t>GCG CENTRAL AMERICA</t>
        </is>
      </c>
      <c r="C1" s="26" t="inlineStr">
        <is>
          <t>1171</t>
        </is>
      </c>
      <c r="D1" s="26" t="inlineStr">
        <is>
          <t>1162</t>
        </is>
      </c>
      <c r="E1" s="26" t="inlineStr">
        <is>
          <t>1076</t>
        </is>
      </c>
      <c r="F1" s="26" t="inlineStr">
        <is>
          <t>1170</t>
        </is>
      </c>
      <c r="G1" s="26" t="inlineStr">
        <is>
          <t>1078</t>
        </is>
      </c>
      <c r="H1" s="26" t="inlineStr">
        <is>
          <t>1172</t>
        </is>
      </c>
      <c r="I1" s="26" t="inlineStr">
        <is>
          <t>1074</t>
        </is>
      </c>
      <c r="J1" s="26" t="inlineStr">
        <is>
          <t>1161</t>
        </is>
      </c>
      <c r="K1" s="3" t="n"/>
      <c r="L1" s="3" t="n"/>
      <c r="M1" s="3" t="n"/>
    </row>
    <row r="2" ht="72" customHeight="1">
      <c r="A2" s="4">
        <f>VALUE(TEXT(EDATE(DATE(LEFT(APR!A2,4),RIGHT(APR!A2,2),1),1),"yyyymm"))</f>
        <v/>
      </c>
      <c r="B2" s="5" t="inlineStr">
        <is>
          <t>MAY</t>
        </is>
      </c>
      <c r="C2" s="27" t="inlineStr">
        <is>
          <t>GCG Culinary Costa Rica</t>
        </is>
      </c>
      <c r="D2" s="27" t="inlineStr">
        <is>
          <t>GCG Food Guatemala</t>
        </is>
      </c>
      <c r="E2" s="27" t="inlineStr">
        <is>
          <t>GCG Guatemala</t>
        </is>
      </c>
      <c r="F2" s="27" t="inlineStr">
        <is>
          <t>GCG Aviation Ground Honduras</t>
        </is>
      </c>
      <c r="G2" s="27" t="inlineStr">
        <is>
          <t>GCG Honduras</t>
        </is>
      </c>
      <c r="H2" s="27" t="inlineStr">
        <is>
          <t>GCG Concessions Panama</t>
        </is>
      </c>
      <c r="I2" s="27" t="inlineStr">
        <is>
          <t>GCG El Salvador</t>
        </is>
      </c>
      <c r="J2" s="27" t="inlineStr">
        <is>
          <t>GCG Food El Salvador</t>
        </is>
      </c>
      <c r="K2" s="28" t="inlineStr">
        <is>
          <t>TOTAL</t>
        </is>
      </c>
      <c r="L2" s="4" t="inlineStr">
        <is>
          <t>Total by Division</t>
        </is>
      </c>
      <c r="M2" s="29">
        <f>N(M11)&lt;&gt;0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0" t="n"/>
      <c r="I3" s="30" t="n"/>
      <c r="J3" s="30" t="n"/>
      <c r="K3" s="31">
        <f>IF(COUNT(C3:J3)=0,"",SUM(C3:J3))</f>
        <v/>
      </c>
      <c r="L3" s="4" t="inlineStr">
        <is>
          <t>∑</t>
        </is>
      </c>
      <c r="M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0" t="n"/>
      <c r="I4" s="30" t="n"/>
      <c r="J4" s="30" t="n"/>
      <c r="K4" s="31">
        <f>IF(COUNT(C4:J4)=0,"",SUM(C4:J4))</f>
        <v/>
      </c>
      <c r="L4" s="4" t="inlineStr">
        <is>
          <t>∑</t>
        </is>
      </c>
      <c r="M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11">
        <f>IF(COUNT(J3:J4)=0,"",SUM(J3:J4))</f>
        <v/>
      </c>
      <c r="K5" s="31">
        <f>IF(COUNT(K3:K4)=0,"",SUM(K3:K4))</f>
        <v/>
      </c>
      <c r="L5" s="4" t="inlineStr">
        <is>
          <t>ϝ</t>
        </is>
      </c>
      <c r="M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0" t="n"/>
      <c r="I6" s="30" t="n"/>
      <c r="J6" s="30" t="n"/>
      <c r="K6" s="31">
        <f>IF(COUNT(C6:J6)=0,"",SUM(C6:J6))</f>
        <v/>
      </c>
      <c r="L6" s="4" t="inlineStr">
        <is>
          <t>∑</t>
        </is>
      </c>
      <c r="M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0" t="n"/>
      <c r="I7" s="30" t="n"/>
      <c r="J7" s="30" t="n"/>
      <c r="K7" s="31">
        <f>IF(COUNT(C7:J7)=0,"",SUM(C7:J7))</f>
        <v/>
      </c>
      <c r="L7" s="4" t="inlineStr">
        <is>
          <t>∑</t>
        </is>
      </c>
      <c r="M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0" t="n"/>
      <c r="I8" s="30" t="n"/>
      <c r="J8" s="30" t="n"/>
      <c r="K8" s="31">
        <f>IF(COUNT(C8:J8)=0,"",SUM(C8:J8))</f>
        <v/>
      </c>
      <c r="L8" s="4" t="inlineStr">
        <is>
          <t>∑</t>
        </is>
      </c>
      <c r="M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0" t="n"/>
      <c r="I9" s="30" t="n"/>
      <c r="J9" s="30" t="n"/>
      <c r="K9" s="31">
        <f>IF(COUNT(C9:J9)=0,"",SUM(C9:J9))</f>
        <v/>
      </c>
      <c r="L9" s="4" t="inlineStr">
        <is>
          <t>∑</t>
        </is>
      </c>
      <c r="M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2" t="n"/>
      <c r="I10" s="32" t="n"/>
      <c r="J10" s="32" t="n"/>
      <c r="K10" s="33">
        <f>IFERROR(AVERAGE(C10:J10),"")</f>
        <v/>
      </c>
      <c r="L10" s="4" t="inlineStr">
        <is>
          <t>Avg</t>
        </is>
      </c>
      <c r="M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16">
        <f>IF(COUNT(J6:J9)=0,"",N(J6)+N(J7)*0.75+N(J8)*0.5+N(J9)*0.25)</f>
        <v/>
      </c>
      <c r="K11" s="34">
        <f>IF(COUNT(K6:K9)=0,"",N(K6)+N(K7)*0.75+N(K8)*0.5+N(K9)*0.25)</f>
        <v/>
      </c>
      <c r="L11" s="4" t="inlineStr">
        <is>
          <t>FTE</t>
        </is>
      </c>
      <c r="M11" s="35">
        <f>IF(COUNT(K5:K9)=0,"",N(K6)+N(K7)+N(K8)+N(K9)-N(K5))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0" t="n"/>
      <c r="I12" s="30" t="n"/>
      <c r="J12" s="30" t="n"/>
      <c r="K12" s="31">
        <f>IF(COUNT(C12:J12)=0,"",SUM(C12:J12))</f>
        <v/>
      </c>
      <c r="L12" s="4" t="inlineStr">
        <is>
          <t>∑</t>
        </is>
      </c>
      <c r="M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2" t="n"/>
      <c r="I13" s="32" t="n"/>
      <c r="J13" s="32" t="n"/>
      <c r="K13" s="33">
        <f>IF(COUNT(C13:J13)=0,"",SUM(C13:J13))</f>
        <v/>
      </c>
      <c r="L13" s="4" t="inlineStr">
        <is>
          <t>∑</t>
        </is>
      </c>
      <c r="M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16">
        <f>IFERROR(J13/J10,"")</f>
        <v/>
      </c>
      <c r="K14" s="34">
        <f>IF(COUNT(C14:J14)=0,"",SUM(C14:J14))</f>
        <v/>
      </c>
      <c r="L14" s="4" t="inlineStr">
        <is>
          <t>FTE</t>
        </is>
      </c>
      <c r="M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11">
        <f>IF(COUNT(J5,J12)=0,"",SUM(J5,J12))</f>
        <v/>
      </c>
      <c r="K15" s="31">
        <f>IF(COUNT(K5,K12)=0,"",SUM(K5,K12))</f>
        <v/>
      </c>
      <c r="L15" s="4" t="inlineStr">
        <is>
          <t>ϝ</t>
        </is>
      </c>
      <c r="M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16">
        <f>IF(COUNT(J11,J14)=0,"",SUM(J11,J14))</f>
        <v/>
      </c>
      <c r="K16" s="34">
        <f>IF(COUNT(K11,K14)=0,"",SUM(K11,K14))</f>
        <v/>
      </c>
      <c r="L16" s="4" t="inlineStr">
        <is>
          <t>FTE</t>
        </is>
      </c>
      <c r="M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19">
        <f>IFERROR(J12/J15,"")</f>
        <v/>
      </c>
      <c r="K17" s="36">
        <f>IFERROR(K12/K15,"")</f>
        <v/>
      </c>
      <c r="L17" s="4" t="inlineStr">
        <is>
          <t>ϝ</t>
        </is>
      </c>
      <c r="M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0" t="n"/>
      <c r="I18" s="30" t="n"/>
      <c r="J18" s="30" t="n"/>
      <c r="K18" s="31">
        <f>IF(COUNT(C18:J18)=0,"",SUM(C18:J18))</f>
        <v/>
      </c>
      <c r="L18" s="4" t="inlineStr">
        <is>
          <t>∑</t>
        </is>
      </c>
      <c r="M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0" t="n"/>
      <c r="I19" s="30" t="n"/>
      <c r="J19" s="30" t="n"/>
      <c r="K19" s="31">
        <f>IF(COUNT(C19:J19)=0,"",SUM(C19:J19))</f>
        <v/>
      </c>
      <c r="L19" s="4" t="inlineStr">
        <is>
          <t>∑</t>
        </is>
      </c>
      <c r="M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0" t="n"/>
      <c r="I20" s="30" t="n"/>
      <c r="J20" s="30" t="n"/>
      <c r="K20" s="31">
        <f>IF(COUNT(C20:J20)=0,"",SUM(C20:J20))</f>
        <v/>
      </c>
      <c r="L20" s="4" t="inlineStr">
        <is>
          <t>∑</t>
        </is>
      </c>
      <c r="M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11">
        <f>IF(COUNT(J19:J20)=0,"",SUM(J19:J20))</f>
        <v/>
      </c>
      <c r="K21" s="31">
        <f>IF(COUNT(K19:K20)=0,"",SUM(K19:K20))</f>
        <v/>
      </c>
      <c r="L21" s="4" t="inlineStr">
        <is>
          <t>ϝ</t>
        </is>
      </c>
      <c r="M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0" t="n"/>
      <c r="I22" s="30" t="n"/>
      <c r="J22" s="30" t="n"/>
      <c r="K22" s="31">
        <f>IF(COUNT(C22:J22)=0,"",SUM(C22:J22))</f>
        <v/>
      </c>
      <c r="L22" s="4" t="inlineStr">
        <is>
          <t>∑</t>
        </is>
      </c>
      <c r="M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0" t="n"/>
      <c r="I23" s="30" t="n"/>
      <c r="J23" s="30" t="n"/>
      <c r="K23" s="31">
        <f>IF(COUNT(C23:J23)=0,"",SUM(C23:J23))</f>
        <v/>
      </c>
      <c r="L23" s="4" t="inlineStr">
        <is>
          <t>∑</t>
        </is>
      </c>
      <c r="M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11">
        <f>IF(COUNT(J22:J23)=0,"",SUM(J22:J23))</f>
        <v/>
      </c>
      <c r="K24" s="31">
        <f>IF(COUNT(K22:K23)=0,"",SUM(K22:K23))</f>
        <v/>
      </c>
      <c r="L24" s="4" t="inlineStr">
        <is>
          <t>ϝ</t>
        </is>
      </c>
      <c r="M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19">
        <f>IF(COUNT(J31,J32)&lt;2,"",IF((J32+J31)=0,"",N(J22)/((J32+J31)/2)))</f>
        <v/>
      </c>
      <c r="K25" s="36">
        <f>IF(COUNT(K31,K32)&lt;2,"",IF((K32+K31)=0,"",N(K22)/((K32+K31)/2)))</f>
        <v/>
      </c>
      <c r="L25" s="4" t="inlineStr">
        <is>
          <t>ϝ</t>
        </is>
      </c>
      <c r="M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19">
        <f>IF(COUNT(J31,J32)&lt;2,"",IF((J32+J31)=0,"",N(J23)/((J32+J31)/2)))</f>
        <v/>
      </c>
      <c r="K26" s="36">
        <f>IF(COUNT(K31,K32)&lt;2,"",IF((K32+K31)=0,"",N(K23)/((K32+K31)/2)))</f>
        <v/>
      </c>
      <c r="L26" s="4" t="inlineStr">
        <is>
          <t>ϝ</t>
        </is>
      </c>
      <c r="M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0" t="n"/>
      <c r="I27" s="30" t="n"/>
      <c r="J27" s="30" t="n"/>
      <c r="K27" s="31">
        <f>IF(COUNT(C27:J27)=0,"",SUM(C27:J27))</f>
        <v/>
      </c>
      <c r="L27" s="4" t="inlineStr">
        <is>
          <t>∑</t>
        </is>
      </c>
      <c r="M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0" t="n"/>
      <c r="I28" s="30" t="n"/>
      <c r="J28" s="30" t="n"/>
      <c r="K28" s="31">
        <f>IF(COUNT(C28:J28)=0,"",SUM(C28:J28))</f>
        <v/>
      </c>
      <c r="L28" s="4" t="inlineStr">
        <is>
          <t>∑</t>
        </is>
      </c>
      <c r="M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19">
        <f>IF(COUNT(J31,J32)&lt;2,"",IF((J32+J31)=0,"",N(J27)/((J32+J31)/2)))</f>
        <v/>
      </c>
      <c r="K29" s="36">
        <f>IF(COUNT(K31,K32)&lt;2,"",IF((K32+K31)=0,"",N(K27)/((K32+K31)/2)))</f>
        <v/>
      </c>
      <c r="L29" s="4" t="inlineStr">
        <is>
          <t>ϝ</t>
        </is>
      </c>
      <c r="M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19">
        <f>IF(COUNT(J31,J32)&lt;2,"",IF((J32+J31)=0,"",N(J28)/((J32+J31)/2)))</f>
        <v/>
      </c>
      <c r="K30" s="36">
        <f>IF(COUNT(K31,K32)&lt;2,"",IF((K32+K31)=0,"",N(K28)/((K32+K31)/2)))</f>
        <v/>
      </c>
      <c r="L30" s="4" t="inlineStr">
        <is>
          <t>ϝ</t>
        </is>
      </c>
      <c r="M30" s="3" t="n"/>
    </row>
    <row r="31" ht="15.5" customHeight="1">
      <c r="A31" s="3" t="n"/>
      <c r="B31" s="10" t="inlineStr">
        <is>
          <t>Headcount last Month</t>
        </is>
      </c>
      <c r="C31" s="11">
        <f>IF(APR!C5="","",APR!C5)</f>
        <v/>
      </c>
      <c r="D31" s="11">
        <f>IF(APR!D5="","",APR!D5)</f>
        <v/>
      </c>
      <c r="E31" s="11">
        <f>IF(APR!E5="","",APR!E5)</f>
        <v/>
      </c>
      <c r="F31" s="11">
        <f>IF(APR!F5="","",APR!F5)</f>
        <v/>
      </c>
      <c r="G31" s="11">
        <f>IF(APR!G5="","",APR!G5)</f>
        <v/>
      </c>
      <c r="H31" s="11">
        <f>IF(APR!H5="","",APR!H5)</f>
        <v/>
      </c>
      <c r="I31" s="11">
        <f>IF(APR!I5="","",APR!I5)</f>
        <v/>
      </c>
      <c r="J31" s="11">
        <f>IF(APR!J5="","",APR!J5)</f>
        <v/>
      </c>
      <c r="K31" s="31">
        <f>IF(COUNT(C31:J31)=0,"",SUM(C31:J31))</f>
        <v/>
      </c>
      <c r="L31" s="4" t="inlineStr">
        <is>
          <t>∑</t>
        </is>
      </c>
      <c r="M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11">
        <f>IF(J5="","",J5)</f>
        <v/>
      </c>
      <c r="K32" s="31">
        <f>IF(COUNT(C32:J32)=0,"",SUM(C32:J32))</f>
        <v/>
      </c>
      <c r="L32" s="4" t="inlineStr">
        <is>
          <t>∑</t>
        </is>
      </c>
      <c r="M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19">
        <f>IF(COUNT(J31,J32)&lt;2,"",IF((J32+J31)=0,"",N(J24)/((J32+J31)/2)))</f>
        <v/>
      </c>
      <c r="K33" s="36">
        <f>IF(COUNT(K31,K32)&lt;2,"",IF((K32+K31)=0,"",N(K24)/((K32+K31)/2)))</f>
        <v/>
      </c>
      <c r="L33" s="4" t="inlineStr">
        <is>
          <t>ϝ</t>
        </is>
      </c>
      <c r="M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0" t="n"/>
      <c r="I34" s="30" t="n"/>
      <c r="J34" s="30" t="n"/>
      <c r="K34" s="31">
        <f>IF(COUNT(C34:J34)=0,"",SUM(C34:J34))</f>
        <v/>
      </c>
      <c r="L34" s="4" t="inlineStr">
        <is>
          <t>∑</t>
        </is>
      </c>
      <c r="M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0" t="n"/>
      <c r="I35" s="30" t="n"/>
      <c r="J35" s="30" t="n"/>
      <c r="K35" s="31">
        <f>IF(COUNT(C35:J35)=0,"",SUM(C35:J35))</f>
        <v/>
      </c>
      <c r="L35" s="4" t="inlineStr">
        <is>
          <t>∑</t>
        </is>
      </c>
      <c r="M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11">
        <f>IF(COUNT(J34:J35)=0,"",SUM(J34:J35))</f>
        <v/>
      </c>
      <c r="K36" s="31">
        <f>IF(COUNT(K34:K35)=0,"",SUM(K34:K35))</f>
        <v/>
      </c>
      <c r="L36" s="4" t="inlineStr">
        <is>
          <t>ϝ</t>
        </is>
      </c>
      <c r="M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11">
        <f>IF(COUNT(J5,J36)=0,"",N(J5)+N(J36))</f>
        <v/>
      </c>
      <c r="K37" s="31">
        <f>IF(COUNT(K5,K36)=0,"",N(K5)+N(K36))</f>
        <v/>
      </c>
      <c r="L37" s="4" t="inlineStr">
        <is>
          <t>ϝ</t>
        </is>
      </c>
      <c r="M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19">
        <f>IFERROR(J36/J37,"")</f>
        <v/>
      </c>
      <c r="K38" s="36">
        <f>IFERROR(K36/K37,"")</f>
        <v/>
      </c>
      <c r="L38" s="4" t="inlineStr">
        <is>
          <t>ϝ</t>
        </is>
      </c>
      <c r="M38" s="3" t="n"/>
    </row>
    <row r="39" ht="15.5" customHeight="1">
      <c r="A39" s="3" t="n"/>
      <c r="B39" s="10" t="inlineStr">
        <is>
          <t>Permanent TimeToHire (Days) YTD</t>
        </is>
      </c>
      <c r="C39" s="14">
        <f>IF('(Culinary_CRI)'!$AB$11="","",'(Culinary_CRI)'!$AB$11)</f>
        <v/>
      </c>
      <c r="D39" s="14">
        <f>IF('(Food_GTM)'!$AB$11="","",'(Food_GTM)'!$AB$11)</f>
        <v/>
      </c>
      <c r="E39" s="14">
        <f>IF('(GCG_GTM)'!$AB$11="","",'(GCG_GTM)'!$AB$11)</f>
        <v/>
      </c>
      <c r="F39" s="14">
        <f>IF('(Ground_HND)'!$AB$11="","",'(Ground_HND)'!$AB$11)</f>
        <v/>
      </c>
      <c r="G39" s="14">
        <f>IF('(GCG_HND)'!$AB$11="","",'(GCG_HND)'!$AB$11)</f>
        <v/>
      </c>
      <c r="H39" s="14">
        <f>IF('(Concess_PAN)'!$AB$11="","",'(Concess_PAN)'!$AB$11)</f>
        <v/>
      </c>
      <c r="I39" s="14">
        <f>IF('(GCG_SLV)'!$AB$11="","",'(GCG_SLV)'!$AB$11)</f>
        <v/>
      </c>
      <c r="J39" s="14">
        <f>IF('(Food_SLV)'!$AB$11="","",'(Food_SLV)'!$AB$11)</f>
        <v/>
      </c>
      <c r="K39" s="33">
        <f>IFERROR(AVERAGE(C39:J39),"")</f>
        <v/>
      </c>
      <c r="L39" s="4" t="inlineStr">
        <is>
          <t>Avg</t>
        </is>
      </c>
      <c r="M39" s="3" t="n"/>
    </row>
    <row r="40" ht="15.5" customHeight="1">
      <c r="A40" s="3" t="n"/>
      <c r="B40" s="10" t="inlineStr">
        <is>
          <t>Temporary TimeToHire (Days) YTD</t>
        </is>
      </c>
      <c r="C40" s="14">
        <f>IF('(Culinary_CRI)'!$AD$11="","",'(Culinary_CRI)'!$AD$11)</f>
        <v/>
      </c>
      <c r="D40" s="14">
        <f>IF('(Food_GTM)'!$AD$11="","",'(Food_GTM)'!$AD$11)</f>
        <v/>
      </c>
      <c r="E40" s="14">
        <f>IF('(GCG_GTM)'!$AD$11="","",'(GCG_GTM)'!$AD$11)</f>
        <v/>
      </c>
      <c r="F40" s="14">
        <f>IF('(Ground_HND)'!$AD$11="","",'(Ground_HND)'!$AD$11)</f>
        <v/>
      </c>
      <c r="G40" s="14">
        <f>IF('(GCG_HND)'!$AD$11="","",'(GCG_HND)'!$AD$11)</f>
        <v/>
      </c>
      <c r="H40" s="14">
        <f>IF('(Concess_PAN)'!$AD$11="","",'(Concess_PAN)'!$AD$11)</f>
        <v/>
      </c>
      <c r="I40" s="14">
        <f>IF('(GCG_SLV)'!$AD$11="","",'(GCG_SLV)'!$AD$11)</f>
        <v/>
      </c>
      <c r="J40" s="14">
        <f>IF('(Food_SLV)'!$AD$11="","",'(Food_SLV)'!$AD$11)</f>
        <v/>
      </c>
      <c r="K40" s="33">
        <f>IFERROR(AVERAGE(C40:J40),"")</f>
        <v/>
      </c>
      <c r="L40" s="4" t="inlineStr">
        <is>
          <t>Avg</t>
        </is>
      </c>
      <c r="M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7" t="n"/>
      <c r="I41" s="37" t="n"/>
      <c r="J41" s="37" t="n"/>
      <c r="K41" s="38">
        <f>IFERROR(AVERAGE(C41:J41),"")</f>
        <v/>
      </c>
      <c r="L41" s="4" t="inlineStr">
        <is>
          <t>Avg</t>
        </is>
      </c>
      <c r="M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0" t="n"/>
      <c r="I42" s="30" t="n"/>
      <c r="J42" s="30" t="n"/>
      <c r="K42" s="31">
        <f>IF(COUNT(C42:J42)=0,"",SUM(C42:J42))</f>
        <v/>
      </c>
      <c r="L42" s="4" t="inlineStr">
        <is>
          <t>∑</t>
        </is>
      </c>
      <c r="M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2" t="n"/>
      <c r="I43" s="32" t="n"/>
      <c r="J43" s="32" t="n"/>
      <c r="K43" s="33">
        <f>IF(COUNT(C43:J43)=0,"",SUM(C43:J43))</f>
        <v/>
      </c>
      <c r="L43" s="4" t="inlineStr">
        <is>
          <t>∑</t>
        </is>
      </c>
      <c r="M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2" t="n"/>
      <c r="I44" s="32" t="n"/>
      <c r="J44" s="32" t="n"/>
      <c r="K44" s="33">
        <f>IF(COUNT(C44:J44)=0,"",SUM(C44:J44))</f>
        <v/>
      </c>
      <c r="L44" s="4" t="inlineStr">
        <is>
          <t>∑</t>
        </is>
      </c>
      <c r="M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14">
        <f>IF(COUNT(J43:J44)=0,"",SUM(J43:J44))</f>
        <v/>
      </c>
      <c r="K45" s="33">
        <f>IF(COUNT(K43:K44)=0,"",SUM(K43:K44))</f>
        <v/>
      </c>
      <c r="L45" s="4" t="inlineStr">
        <is>
          <t>ϝ</t>
        </is>
      </c>
      <c r="M45" s="3" t="n"/>
    </row>
    <row r="46" ht="15.5" customHeight="1">
      <c r="A46" s="3" t="n"/>
      <c r="B46" s="13" t="inlineStr">
        <is>
          <t>Absent Rate Non-Certified (%)</t>
        </is>
      </c>
      <c r="C46" s="19">
        <f>IF('(Culinary_CRI)'!$G$11="","",'(Culinary_CRI)'!$G$11)</f>
        <v/>
      </c>
      <c r="D46" s="19">
        <f>IF('(Food_GTM)'!$G$11="","",'(Food_GTM)'!$G$11)</f>
        <v/>
      </c>
      <c r="E46" s="19">
        <f>IF('(GCG_GTM)'!$G$11="","",'(GCG_GTM)'!$G$11)</f>
        <v/>
      </c>
      <c r="F46" s="19">
        <f>IF('(Ground_HND)'!$G$11="","",'(Ground_HND)'!$G$11)</f>
        <v/>
      </c>
      <c r="G46" s="19">
        <f>IF('(GCG_HND)'!$G$11="","",'(GCG_HND)'!$G$11)</f>
        <v/>
      </c>
      <c r="H46" s="19">
        <f>IF('(Concess_PAN)'!$G$11="","",'(Concess_PAN)'!$G$11)</f>
        <v/>
      </c>
      <c r="I46" s="19">
        <f>IF('(GCG_SLV)'!$G$11="","",'(GCG_SLV)'!$G$11)</f>
        <v/>
      </c>
      <c r="J46" s="19">
        <f>IF('(Food_SLV)'!$G$11="","",'(Food_SLV)'!$G$11)</f>
        <v/>
      </c>
      <c r="K46" s="36">
        <f t="array" ref="K46">IF(COUNT(C46:J46)=0,"",IFERROR(SUMPRODUCT(IFERROR(C46:J46*((C3:J3)+(C4:J4)),0))/SUMPRODUCT(IFERROR(ISNUMBER(C46:J46)*((C3:J3)+(C4:J4)),0)),""))</f>
        <v/>
      </c>
      <c r="L46" s="4" t="inlineStr">
        <is>
          <t>Weighted</t>
        </is>
      </c>
      <c r="M46" s="3" t="n"/>
    </row>
    <row r="47" ht="15.5" customHeight="1">
      <c r="A47" s="3" t="n"/>
      <c r="B47" s="13" t="inlineStr">
        <is>
          <t>Absent Rate Certified (%)</t>
        </is>
      </c>
      <c r="C47" s="19">
        <f>IF('(Culinary_CRI)'!$O$11="","",'(Culinary_CRI)'!$O$11)</f>
        <v/>
      </c>
      <c r="D47" s="19">
        <f>IF('(Food_GTM)'!$O$11="","",'(Food_GTM)'!$O$11)</f>
        <v/>
      </c>
      <c r="E47" s="19">
        <f>IF('(GCG_GTM)'!$O$11="","",'(GCG_GTM)'!$O$11)</f>
        <v/>
      </c>
      <c r="F47" s="19">
        <f>IF('(Ground_HND)'!$O$11="","",'(Ground_HND)'!$O$11)</f>
        <v/>
      </c>
      <c r="G47" s="19">
        <f>IF('(GCG_HND)'!$O$11="","",'(GCG_HND)'!$O$11)</f>
        <v/>
      </c>
      <c r="H47" s="19">
        <f>IF('(Concess_PAN)'!$O$11="","",'(Concess_PAN)'!$O$11)</f>
        <v/>
      </c>
      <c r="I47" s="19">
        <f>IF('(GCG_SLV)'!$O$11="","",'(GCG_SLV)'!$O$11)</f>
        <v/>
      </c>
      <c r="J47" s="19">
        <f>IF('(Food_SLV)'!$O$11="","",'(Food_SLV)'!$O$11)</f>
        <v/>
      </c>
      <c r="K47" s="36">
        <f t="array" ref="K47">IF(COUNT(C47:J47)=0,"",IFERROR(SUMPRODUCT(IFERROR(C47:J47*((C3:J3)+(C4:J4)),0))/SUMPRODUCT(IFERROR(ISNUMBER(C47:J47)*((C3:J3)+(C4:J4)),0)),""))</f>
        <v/>
      </c>
      <c r="L47" s="4" t="inlineStr">
        <is>
          <t>Weighted</t>
        </is>
      </c>
      <c r="M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19">
        <f>IF(COUNT(J46:J47)=0,"",SUM(J46:J47))</f>
        <v/>
      </c>
      <c r="K48" s="36">
        <f>IF(COUNT(K46:K47)=0,"",SUM(K46:K47))</f>
        <v/>
      </c>
      <c r="L48" s="4" t="inlineStr">
        <is>
          <t>Weighted</t>
        </is>
      </c>
      <c r="M48" s="3" t="n"/>
    </row>
    <row r="49" ht="15.5" customHeight="1">
      <c r="A49" s="3" t="n"/>
      <c r="B49" s="18" t="inlineStr">
        <is>
          <t>Weight factor</t>
        </is>
      </c>
      <c r="C49" s="19">
        <f>IFERROR(C5/$K5,"")</f>
        <v/>
      </c>
      <c r="D49" s="19">
        <f>IFERROR(D5/$K5,"")</f>
        <v/>
      </c>
      <c r="E49" s="19">
        <f>IFERROR(E5/$K5,"")</f>
        <v/>
      </c>
      <c r="F49" s="19">
        <f>IFERROR(F5/$K5,"")</f>
        <v/>
      </c>
      <c r="G49" s="19">
        <f>IFERROR(G5/$K5,"")</f>
        <v/>
      </c>
      <c r="H49" s="19">
        <f>IFERROR(H5/$K5,"")</f>
        <v/>
      </c>
      <c r="I49" s="19">
        <f>IFERROR(I5/$K5,"")</f>
        <v/>
      </c>
      <c r="J49" s="19">
        <f>IFERROR(J5/$K5,"")</f>
        <v/>
      </c>
      <c r="K49" s="36">
        <f>IF(COUNT(C49:J49)=0,"",SUM(C49:J49))</f>
        <v/>
      </c>
      <c r="L49" s="4" t="inlineStr">
        <is>
          <t>Weight Factor</t>
        </is>
      </c>
      <c r="M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2" t="n"/>
      <c r="I50" s="32" t="n"/>
      <c r="J50" s="32" t="n"/>
      <c r="K50" s="33">
        <f>IF(COUNT(C50:J50)=0,"",SUM(C50:J50))</f>
        <v/>
      </c>
      <c r="L50" s="4" t="inlineStr">
        <is>
          <t>∑</t>
        </is>
      </c>
      <c r="M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2" t="n"/>
      <c r="I51" s="32" t="n"/>
      <c r="J51" s="32" t="n"/>
      <c r="K51" s="33">
        <f>IF(COUNT(C51:J51)=0,"",SUM(C51:J51))</f>
        <v/>
      </c>
      <c r="L51" s="4" t="inlineStr">
        <is>
          <t>∑</t>
        </is>
      </c>
      <c r="M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2" t="n"/>
      <c r="I52" s="32" t="n"/>
      <c r="J52" s="32" t="n"/>
      <c r="K52" s="33">
        <f>IF(COUNT(C52:J52)=0,"",SUM(C52:J52))</f>
        <v/>
      </c>
      <c r="L52" s="4" t="inlineStr">
        <is>
          <t>∑</t>
        </is>
      </c>
      <c r="M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2" t="n"/>
      <c r="I53" s="32" t="n"/>
      <c r="J53" s="32" t="n"/>
      <c r="K53" s="33">
        <f>IF(COUNT(C53:J53)=0,"",SUM(C53:J53))</f>
        <v/>
      </c>
      <c r="L53" s="4" t="inlineStr">
        <is>
          <t>∑</t>
        </is>
      </c>
      <c r="M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2" t="n"/>
      <c r="I54" s="32" t="n"/>
      <c r="J54" s="32" t="n"/>
      <c r="K54" s="33">
        <f>IF(COUNT(C54:J54)=0,"",SUM(C54:J54))</f>
        <v/>
      </c>
      <c r="L54" s="4" t="inlineStr">
        <is>
          <t>∑</t>
        </is>
      </c>
      <c r="M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14">
        <f>IF(COUNT(J50:J54)=0,"",SUM(J50:J54))</f>
        <v/>
      </c>
      <c r="K55" s="33">
        <f>IF(COUNT(K50:K54)=0,"",SUM(K50:K54))</f>
        <v/>
      </c>
      <c r="L55" s="4" t="inlineStr">
        <is>
          <t>ϝ</t>
        </is>
      </c>
      <c r="M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2" t="n"/>
      <c r="I56" s="32" t="n"/>
      <c r="J56" s="32" t="n"/>
      <c r="K56" s="33">
        <f>IF(COUNT(C56:J56)=0,"",SUM(C56:J56))</f>
        <v/>
      </c>
      <c r="L56" s="4" t="inlineStr">
        <is>
          <t>∑</t>
        </is>
      </c>
      <c r="M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2" t="n"/>
      <c r="I57" s="32" t="n"/>
      <c r="J57" s="32" t="n"/>
      <c r="K57" s="33">
        <f>IF(COUNT(C57:J57)=0,"",SUM(C57:J57))</f>
        <v/>
      </c>
      <c r="L57" s="4" t="inlineStr">
        <is>
          <t>∑</t>
        </is>
      </c>
      <c r="M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2" t="n"/>
      <c r="I58" s="32" t="n"/>
      <c r="J58" s="32" t="n"/>
      <c r="K58" s="33">
        <f>IF(COUNT(C58:J58)=0,"",SUM(C58:J58))</f>
        <v/>
      </c>
      <c r="L58" s="4" t="inlineStr">
        <is>
          <t>∑</t>
        </is>
      </c>
      <c r="M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2" t="n"/>
      <c r="I59" s="32" t="n"/>
      <c r="J59" s="32" t="n"/>
      <c r="K59" s="33">
        <f>IF(COUNT(C59:J59)=0,"",SUM(C59:J59))</f>
        <v/>
      </c>
      <c r="L59" s="4" t="inlineStr">
        <is>
          <t>∑</t>
        </is>
      </c>
      <c r="M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19">
        <f>IFERROR(J50/J$55,"")</f>
        <v/>
      </c>
      <c r="K60" s="36">
        <f>IFERROR(K50/K$55,"")</f>
        <v/>
      </c>
      <c r="L60" s="4" t="inlineStr">
        <is>
          <t>ϝ</t>
        </is>
      </c>
      <c r="M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19">
        <f>IFERROR(J51/J$55,"")</f>
        <v/>
      </c>
      <c r="K61" s="36">
        <f>IFERROR(K51/K$55,"")</f>
        <v/>
      </c>
      <c r="L61" s="4" t="inlineStr">
        <is>
          <t>ϝ</t>
        </is>
      </c>
      <c r="M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19">
        <f>IFERROR(J52/J$55,"")</f>
        <v/>
      </c>
      <c r="K62" s="36">
        <f>IFERROR(K52/K$55,"")</f>
        <v/>
      </c>
      <c r="L62" s="4" t="inlineStr">
        <is>
          <t>ϝ</t>
        </is>
      </c>
      <c r="M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19">
        <f>IFERROR(J53/J$55,"")</f>
        <v/>
      </c>
      <c r="K63" s="36">
        <f>IFERROR(K53/K$55,"")</f>
        <v/>
      </c>
      <c r="L63" s="4" t="inlineStr">
        <is>
          <t>ϝ</t>
        </is>
      </c>
      <c r="M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19">
        <f>IFERROR(J54/J$55,"")</f>
        <v/>
      </c>
      <c r="K64" s="36">
        <f>IFERROR(K54/K$55,"")</f>
        <v/>
      </c>
      <c r="L64" s="4" t="inlineStr">
        <is>
          <t>ϝ</t>
        </is>
      </c>
      <c r="M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19">
        <f>IFERROR(J56/J5,"")</f>
        <v/>
      </c>
      <c r="K65" s="36">
        <f>IFERROR(K56/K5,"")</f>
        <v/>
      </c>
      <c r="L65" s="4" t="inlineStr">
        <is>
          <t>ϝ</t>
        </is>
      </c>
      <c r="M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16">
        <f>IFERROR(J55/J5,"")</f>
        <v/>
      </c>
      <c r="K66" s="34">
        <f>IFERROR(K55/K5,"")</f>
        <v/>
      </c>
      <c r="L66" s="4" t="inlineStr">
        <is>
          <t>ϝ</t>
        </is>
      </c>
      <c r="M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16">
        <f>IFERROR(J55/J56,"")</f>
        <v/>
      </c>
      <c r="K67" s="34">
        <f>IFERROR(K55/K56,"")</f>
        <v/>
      </c>
      <c r="L67" s="4" t="inlineStr">
        <is>
          <t>ϝ</t>
        </is>
      </c>
      <c r="M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16">
        <f>IF(COUNT(J58:J59)=0,"",IFERROR((N(J58)+N(J59))/J5,""))</f>
        <v/>
      </c>
      <c r="K68" s="34">
        <f>IF(COUNT(K58:K59)=0,"",IFERROR((N(K58)+N(K59))/K5,""))</f>
        <v/>
      </c>
      <c r="L68" s="4" t="inlineStr">
        <is>
          <t>ϝ</t>
        </is>
      </c>
      <c r="M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16">
        <f>IF(COUNT(J58:J59)=0,"",IFERROR((N(J58)+N(J59))/J56,""))</f>
        <v/>
      </c>
      <c r="K69" s="34">
        <f>IF(COUNT(K58:K59)=0,"",IFERROR((N(K58)+N(K59))/K56,""))</f>
        <v/>
      </c>
      <c r="L69" s="4" t="inlineStr">
        <is>
          <t>ϝ</t>
        </is>
      </c>
      <c r="M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14">
        <f>COUNTBLANK(J3:J4)+COUNTBLANK(J6:J10)+COUNTBLANK(J12:J13)+COUNTBLANK(J18:J20)+COUNTBLANK(J22:J23)+COUNTBLANK(J27:J28)+COUNTBLANK(J34:J35)+COUNTBLANK(J39:J44)+COUNTBLANK(J46:J47)+COUNTBLANK(J50:J54)+COUNTBLANK(J56:J59)</f>
        <v/>
      </c>
      <c r="K70" s="33">
        <f>SUM(C70:J70)</f>
        <v/>
      </c>
      <c r="L70" s="39" t="inlineStr">
        <is>
          <t>∑</t>
        </is>
      </c>
      <c r="M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26953125" customWidth="1" min="10" max="10"/>
    <col width="15.7265625" customWidth="1" min="11" max="11"/>
    <col width="21" customWidth="1" min="12" max="12"/>
    <col width="11.81640625" customWidth="1" min="13" max="13"/>
  </cols>
  <sheetData>
    <row r="1" ht="30" customHeight="1">
      <c r="A1" s="1" t="n"/>
      <c r="B1" s="2" t="inlineStr">
        <is>
          <t>GCG CENTRAL AMERICA</t>
        </is>
      </c>
      <c r="C1" s="26" t="inlineStr">
        <is>
          <t>1171</t>
        </is>
      </c>
      <c r="D1" s="26" t="inlineStr">
        <is>
          <t>1162</t>
        </is>
      </c>
      <c r="E1" s="26" t="inlineStr">
        <is>
          <t>1076</t>
        </is>
      </c>
      <c r="F1" s="26" t="inlineStr">
        <is>
          <t>1170</t>
        </is>
      </c>
      <c r="G1" s="26" t="inlineStr">
        <is>
          <t>1078</t>
        </is>
      </c>
      <c r="H1" s="26" t="inlineStr">
        <is>
          <t>1172</t>
        </is>
      </c>
      <c r="I1" s="26" t="inlineStr">
        <is>
          <t>1074</t>
        </is>
      </c>
      <c r="J1" s="26" t="inlineStr">
        <is>
          <t>1161</t>
        </is>
      </c>
      <c r="K1" s="3" t="n"/>
      <c r="L1" s="3" t="n"/>
      <c r="M1" s="3" t="n"/>
    </row>
    <row r="2" ht="72" customHeight="1">
      <c r="A2" s="4">
        <f>VALUE(TEXT(EDATE(DATE(LEFT(MAY!A2,4),RIGHT(MAY!A2,2),1),1),"yyyymm"))</f>
        <v/>
      </c>
      <c r="B2" s="5" t="inlineStr">
        <is>
          <t>JUN</t>
        </is>
      </c>
      <c r="C2" s="27" t="inlineStr">
        <is>
          <t>GCG Culinary Costa Rica</t>
        </is>
      </c>
      <c r="D2" s="27" t="inlineStr">
        <is>
          <t>GCG Food Guatemala</t>
        </is>
      </c>
      <c r="E2" s="27" t="inlineStr">
        <is>
          <t>GCG Guatemala</t>
        </is>
      </c>
      <c r="F2" s="27" t="inlineStr">
        <is>
          <t>GCG Aviation Ground Honduras</t>
        </is>
      </c>
      <c r="G2" s="27" t="inlineStr">
        <is>
          <t>GCG Honduras</t>
        </is>
      </c>
      <c r="H2" s="27" t="inlineStr">
        <is>
          <t>GCG Concessions Panama</t>
        </is>
      </c>
      <c r="I2" s="27" t="inlineStr">
        <is>
          <t>GCG El Salvador</t>
        </is>
      </c>
      <c r="J2" s="27" t="inlineStr">
        <is>
          <t>GCG Food El Salvador</t>
        </is>
      </c>
      <c r="K2" s="28" t="inlineStr">
        <is>
          <t>TOTAL</t>
        </is>
      </c>
      <c r="L2" s="4" t="inlineStr">
        <is>
          <t>Total by Division</t>
        </is>
      </c>
      <c r="M2" s="29">
        <f>N(M11)&lt;&gt;0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0" t="n"/>
      <c r="I3" s="30" t="n"/>
      <c r="J3" s="30" t="n"/>
      <c r="K3" s="31">
        <f>IF(COUNT(C3:J3)=0,"",SUM(C3:J3))</f>
        <v/>
      </c>
      <c r="L3" s="4" t="inlineStr">
        <is>
          <t>∑</t>
        </is>
      </c>
      <c r="M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0" t="n"/>
      <c r="I4" s="30" t="n"/>
      <c r="J4" s="30" t="n"/>
      <c r="K4" s="31">
        <f>IF(COUNT(C4:J4)=0,"",SUM(C4:J4))</f>
        <v/>
      </c>
      <c r="L4" s="4" t="inlineStr">
        <is>
          <t>∑</t>
        </is>
      </c>
      <c r="M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11">
        <f>IF(COUNT(J3:J4)=0,"",SUM(J3:J4))</f>
        <v/>
      </c>
      <c r="K5" s="31">
        <f>IF(COUNT(K3:K4)=0,"",SUM(K3:K4))</f>
        <v/>
      </c>
      <c r="L5" s="4" t="inlineStr">
        <is>
          <t>ϝ</t>
        </is>
      </c>
      <c r="M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0" t="n"/>
      <c r="I6" s="30" t="n"/>
      <c r="J6" s="30" t="n"/>
      <c r="K6" s="31">
        <f>IF(COUNT(C6:J6)=0,"",SUM(C6:J6))</f>
        <v/>
      </c>
      <c r="L6" s="4" t="inlineStr">
        <is>
          <t>∑</t>
        </is>
      </c>
      <c r="M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0" t="n"/>
      <c r="I7" s="30" t="n"/>
      <c r="J7" s="30" t="n"/>
      <c r="K7" s="31">
        <f>IF(COUNT(C7:J7)=0,"",SUM(C7:J7))</f>
        <v/>
      </c>
      <c r="L7" s="4" t="inlineStr">
        <is>
          <t>∑</t>
        </is>
      </c>
      <c r="M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0" t="n"/>
      <c r="I8" s="30" t="n"/>
      <c r="J8" s="30" t="n"/>
      <c r="K8" s="31">
        <f>IF(COUNT(C8:J8)=0,"",SUM(C8:J8))</f>
        <v/>
      </c>
      <c r="L8" s="4" t="inlineStr">
        <is>
          <t>∑</t>
        </is>
      </c>
      <c r="M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0" t="n"/>
      <c r="I9" s="30" t="n"/>
      <c r="J9" s="30" t="n"/>
      <c r="K9" s="31">
        <f>IF(COUNT(C9:J9)=0,"",SUM(C9:J9))</f>
        <v/>
      </c>
      <c r="L9" s="4" t="inlineStr">
        <is>
          <t>∑</t>
        </is>
      </c>
      <c r="M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2" t="n"/>
      <c r="I10" s="32" t="n"/>
      <c r="J10" s="32" t="n"/>
      <c r="K10" s="33">
        <f>IFERROR(AVERAGE(C10:J10),"")</f>
        <v/>
      </c>
      <c r="L10" s="4" t="inlineStr">
        <is>
          <t>Avg</t>
        </is>
      </c>
      <c r="M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16">
        <f>IF(COUNT(J6:J9)=0,"",N(J6)+N(J7)*0.75+N(J8)*0.5+N(J9)*0.25)</f>
        <v/>
      </c>
      <c r="K11" s="34">
        <f>IF(COUNT(K6:K9)=0,"",N(K6)+N(K7)*0.75+N(K8)*0.5+N(K9)*0.25)</f>
        <v/>
      </c>
      <c r="L11" s="4" t="inlineStr">
        <is>
          <t>FTE</t>
        </is>
      </c>
      <c r="M11" s="35">
        <f>IF(COUNT(K5:K9)=0,"",N(K6)+N(K7)+N(K8)+N(K9)-N(K5))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0" t="n"/>
      <c r="I12" s="30" t="n"/>
      <c r="J12" s="30" t="n"/>
      <c r="K12" s="31">
        <f>IF(COUNT(C12:J12)=0,"",SUM(C12:J12))</f>
        <v/>
      </c>
      <c r="L12" s="4" t="inlineStr">
        <is>
          <t>∑</t>
        </is>
      </c>
      <c r="M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2" t="n"/>
      <c r="I13" s="32" t="n"/>
      <c r="J13" s="32" t="n"/>
      <c r="K13" s="33">
        <f>IF(COUNT(C13:J13)=0,"",SUM(C13:J13))</f>
        <v/>
      </c>
      <c r="L13" s="4" t="inlineStr">
        <is>
          <t>∑</t>
        </is>
      </c>
      <c r="M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16">
        <f>IFERROR(J13/J10,"")</f>
        <v/>
      </c>
      <c r="K14" s="34">
        <f>IF(COUNT(C14:J14)=0,"",SUM(C14:J14))</f>
        <v/>
      </c>
      <c r="L14" s="4" t="inlineStr">
        <is>
          <t>FTE</t>
        </is>
      </c>
      <c r="M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11">
        <f>IF(COUNT(J5,J12)=0,"",SUM(J5,J12))</f>
        <v/>
      </c>
      <c r="K15" s="31">
        <f>IF(COUNT(K5,K12)=0,"",SUM(K5,K12))</f>
        <v/>
      </c>
      <c r="L15" s="4" t="inlineStr">
        <is>
          <t>ϝ</t>
        </is>
      </c>
      <c r="M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16">
        <f>IF(COUNT(J11,J14)=0,"",SUM(J11,J14))</f>
        <v/>
      </c>
      <c r="K16" s="34">
        <f>IF(COUNT(K11,K14)=0,"",SUM(K11,K14))</f>
        <v/>
      </c>
      <c r="L16" s="4" t="inlineStr">
        <is>
          <t>FTE</t>
        </is>
      </c>
      <c r="M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19">
        <f>IFERROR(J12/J15,"")</f>
        <v/>
      </c>
      <c r="K17" s="36">
        <f>IFERROR(K12/K15,"")</f>
        <v/>
      </c>
      <c r="L17" s="4" t="inlineStr">
        <is>
          <t>ϝ</t>
        </is>
      </c>
      <c r="M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0" t="n"/>
      <c r="I18" s="30" t="n"/>
      <c r="J18" s="30" t="n"/>
      <c r="K18" s="31">
        <f>IF(COUNT(C18:J18)=0,"",SUM(C18:J18))</f>
        <v/>
      </c>
      <c r="L18" s="4" t="inlineStr">
        <is>
          <t>∑</t>
        </is>
      </c>
      <c r="M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0" t="n"/>
      <c r="I19" s="30" t="n"/>
      <c r="J19" s="30" t="n"/>
      <c r="K19" s="31">
        <f>IF(COUNT(C19:J19)=0,"",SUM(C19:J19))</f>
        <v/>
      </c>
      <c r="L19" s="4" t="inlineStr">
        <is>
          <t>∑</t>
        </is>
      </c>
      <c r="M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0" t="n"/>
      <c r="I20" s="30" t="n"/>
      <c r="J20" s="30" t="n"/>
      <c r="K20" s="31">
        <f>IF(COUNT(C20:J20)=0,"",SUM(C20:J20))</f>
        <v/>
      </c>
      <c r="L20" s="4" t="inlineStr">
        <is>
          <t>∑</t>
        </is>
      </c>
      <c r="M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11">
        <f>IF(COUNT(J19:J20)=0,"",SUM(J19:J20))</f>
        <v/>
      </c>
      <c r="K21" s="31">
        <f>IF(COUNT(K19:K20)=0,"",SUM(K19:K20))</f>
        <v/>
      </c>
      <c r="L21" s="4" t="inlineStr">
        <is>
          <t>ϝ</t>
        </is>
      </c>
      <c r="M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0" t="n"/>
      <c r="I22" s="30" t="n"/>
      <c r="J22" s="30" t="n"/>
      <c r="K22" s="31">
        <f>IF(COUNT(C22:J22)=0,"",SUM(C22:J22))</f>
        <v/>
      </c>
      <c r="L22" s="4" t="inlineStr">
        <is>
          <t>∑</t>
        </is>
      </c>
      <c r="M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0" t="n"/>
      <c r="I23" s="30" t="n"/>
      <c r="J23" s="30" t="n"/>
      <c r="K23" s="31">
        <f>IF(COUNT(C23:J23)=0,"",SUM(C23:J23))</f>
        <v/>
      </c>
      <c r="L23" s="4" t="inlineStr">
        <is>
          <t>∑</t>
        </is>
      </c>
      <c r="M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11">
        <f>IF(COUNT(J22:J23)=0,"",SUM(J22:J23))</f>
        <v/>
      </c>
      <c r="K24" s="31">
        <f>IF(COUNT(K22:K23)=0,"",SUM(K22:K23))</f>
        <v/>
      </c>
      <c r="L24" s="4" t="inlineStr">
        <is>
          <t>ϝ</t>
        </is>
      </c>
      <c r="M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19">
        <f>IF(COUNT(J31,J32)&lt;2,"",IF((J32+J31)=0,"",N(J22)/((J32+J31)/2)))</f>
        <v/>
      </c>
      <c r="K25" s="36">
        <f>IF(COUNT(K31,K32)&lt;2,"",IF((K32+K31)=0,"",N(K22)/((K32+K31)/2)))</f>
        <v/>
      </c>
      <c r="L25" s="4" t="inlineStr">
        <is>
          <t>ϝ</t>
        </is>
      </c>
      <c r="M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19">
        <f>IF(COUNT(J31,J32)&lt;2,"",IF((J32+J31)=0,"",N(J23)/((J32+J31)/2)))</f>
        <v/>
      </c>
      <c r="K26" s="36">
        <f>IF(COUNT(K31,K32)&lt;2,"",IF((K32+K31)=0,"",N(K23)/((K32+K31)/2)))</f>
        <v/>
      </c>
      <c r="L26" s="4" t="inlineStr">
        <is>
          <t>ϝ</t>
        </is>
      </c>
      <c r="M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0" t="n"/>
      <c r="I27" s="30" t="n"/>
      <c r="J27" s="30" t="n"/>
      <c r="K27" s="31">
        <f>IF(COUNT(C27:J27)=0,"",SUM(C27:J27))</f>
        <v/>
      </c>
      <c r="L27" s="4" t="inlineStr">
        <is>
          <t>∑</t>
        </is>
      </c>
      <c r="M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0" t="n"/>
      <c r="I28" s="30" t="n"/>
      <c r="J28" s="30" t="n"/>
      <c r="K28" s="31">
        <f>IF(COUNT(C28:J28)=0,"",SUM(C28:J28))</f>
        <v/>
      </c>
      <c r="L28" s="4" t="inlineStr">
        <is>
          <t>∑</t>
        </is>
      </c>
      <c r="M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19">
        <f>IF(COUNT(J31,J32)&lt;2,"",IF((J32+J31)=0,"",N(J27)/((J32+J31)/2)))</f>
        <v/>
      </c>
      <c r="K29" s="36">
        <f>IF(COUNT(K31,K32)&lt;2,"",IF((K32+K31)=0,"",N(K27)/((K32+K31)/2)))</f>
        <v/>
      </c>
      <c r="L29" s="4" t="inlineStr">
        <is>
          <t>ϝ</t>
        </is>
      </c>
      <c r="M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19">
        <f>IF(COUNT(J31,J32)&lt;2,"",IF((J32+J31)=0,"",N(J28)/((J32+J31)/2)))</f>
        <v/>
      </c>
      <c r="K30" s="36">
        <f>IF(COUNT(K31,K32)&lt;2,"",IF((K32+K31)=0,"",N(K28)/((K32+K31)/2)))</f>
        <v/>
      </c>
      <c r="L30" s="4" t="inlineStr">
        <is>
          <t>ϝ</t>
        </is>
      </c>
      <c r="M30" s="3" t="n"/>
    </row>
    <row r="31" ht="15.5" customHeight="1">
      <c r="A31" s="3" t="n"/>
      <c r="B31" s="10" t="inlineStr">
        <is>
          <t>Headcount last Month</t>
        </is>
      </c>
      <c r="C31" s="11">
        <f>IF(MAY!C5="","",MAY!C5)</f>
        <v/>
      </c>
      <c r="D31" s="11">
        <f>IF(MAY!D5="","",MAY!D5)</f>
        <v/>
      </c>
      <c r="E31" s="11">
        <f>IF(MAY!E5="","",MAY!E5)</f>
        <v/>
      </c>
      <c r="F31" s="11">
        <f>IF(MAY!F5="","",MAY!F5)</f>
        <v/>
      </c>
      <c r="G31" s="11">
        <f>IF(MAY!G5="","",MAY!G5)</f>
        <v/>
      </c>
      <c r="H31" s="11">
        <f>IF(MAY!H5="","",MAY!H5)</f>
        <v/>
      </c>
      <c r="I31" s="11">
        <f>IF(MAY!I5="","",MAY!I5)</f>
        <v/>
      </c>
      <c r="J31" s="11">
        <f>IF(MAY!J5="","",MAY!J5)</f>
        <v/>
      </c>
      <c r="K31" s="31">
        <f>IF(COUNT(C31:J31)=0,"",SUM(C31:J31))</f>
        <v/>
      </c>
      <c r="L31" s="4" t="inlineStr">
        <is>
          <t>∑</t>
        </is>
      </c>
      <c r="M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11">
        <f>IF(J5="","",J5)</f>
        <v/>
      </c>
      <c r="K32" s="31">
        <f>IF(COUNT(C32:J32)=0,"",SUM(C32:J32))</f>
        <v/>
      </c>
      <c r="L32" s="4" t="inlineStr">
        <is>
          <t>∑</t>
        </is>
      </c>
      <c r="M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19">
        <f>IF(COUNT(J31,J32)&lt;2,"",IF((J32+J31)=0,"",N(J24)/((J32+J31)/2)))</f>
        <v/>
      </c>
      <c r="K33" s="36">
        <f>IF(COUNT(K31,K32)&lt;2,"",IF((K32+K31)=0,"",N(K24)/((K32+K31)/2)))</f>
        <v/>
      </c>
      <c r="L33" s="4" t="inlineStr">
        <is>
          <t>ϝ</t>
        </is>
      </c>
      <c r="M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0" t="n"/>
      <c r="I34" s="30" t="n"/>
      <c r="J34" s="30" t="n"/>
      <c r="K34" s="31">
        <f>IF(COUNT(C34:J34)=0,"",SUM(C34:J34))</f>
        <v/>
      </c>
      <c r="L34" s="4" t="inlineStr">
        <is>
          <t>∑</t>
        </is>
      </c>
      <c r="M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0" t="n"/>
      <c r="I35" s="30" t="n"/>
      <c r="J35" s="30" t="n"/>
      <c r="K35" s="31">
        <f>IF(COUNT(C35:J35)=0,"",SUM(C35:J35))</f>
        <v/>
      </c>
      <c r="L35" s="4" t="inlineStr">
        <is>
          <t>∑</t>
        </is>
      </c>
      <c r="M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11">
        <f>IF(COUNT(J34:J35)=0,"",SUM(J34:J35))</f>
        <v/>
      </c>
      <c r="K36" s="31">
        <f>IF(COUNT(K34:K35)=0,"",SUM(K34:K35))</f>
        <v/>
      </c>
      <c r="L36" s="4" t="inlineStr">
        <is>
          <t>ϝ</t>
        </is>
      </c>
      <c r="M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11">
        <f>IF(COUNT(J5,J36)=0,"",N(J5)+N(J36))</f>
        <v/>
      </c>
      <c r="K37" s="31">
        <f>IF(COUNT(K5,K36)=0,"",N(K5)+N(K36))</f>
        <v/>
      </c>
      <c r="L37" s="4" t="inlineStr">
        <is>
          <t>ϝ</t>
        </is>
      </c>
      <c r="M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19">
        <f>IFERROR(J36/J37,"")</f>
        <v/>
      </c>
      <c r="K38" s="36">
        <f>IFERROR(K36/K37,"")</f>
        <v/>
      </c>
      <c r="L38" s="4" t="inlineStr">
        <is>
          <t>ϝ</t>
        </is>
      </c>
      <c r="M38" s="3" t="n"/>
    </row>
    <row r="39" ht="15.5" customHeight="1">
      <c r="A39" s="3" t="n"/>
      <c r="B39" s="10" t="inlineStr">
        <is>
          <t>Permanent TimeToHire (Days) YTD</t>
        </is>
      </c>
      <c r="C39" s="14">
        <f>IF('(Culinary_CRI)'!$AB$12="","",'(Culinary_CRI)'!$AB$12)</f>
        <v/>
      </c>
      <c r="D39" s="14">
        <f>IF('(Food_GTM)'!$AB$12="","",'(Food_GTM)'!$AB$12)</f>
        <v/>
      </c>
      <c r="E39" s="14">
        <f>IF('(GCG_GTM)'!$AB$12="","",'(GCG_GTM)'!$AB$12)</f>
        <v/>
      </c>
      <c r="F39" s="14">
        <f>IF('(Ground_HND)'!$AB$12="","",'(Ground_HND)'!$AB$12)</f>
        <v/>
      </c>
      <c r="G39" s="14">
        <f>IF('(GCG_HND)'!$AB$12="","",'(GCG_HND)'!$AB$12)</f>
        <v/>
      </c>
      <c r="H39" s="14">
        <f>IF('(Concess_PAN)'!$AB$12="","",'(Concess_PAN)'!$AB$12)</f>
        <v/>
      </c>
      <c r="I39" s="14">
        <f>IF('(GCG_SLV)'!$AB$12="","",'(GCG_SLV)'!$AB$12)</f>
        <v/>
      </c>
      <c r="J39" s="14">
        <f>IF('(Food_SLV)'!$AB$12="","",'(Food_SLV)'!$AB$12)</f>
        <v/>
      </c>
      <c r="K39" s="33">
        <f>IFERROR(AVERAGE(C39:J39),"")</f>
        <v/>
      </c>
      <c r="L39" s="4" t="inlineStr">
        <is>
          <t>Avg</t>
        </is>
      </c>
      <c r="M39" s="3" t="n"/>
    </row>
    <row r="40" ht="15.5" customHeight="1">
      <c r="A40" s="3" t="n"/>
      <c r="B40" s="10" t="inlineStr">
        <is>
          <t>Temporary TimeToHire (Days) YTD</t>
        </is>
      </c>
      <c r="C40" s="14">
        <f>IF('(Culinary_CRI)'!$AD$12="","",'(Culinary_CRI)'!$AD$12)</f>
        <v/>
      </c>
      <c r="D40" s="14">
        <f>IF('(Food_GTM)'!$AD$12="","",'(Food_GTM)'!$AD$12)</f>
        <v/>
      </c>
      <c r="E40" s="14">
        <f>IF('(GCG_GTM)'!$AD$12="","",'(GCG_GTM)'!$AD$12)</f>
        <v/>
      </c>
      <c r="F40" s="14">
        <f>IF('(Ground_HND)'!$AD$12="","",'(Ground_HND)'!$AD$12)</f>
        <v/>
      </c>
      <c r="G40" s="14">
        <f>IF('(GCG_HND)'!$AD$12="","",'(GCG_HND)'!$AD$12)</f>
        <v/>
      </c>
      <c r="H40" s="14">
        <f>IF('(Concess_PAN)'!$AD$12="","",'(Concess_PAN)'!$AD$12)</f>
        <v/>
      </c>
      <c r="I40" s="14">
        <f>IF('(GCG_SLV)'!$AD$12="","",'(GCG_SLV)'!$AD$12)</f>
        <v/>
      </c>
      <c r="J40" s="14">
        <f>IF('(Food_SLV)'!$AD$12="","",'(Food_SLV)'!$AD$12)</f>
        <v/>
      </c>
      <c r="K40" s="33">
        <f>IFERROR(AVERAGE(C40:J40),"")</f>
        <v/>
      </c>
      <c r="L40" s="4" t="inlineStr">
        <is>
          <t>Avg</t>
        </is>
      </c>
      <c r="M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7" t="n"/>
      <c r="I41" s="37" t="n"/>
      <c r="J41" s="37" t="n"/>
      <c r="K41" s="38">
        <f>IFERROR(AVERAGE(C41:J41),"")</f>
        <v/>
      </c>
      <c r="L41" s="4" t="inlineStr">
        <is>
          <t>Avg</t>
        </is>
      </c>
      <c r="M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0" t="n"/>
      <c r="I42" s="30" t="n"/>
      <c r="J42" s="30" t="n"/>
      <c r="K42" s="31">
        <f>IF(COUNT(C42:J42)=0,"",SUM(C42:J42))</f>
        <v/>
      </c>
      <c r="L42" s="4" t="inlineStr">
        <is>
          <t>∑</t>
        </is>
      </c>
      <c r="M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2" t="n"/>
      <c r="I43" s="32" t="n"/>
      <c r="J43" s="32" t="n"/>
      <c r="K43" s="33">
        <f>IF(COUNT(C43:J43)=0,"",SUM(C43:J43))</f>
        <v/>
      </c>
      <c r="L43" s="4" t="inlineStr">
        <is>
          <t>∑</t>
        </is>
      </c>
      <c r="M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2" t="n"/>
      <c r="I44" s="32" t="n"/>
      <c r="J44" s="32" t="n"/>
      <c r="K44" s="33">
        <f>IF(COUNT(C44:J44)=0,"",SUM(C44:J44))</f>
        <v/>
      </c>
      <c r="L44" s="4" t="inlineStr">
        <is>
          <t>∑</t>
        </is>
      </c>
      <c r="M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14">
        <f>IF(COUNT(J43:J44)=0,"",SUM(J43:J44))</f>
        <v/>
      </c>
      <c r="K45" s="33">
        <f>IF(COUNT(K43:K44)=0,"",SUM(K43:K44))</f>
        <v/>
      </c>
      <c r="L45" s="4" t="inlineStr">
        <is>
          <t>ϝ</t>
        </is>
      </c>
      <c r="M45" s="3" t="n"/>
    </row>
    <row r="46" ht="15.5" customHeight="1">
      <c r="A46" s="3" t="n"/>
      <c r="B46" s="13" t="inlineStr">
        <is>
          <t>Absent Rate Non-Certified (%)</t>
        </is>
      </c>
      <c r="C46" s="19">
        <f>IF('(Culinary_CRI)'!$G$12="","",'(Culinary_CRI)'!$G$12)</f>
        <v/>
      </c>
      <c r="D46" s="19">
        <f>IF('(Food_GTM)'!$G$12="","",'(Food_GTM)'!$G$12)</f>
        <v/>
      </c>
      <c r="E46" s="19">
        <f>IF('(GCG_GTM)'!$G$12="","",'(GCG_GTM)'!$G$12)</f>
        <v/>
      </c>
      <c r="F46" s="19">
        <f>IF('(Ground_HND)'!$G$12="","",'(Ground_HND)'!$G$12)</f>
        <v/>
      </c>
      <c r="G46" s="19">
        <f>IF('(GCG_HND)'!$G$12="","",'(GCG_HND)'!$G$12)</f>
        <v/>
      </c>
      <c r="H46" s="19">
        <f>IF('(Concess_PAN)'!$G$12="","",'(Concess_PAN)'!$G$12)</f>
        <v/>
      </c>
      <c r="I46" s="19">
        <f>IF('(GCG_SLV)'!$G$12="","",'(GCG_SLV)'!$G$12)</f>
        <v/>
      </c>
      <c r="J46" s="19">
        <f>IF('(Food_SLV)'!$G$12="","",'(Food_SLV)'!$G$12)</f>
        <v/>
      </c>
      <c r="K46" s="36">
        <f t="array" ref="K46">IF(COUNT(C46:J46)=0,"",IFERROR(SUMPRODUCT(IFERROR(C46:J46*((C3:J3)+(C4:J4)),0))/SUMPRODUCT(IFERROR(ISNUMBER(C46:J46)*((C3:J3)+(C4:J4)),0)),""))</f>
        <v/>
      </c>
      <c r="L46" s="4" t="inlineStr">
        <is>
          <t>Weighted</t>
        </is>
      </c>
      <c r="M46" s="3" t="n"/>
    </row>
    <row r="47" ht="15.5" customHeight="1">
      <c r="A47" s="3" t="n"/>
      <c r="B47" s="13" t="inlineStr">
        <is>
          <t>Absent Rate Certified (%)</t>
        </is>
      </c>
      <c r="C47" s="19">
        <f>IF('(Culinary_CRI)'!$O$12="","",'(Culinary_CRI)'!$O$12)</f>
        <v/>
      </c>
      <c r="D47" s="19">
        <f>IF('(Food_GTM)'!$O$12="","",'(Food_GTM)'!$O$12)</f>
        <v/>
      </c>
      <c r="E47" s="19">
        <f>IF('(GCG_GTM)'!$O$12="","",'(GCG_GTM)'!$O$12)</f>
        <v/>
      </c>
      <c r="F47" s="19">
        <f>IF('(Ground_HND)'!$O$12="","",'(Ground_HND)'!$O$12)</f>
        <v/>
      </c>
      <c r="G47" s="19">
        <f>IF('(GCG_HND)'!$O$12="","",'(GCG_HND)'!$O$12)</f>
        <v/>
      </c>
      <c r="H47" s="19">
        <f>IF('(Concess_PAN)'!$O$12="","",'(Concess_PAN)'!$O$12)</f>
        <v/>
      </c>
      <c r="I47" s="19">
        <f>IF('(GCG_SLV)'!$O$12="","",'(GCG_SLV)'!$O$12)</f>
        <v/>
      </c>
      <c r="J47" s="19">
        <f>IF('(Food_SLV)'!$O$12="","",'(Food_SLV)'!$O$12)</f>
        <v/>
      </c>
      <c r="K47" s="36">
        <f t="array" ref="K47">IF(COUNT(C47:J47)=0,"",IFERROR(SUMPRODUCT(IFERROR(C47:J47*((C3:J3)+(C4:J4)),0))/SUMPRODUCT(IFERROR(ISNUMBER(C47:J47)*((C3:J3)+(C4:J4)),0)),""))</f>
        <v/>
      </c>
      <c r="L47" s="4" t="inlineStr">
        <is>
          <t>Weighted</t>
        </is>
      </c>
      <c r="M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19">
        <f>IF(COUNT(J46:J47)=0,"",SUM(J46:J47))</f>
        <v/>
      </c>
      <c r="K48" s="36">
        <f>IF(COUNT(K46:K47)=0,"",SUM(K46:K47))</f>
        <v/>
      </c>
      <c r="L48" s="4" t="inlineStr">
        <is>
          <t>Weighted</t>
        </is>
      </c>
      <c r="M48" s="3" t="n"/>
    </row>
    <row r="49" ht="15.5" customHeight="1">
      <c r="A49" s="3" t="n"/>
      <c r="B49" s="18" t="inlineStr">
        <is>
          <t>Weight factor</t>
        </is>
      </c>
      <c r="C49" s="19">
        <f>IFERROR(C5/$K5,"")</f>
        <v/>
      </c>
      <c r="D49" s="19">
        <f>IFERROR(D5/$K5,"")</f>
        <v/>
      </c>
      <c r="E49" s="19">
        <f>IFERROR(E5/$K5,"")</f>
        <v/>
      </c>
      <c r="F49" s="19">
        <f>IFERROR(F5/$K5,"")</f>
        <v/>
      </c>
      <c r="G49" s="19">
        <f>IFERROR(G5/$K5,"")</f>
        <v/>
      </c>
      <c r="H49" s="19">
        <f>IFERROR(H5/$K5,"")</f>
        <v/>
      </c>
      <c r="I49" s="19">
        <f>IFERROR(I5/$K5,"")</f>
        <v/>
      </c>
      <c r="J49" s="19">
        <f>IFERROR(J5/$K5,"")</f>
        <v/>
      </c>
      <c r="K49" s="36">
        <f>IF(COUNT(C49:J49)=0,"",SUM(C49:J49))</f>
        <v/>
      </c>
      <c r="L49" s="4" t="inlineStr">
        <is>
          <t>Weight Factor</t>
        </is>
      </c>
      <c r="M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2" t="n"/>
      <c r="I50" s="32" t="n"/>
      <c r="J50" s="32" t="n"/>
      <c r="K50" s="33">
        <f>IF(COUNT(C50:J50)=0,"",SUM(C50:J50))</f>
        <v/>
      </c>
      <c r="L50" s="4" t="inlineStr">
        <is>
          <t>∑</t>
        </is>
      </c>
      <c r="M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2" t="n"/>
      <c r="I51" s="32" t="n"/>
      <c r="J51" s="32" t="n"/>
      <c r="K51" s="33">
        <f>IF(COUNT(C51:J51)=0,"",SUM(C51:J51))</f>
        <v/>
      </c>
      <c r="L51" s="4" t="inlineStr">
        <is>
          <t>∑</t>
        </is>
      </c>
      <c r="M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2" t="n"/>
      <c r="I52" s="32" t="n"/>
      <c r="J52" s="32" t="n"/>
      <c r="K52" s="33">
        <f>IF(COUNT(C52:J52)=0,"",SUM(C52:J52))</f>
        <v/>
      </c>
      <c r="L52" s="4" t="inlineStr">
        <is>
          <t>∑</t>
        </is>
      </c>
      <c r="M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2" t="n"/>
      <c r="I53" s="32" t="n"/>
      <c r="J53" s="32" t="n"/>
      <c r="K53" s="33">
        <f>IF(COUNT(C53:J53)=0,"",SUM(C53:J53))</f>
        <v/>
      </c>
      <c r="L53" s="4" t="inlineStr">
        <is>
          <t>∑</t>
        </is>
      </c>
      <c r="M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2" t="n"/>
      <c r="I54" s="32" t="n"/>
      <c r="J54" s="32" t="n"/>
      <c r="K54" s="33">
        <f>IF(COUNT(C54:J54)=0,"",SUM(C54:J54))</f>
        <v/>
      </c>
      <c r="L54" s="4" t="inlineStr">
        <is>
          <t>∑</t>
        </is>
      </c>
      <c r="M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14">
        <f>IF(COUNT(J50:J54)=0,"",SUM(J50:J54))</f>
        <v/>
      </c>
      <c r="K55" s="33">
        <f>IF(COUNT(K50:K54)=0,"",SUM(K50:K54))</f>
        <v/>
      </c>
      <c r="L55" s="4" t="inlineStr">
        <is>
          <t>ϝ</t>
        </is>
      </c>
      <c r="M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2" t="n"/>
      <c r="I56" s="32" t="n"/>
      <c r="J56" s="32" t="n"/>
      <c r="K56" s="33">
        <f>IF(COUNT(C56:J56)=0,"",SUM(C56:J56))</f>
        <v/>
      </c>
      <c r="L56" s="4" t="inlineStr">
        <is>
          <t>∑</t>
        </is>
      </c>
      <c r="M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2" t="n"/>
      <c r="I57" s="32" t="n"/>
      <c r="J57" s="32" t="n"/>
      <c r="K57" s="33">
        <f>IF(COUNT(C57:J57)=0,"",SUM(C57:J57))</f>
        <v/>
      </c>
      <c r="L57" s="4" t="inlineStr">
        <is>
          <t>∑</t>
        </is>
      </c>
      <c r="M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2" t="n"/>
      <c r="I58" s="32" t="n"/>
      <c r="J58" s="32" t="n"/>
      <c r="K58" s="33">
        <f>IF(COUNT(C58:J58)=0,"",SUM(C58:J58))</f>
        <v/>
      </c>
      <c r="L58" s="4" t="inlineStr">
        <is>
          <t>∑</t>
        </is>
      </c>
      <c r="M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2" t="n"/>
      <c r="I59" s="32" t="n"/>
      <c r="J59" s="32" t="n"/>
      <c r="K59" s="33">
        <f>IF(COUNT(C59:J59)=0,"",SUM(C59:J59))</f>
        <v/>
      </c>
      <c r="L59" s="4" t="inlineStr">
        <is>
          <t>∑</t>
        </is>
      </c>
      <c r="M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19">
        <f>IFERROR(J50/J$55,"")</f>
        <v/>
      </c>
      <c r="K60" s="36">
        <f>IFERROR(K50/K$55,"")</f>
        <v/>
      </c>
      <c r="L60" s="4" t="inlineStr">
        <is>
          <t>ϝ</t>
        </is>
      </c>
      <c r="M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19">
        <f>IFERROR(J51/J$55,"")</f>
        <v/>
      </c>
      <c r="K61" s="36">
        <f>IFERROR(K51/K$55,"")</f>
        <v/>
      </c>
      <c r="L61" s="4" t="inlineStr">
        <is>
          <t>ϝ</t>
        </is>
      </c>
      <c r="M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19">
        <f>IFERROR(J52/J$55,"")</f>
        <v/>
      </c>
      <c r="K62" s="36">
        <f>IFERROR(K52/K$55,"")</f>
        <v/>
      </c>
      <c r="L62" s="4" t="inlineStr">
        <is>
          <t>ϝ</t>
        </is>
      </c>
      <c r="M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19">
        <f>IFERROR(J53/J$55,"")</f>
        <v/>
      </c>
      <c r="K63" s="36">
        <f>IFERROR(K53/K$55,"")</f>
        <v/>
      </c>
      <c r="L63" s="4" t="inlineStr">
        <is>
          <t>ϝ</t>
        </is>
      </c>
      <c r="M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19">
        <f>IFERROR(J54/J$55,"")</f>
        <v/>
      </c>
      <c r="K64" s="36">
        <f>IFERROR(K54/K$55,"")</f>
        <v/>
      </c>
      <c r="L64" s="4" t="inlineStr">
        <is>
          <t>ϝ</t>
        </is>
      </c>
      <c r="M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19">
        <f>IFERROR(J56/J5,"")</f>
        <v/>
      </c>
      <c r="K65" s="36">
        <f>IFERROR(K56/K5,"")</f>
        <v/>
      </c>
      <c r="L65" s="4" t="inlineStr">
        <is>
          <t>ϝ</t>
        </is>
      </c>
      <c r="M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16">
        <f>IFERROR(J55/J5,"")</f>
        <v/>
      </c>
      <c r="K66" s="34">
        <f>IFERROR(K55/K5,"")</f>
        <v/>
      </c>
      <c r="L66" s="4" t="inlineStr">
        <is>
          <t>ϝ</t>
        </is>
      </c>
      <c r="M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16">
        <f>IFERROR(J55/J56,"")</f>
        <v/>
      </c>
      <c r="K67" s="34">
        <f>IFERROR(K55/K56,"")</f>
        <v/>
      </c>
      <c r="L67" s="4" t="inlineStr">
        <is>
          <t>ϝ</t>
        </is>
      </c>
      <c r="M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16">
        <f>IF(COUNT(J58:J59)=0,"",IFERROR((N(J58)+N(J59))/J5,""))</f>
        <v/>
      </c>
      <c r="K68" s="34">
        <f>IF(COUNT(K58:K59)=0,"",IFERROR((N(K58)+N(K59))/K5,""))</f>
        <v/>
      </c>
      <c r="L68" s="4" t="inlineStr">
        <is>
          <t>ϝ</t>
        </is>
      </c>
      <c r="M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16">
        <f>IF(COUNT(J58:J59)=0,"",IFERROR((N(J58)+N(J59))/J56,""))</f>
        <v/>
      </c>
      <c r="K69" s="34">
        <f>IF(COUNT(K58:K59)=0,"",IFERROR((N(K58)+N(K59))/K56,""))</f>
        <v/>
      </c>
      <c r="L69" s="4" t="inlineStr">
        <is>
          <t>ϝ</t>
        </is>
      </c>
      <c r="M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14">
        <f>COUNTBLANK(J3:J4)+COUNTBLANK(J6:J10)+COUNTBLANK(J12:J13)+COUNTBLANK(J18:J20)+COUNTBLANK(J22:J23)+COUNTBLANK(J27:J28)+COUNTBLANK(J34:J35)+COUNTBLANK(J39:J44)+COUNTBLANK(J46:J47)+COUNTBLANK(J50:J54)+COUNTBLANK(J56:J59)</f>
        <v/>
      </c>
      <c r="K70" s="33">
        <f>SUM(C70:J70)</f>
        <v/>
      </c>
      <c r="L70" s="39" t="inlineStr">
        <is>
          <t>∑</t>
        </is>
      </c>
      <c r="M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26953125" customWidth="1" min="10" max="10"/>
    <col width="15.7265625" customWidth="1" min="11" max="11"/>
    <col width="21" customWidth="1" min="12" max="12"/>
    <col width="11.81640625" customWidth="1" min="13" max="13"/>
  </cols>
  <sheetData>
    <row r="1" ht="30" customHeight="1">
      <c r="A1" s="1" t="n"/>
      <c r="B1" s="2" t="inlineStr">
        <is>
          <t>GCG CENTRAL AMERICA</t>
        </is>
      </c>
      <c r="C1" s="26" t="inlineStr">
        <is>
          <t>1171</t>
        </is>
      </c>
      <c r="D1" s="26" t="inlineStr">
        <is>
          <t>1162</t>
        </is>
      </c>
      <c r="E1" s="26" t="inlineStr">
        <is>
          <t>1076</t>
        </is>
      </c>
      <c r="F1" s="26" t="inlineStr">
        <is>
          <t>1170</t>
        </is>
      </c>
      <c r="G1" s="26" t="inlineStr">
        <is>
          <t>1078</t>
        </is>
      </c>
      <c r="H1" s="26" t="inlineStr">
        <is>
          <t>1172</t>
        </is>
      </c>
      <c r="I1" s="26" t="inlineStr">
        <is>
          <t>1074</t>
        </is>
      </c>
      <c r="J1" s="26" t="inlineStr">
        <is>
          <t>1161</t>
        </is>
      </c>
      <c r="K1" s="3" t="n"/>
      <c r="L1" s="3" t="n"/>
      <c r="M1" s="3" t="n"/>
    </row>
    <row r="2" ht="72" customHeight="1">
      <c r="A2" s="4">
        <f>VALUE(TEXT(EDATE(DATE(LEFT(JUN!A2,4),RIGHT(JUN!A2,2),1),1),"yyyymm"))</f>
        <v/>
      </c>
      <c r="B2" s="5" t="inlineStr">
        <is>
          <t>JUL</t>
        </is>
      </c>
      <c r="C2" s="27" t="inlineStr">
        <is>
          <t>GCG Culinary Costa Rica</t>
        </is>
      </c>
      <c r="D2" s="27" t="inlineStr">
        <is>
          <t>GCG Food Guatemala</t>
        </is>
      </c>
      <c r="E2" s="27" t="inlineStr">
        <is>
          <t>GCG Guatemala</t>
        </is>
      </c>
      <c r="F2" s="27" t="inlineStr">
        <is>
          <t>GCG Aviation Ground Honduras</t>
        </is>
      </c>
      <c r="G2" s="27" t="inlineStr">
        <is>
          <t>GCG Honduras</t>
        </is>
      </c>
      <c r="H2" s="27" t="inlineStr">
        <is>
          <t>GCG Concessions Panama</t>
        </is>
      </c>
      <c r="I2" s="27" t="inlineStr">
        <is>
          <t>GCG El Salvador</t>
        </is>
      </c>
      <c r="J2" s="27" t="inlineStr">
        <is>
          <t>GCG Food El Salvador</t>
        </is>
      </c>
      <c r="K2" s="28" t="inlineStr">
        <is>
          <t>TOTAL</t>
        </is>
      </c>
      <c r="L2" s="4" t="inlineStr">
        <is>
          <t>Total by Division</t>
        </is>
      </c>
      <c r="M2" s="29">
        <f>N(M11)&lt;&gt;0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0" t="n"/>
      <c r="I3" s="30" t="n"/>
      <c r="J3" s="30" t="n"/>
      <c r="K3" s="31">
        <f>IF(COUNT(C3:J3)=0,"",SUM(C3:J3))</f>
        <v/>
      </c>
      <c r="L3" s="4" t="inlineStr">
        <is>
          <t>∑</t>
        </is>
      </c>
      <c r="M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0" t="n"/>
      <c r="I4" s="30" t="n"/>
      <c r="J4" s="30" t="n"/>
      <c r="K4" s="31">
        <f>IF(COUNT(C4:J4)=0,"",SUM(C4:J4))</f>
        <v/>
      </c>
      <c r="L4" s="4" t="inlineStr">
        <is>
          <t>∑</t>
        </is>
      </c>
      <c r="M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11">
        <f>IF(COUNT(J3:J4)=0,"",SUM(J3:J4))</f>
        <v/>
      </c>
      <c r="K5" s="31">
        <f>IF(COUNT(K3:K4)=0,"",SUM(K3:K4))</f>
        <v/>
      </c>
      <c r="L5" s="4" t="inlineStr">
        <is>
          <t>ϝ</t>
        </is>
      </c>
      <c r="M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0" t="n"/>
      <c r="I6" s="30" t="n"/>
      <c r="J6" s="30" t="n"/>
      <c r="K6" s="31">
        <f>IF(COUNT(C6:J6)=0,"",SUM(C6:J6))</f>
        <v/>
      </c>
      <c r="L6" s="4" t="inlineStr">
        <is>
          <t>∑</t>
        </is>
      </c>
      <c r="M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0" t="n"/>
      <c r="I7" s="30" t="n"/>
      <c r="J7" s="30" t="n"/>
      <c r="K7" s="31">
        <f>IF(COUNT(C7:J7)=0,"",SUM(C7:J7))</f>
        <v/>
      </c>
      <c r="L7" s="4" t="inlineStr">
        <is>
          <t>∑</t>
        </is>
      </c>
      <c r="M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0" t="n"/>
      <c r="I8" s="30" t="n"/>
      <c r="J8" s="30" t="n"/>
      <c r="K8" s="31">
        <f>IF(COUNT(C8:J8)=0,"",SUM(C8:J8))</f>
        <v/>
      </c>
      <c r="L8" s="4" t="inlineStr">
        <is>
          <t>∑</t>
        </is>
      </c>
      <c r="M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0" t="n"/>
      <c r="I9" s="30" t="n"/>
      <c r="J9" s="30" t="n"/>
      <c r="K9" s="31">
        <f>IF(COUNT(C9:J9)=0,"",SUM(C9:J9))</f>
        <v/>
      </c>
      <c r="L9" s="4" t="inlineStr">
        <is>
          <t>∑</t>
        </is>
      </c>
      <c r="M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2" t="n"/>
      <c r="I10" s="32" t="n"/>
      <c r="J10" s="32" t="n"/>
      <c r="K10" s="33">
        <f>IFERROR(AVERAGE(C10:J10),"")</f>
        <v/>
      </c>
      <c r="L10" s="4" t="inlineStr">
        <is>
          <t>Avg</t>
        </is>
      </c>
      <c r="M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16">
        <f>IF(COUNT(J6:J9)=0,"",N(J6)+N(J7)*0.75+N(J8)*0.5+N(J9)*0.25)</f>
        <v/>
      </c>
      <c r="K11" s="34">
        <f>IF(COUNT(K6:K9)=0,"",N(K6)+N(K7)*0.75+N(K8)*0.5+N(K9)*0.25)</f>
        <v/>
      </c>
      <c r="L11" s="4" t="inlineStr">
        <is>
          <t>FTE</t>
        </is>
      </c>
      <c r="M11" s="35">
        <f>IF(COUNT(K5:K9)=0,"",N(K6)+N(K7)+N(K8)+N(K9)-N(K5))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0" t="n"/>
      <c r="I12" s="30" t="n"/>
      <c r="J12" s="30" t="n"/>
      <c r="K12" s="31">
        <f>IF(COUNT(C12:J12)=0,"",SUM(C12:J12))</f>
        <v/>
      </c>
      <c r="L12" s="4" t="inlineStr">
        <is>
          <t>∑</t>
        </is>
      </c>
      <c r="M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2" t="n"/>
      <c r="I13" s="32" t="n"/>
      <c r="J13" s="32" t="n"/>
      <c r="K13" s="33">
        <f>IF(COUNT(C13:J13)=0,"",SUM(C13:J13))</f>
        <v/>
      </c>
      <c r="L13" s="4" t="inlineStr">
        <is>
          <t>∑</t>
        </is>
      </c>
      <c r="M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16">
        <f>IFERROR(J13/J10,"")</f>
        <v/>
      </c>
      <c r="K14" s="34">
        <f>IF(COUNT(C14:J14)=0,"",SUM(C14:J14))</f>
        <v/>
      </c>
      <c r="L14" s="4" t="inlineStr">
        <is>
          <t>FTE</t>
        </is>
      </c>
      <c r="M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11">
        <f>IF(COUNT(J5,J12)=0,"",SUM(J5,J12))</f>
        <v/>
      </c>
      <c r="K15" s="31">
        <f>IF(COUNT(K5,K12)=0,"",SUM(K5,K12))</f>
        <v/>
      </c>
      <c r="L15" s="4" t="inlineStr">
        <is>
          <t>ϝ</t>
        </is>
      </c>
      <c r="M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16">
        <f>IF(COUNT(J11,J14)=0,"",SUM(J11,J14))</f>
        <v/>
      </c>
      <c r="K16" s="34">
        <f>IF(COUNT(K11,K14)=0,"",SUM(K11,K14))</f>
        <v/>
      </c>
      <c r="L16" s="4" t="inlineStr">
        <is>
          <t>FTE</t>
        </is>
      </c>
      <c r="M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19">
        <f>IFERROR(J12/J15,"")</f>
        <v/>
      </c>
      <c r="K17" s="36">
        <f>IFERROR(K12/K15,"")</f>
        <v/>
      </c>
      <c r="L17" s="4" t="inlineStr">
        <is>
          <t>ϝ</t>
        </is>
      </c>
      <c r="M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0" t="n"/>
      <c r="I18" s="30" t="n"/>
      <c r="J18" s="30" t="n"/>
      <c r="K18" s="31">
        <f>IF(COUNT(C18:J18)=0,"",SUM(C18:J18))</f>
        <v/>
      </c>
      <c r="L18" s="4" t="inlineStr">
        <is>
          <t>∑</t>
        </is>
      </c>
      <c r="M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0" t="n"/>
      <c r="I19" s="30" t="n"/>
      <c r="J19" s="30" t="n"/>
      <c r="K19" s="31">
        <f>IF(COUNT(C19:J19)=0,"",SUM(C19:J19))</f>
        <v/>
      </c>
      <c r="L19" s="4" t="inlineStr">
        <is>
          <t>∑</t>
        </is>
      </c>
      <c r="M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0" t="n"/>
      <c r="I20" s="30" t="n"/>
      <c r="J20" s="30" t="n"/>
      <c r="K20" s="31">
        <f>IF(COUNT(C20:J20)=0,"",SUM(C20:J20))</f>
        <v/>
      </c>
      <c r="L20" s="4" t="inlineStr">
        <is>
          <t>∑</t>
        </is>
      </c>
      <c r="M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11">
        <f>IF(COUNT(J19:J20)=0,"",SUM(J19:J20))</f>
        <v/>
      </c>
      <c r="K21" s="31">
        <f>IF(COUNT(K19:K20)=0,"",SUM(K19:K20))</f>
        <v/>
      </c>
      <c r="L21" s="4" t="inlineStr">
        <is>
          <t>ϝ</t>
        </is>
      </c>
      <c r="M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0" t="n"/>
      <c r="I22" s="30" t="n"/>
      <c r="J22" s="30" t="n"/>
      <c r="K22" s="31">
        <f>IF(COUNT(C22:J22)=0,"",SUM(C22:J22))</f>
        <v/>
      </c>
      <c r="L22" s="4" t="inlineStr">
        <is>
          <t>∑</t>
        </is>
      </c>
      <c r="M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0" t="n"/>
      <c r="I23" s="30" t="n"/>
      <c r="J23" s="30" t="n"/>
      <c r="K23" s="31">
        <f>IF(COUNT(C23:J23)=0,"",SUM(C23:J23))</f>
        <v/>
      </c>
      <c r="L23" s="4" t="inlineStr">
        <is>
          <t>∑</t>
        </is>
      </c>
      <c r="M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11">
        <f>IF(COUNT(J22:J23)=0,"",SUM(J22:J23))</f>
        <v/>
      </c>
      <c r="K24" s="31">
        <f>IF(COUNT(K22:K23)=0,"",SUM(K22:K23))</f>
        <v/>
      </c>
      <c r="L24" s="4" t="inlineStr">
        <is>
          <t>ϝ</t>
        </is>
      </c>
      <c r="M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19">
        <f>IF(COUNT(J31,J32)&lt;2,"",IF((J32+J31)=0,"",N(J22)/((J32+J31)/2)))</f>
        <v/>
      </c>
      <c r="K25" s="36">
        <f>IF(COUNT(K31,K32)&lt;2,"",IF((K32+K31)=0,"",N(K22)/((K32+K31)/2)))</f>
        <v/>
      </c>
      <c r="L25" s="4" t="inlineStr">
        <is>
          <t>ϝ</t>
        </is>
      </c>
      <c r="M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19">
        <f>IF(COUNT(J31,J32)&lt;2,"",IF((J32+J31)=0,"",N(J23)/((J32+J31)/2)))</f>
        <v/>
      </c>
      <c r="K26" s="36">
        <f>IF(COUNT(K31,K32)&lt;2,"",IF((K32+K31)=0,"",N(K23)/((K32+K31)/2)))</f>
        <v/>
      </c>
      <c r="L26" s="4" t="inlineStr">
        <is>
          <t>ϝ</t>
        </is>
      </c>
      <c r="M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0" t="n"/>
      <c r="I27" s="30" t="n"/>
      <c r="J27" s="30" t="n"/>
      <c r="K27" s="31">
        <f>IF(COUNT(C27:J27)=0,"",SUM(C27:J27))</f>
        <v/>
      </c>
      <c r="L27" s="4" t="inlineStr">
        <is>
          <t>∑</t>
        </is>
      </c>
      <c r="M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0" t="n"/>
      <c r="I28" s="30" t="n"/>
      <c r="J28" s="30" t="n"/>
      <c r="K28" s="31">
        <f>IF(COUNT(C28:J28)=0,"",SUM(C28:J28))</f>
        <v/>
      </c>
      <c r="L28" s="4" t="inlineStr">
        <is>
          <t>∑</t>
        </is>
      </c>
      <c r="M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19">
        <f>IF(COUNT(J31,J32)&lt;2,"",IF((J32+J31)=0,"",N(J27)/((J32+J31)/2)))</f>
        <v/>
      </c>
      <c r="K29" s="36">
        <f>IF(COUNT(K31,K32)&lt;2,"",IF((K32+K31)=0,"",N(K27)/((K32+K31)/2)))</f>
        <v/>
      </c>
      <c r="L29" s="4" t="inlineStr">
        <is>
          <t>ϝ</t>
        </is>
      </c>
      <c r="M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19">
        <f>IF(COUNT(J31,J32)&lt;2,"",IF((J32+J31)=0,"",N(J28)/((J32+J31)/2)))</f>
        <v/>
      </c>
      <c r="K30" s="36">
        <f>IF(COUNT(K31,K32)&lt;2,"",IF((K32+K31)=0,"",N(K28)/((K32+K31)/2)))</f>
        <v/>
      </c>
      <c r="L30" s="4" t="inlineStr">
        <is>
          <t>ϝ</t>
        </is>
      </c>
      <c r="M30" s="3" t="n"/>
    </row>
    <row r="31" ht="15.5" customHeight="1">
      <c r="A31" s="3" t="n"/>
      <c r="B31" s="10" t="inlineStr">
        <is>
          <t>Headcount last Month</t>
        </is>
      </c>
      <c r="C31" s="11">
        <f>IF(JUN!C5="","",JUN!C5)</f>
        <v/>
      </c>
      <c r="D31" s="11">
        <f>IF(JUN!D5="","",JUN!D5)</f>
        <v/>
      </c>
      <c r="E31" s="11">
        <f>IF(JUN!E5="","",JUN!E5)</f>
        <v/>
      </c>
      <c r="F31" s="11">
        <f>IF(JUN!F5="","",JUN!F5)</f>
        <v/>
      </c>
      <c r="G31" s="11">
        <f>IF(JUN!G5="","",JUN!G5)</f>
        <v/>
      </c>
      <c r="H31" s="11">
        <f>IF(JUN!H5="","",JUN!H5)</f>
        <v/>
      </c>
      <c r="I31" s="11">
        <f>IF(JUN!I5="","",JUN!I5)</f>
        <v/>
      </c>
      <c r="J31" s="11">
        <f>IF(JUN!J5="","",JUN!J5)</f>
        <v/>
      </c>
      <c r="K31" s="31">
        <f>IF(COUNT(C31:J31)=0,"",SUM(C31:J31))</f>
        <v/>
      </c>
      <c r="L31" s="4" t="inlineStr">
        <is>
          <t>∑</t>
        </is>
      </c>
      <c r="M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11">
        <f>IF(J5="","",J5)</f>
        <v/>
      </c>
      <c r="K32" s="31">
        <f>IF(COUNT(C32:J32)=0,"",SUM(C32:J32))</f>
        <v/>
      </c>
      <c r="L32" s="4" t="inlineStr">
        <is>
          <t>∑</t>
        </is>
      </c>
      <c r="M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19">
        <f>IF(COUNT(J31,J32)&lt;2,"",IF((J32+J31)=0,"",N(J24)/((J32+J31)/2)))</f>
        <v/>
      </c>
      <c r="K33" s="36">
        <f>IF(COUNT(K31,K32)&lt;2,"",IF((K32+K31)=0,"",N(K24)/((K32+K31)/2)))</f>
        <v/>
      </c>
      <c r="L33" s="4" t="inlineStr">
        <is>
          <t>ϝ</t>
        </is>
      </c>
      <c r="M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0" t="n"/>
      <c r="I34" s="30" t="n"/>
      <c r="J34" s="30" t="n"/>
      <c r="K34" s="31">
        <f>IF(COUNT(C34:J34)=0,"",SUM(C34:J34))</f>
        <v/>
      </c>
      <c r="L34" s="4" t="inlineStr">
        <is>
          <t>∑</t>
        </is>
      </c>
      <c r="M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0" t="n"/>
      <c r="I35" s="30" t="n"/>
      <c r="J35" s="30" t="n"/>
      <c r="K35" s="31">
        <f>IF(COUNT(C35:J35)=0,"",SUM(C35:J35))</f>
        <v/>
      </c>
      <c r="L35" s="4" t="inlineStr">
        <is>
          <t>∑</t>
        </is>
      </c>
      <c r="M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11">
        <f>IF(COUNT(J34:J35)=0,"",SUM(J34:J35))</f>
        <v/>
      </c>
      <c r="K36" s="31">
        <f>IF(COUNT(K34:K35)=0,"",SUM(K34:K35))</f>
        <v/>
      </c>
      <c r="L36" s="4" t="inlineStr">
        <is>
          <t>ϝ</t>
        </is>
      </c>
      <c r="M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11">
        <f>IF(COUNT(J5,J36)=0,"",N(J5)+N(J36))</f>
        <v/>
      </c>
      <c r="K37" s="31">
        <f>IF(COUNT(K5,K36)=0,"",N(K5)+N(K36))</f>
        <v/>
      </c>
      <c r="L37" s="4" t="inlineStr">
        <is>
          <t>ϝ</t>
        </is>
      </c>
      <c r="M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19">
        <f>IFERROR(J36/J37,"")</f>
        <v/>
      </c>
      <c r="K38" s="36">
        <f>IFERROR(K36/K37,"")</f>
        <v/>
      </c>
      <c r="L38" s="4" t="inlineStr">
        <is>
          <t>ϝ</t>
        </is>
      </c>
      <c r="M38" s="3" t="n"/>
    </row>
    <row r="39" ht="15.5" customHeight="1">
      <c r="A39" s="3" t="n"/>
      <c r="B39" s="10" t="inlineStr">
        <is>
          <t>Permanent TimeToHire (Days) YTD</t>
        </is>
      </c>
      <c r="C39" s="14">
        <f>IF('(Culinary_CRI)'!$AB$13="","",'(Culinary_CRI)'!$AB$13)</f>
        <v/>
      </c>
      <c r="D39" s="14">
        <f>IF('(Food_GTM)'!$AB$13="","",'(Food_GTM)'!$AB$13)</f>
        <v/>
      </c>
      <c r="E39" s="14">
        <f>IF('(GCG_GTM)'!$AB$13="","",'(GCG_GTM)'!$AB$13)</f>
        <v/>
      </c>
      <c r="F39" s="14">
        <f>IF('(Ground_HND)'!$AB$13="","",'(Ground_HND)'!$AB$13)</f>
        <v/>
      </c>
      <c r="G39" s="14">
        <f>IF('(GCG_HND)'!$AB$13="","",'(GCG_HND)'!$AB$13)</f>
        <v/>
      </c>
      <c r="H39" s="14">
        <f>IF('(Concess_PAN)'!$AB$13="","",'(Concess_PAN)'!$AB$13)</f>
        <v/>
      </c>
      <c r="I39" s="14">
        <f>IF('(GCG_SLV)'!$AB$13="","",'(GCG_SLV)'!$AB$13)</f>
        <v/>
      </c>
      <c r="J39" s="14">
        <f>IF('(Food_SLV)'!$AB$13="","",'(Food_SLV)'!$AB$13)</f>
        <v/>
      </c>
      <c r="K39" s="33">
        <f>IFERROR(AVERAGE(C39:J39),"")</f>
        <v/>
      </c>
      <c r="L39" s="4" t="inlineStr">
        <is>
          <t>Avg</t>
        </is>
      </c>
      <c r="M39" s="3" t="n"/>
    </row>
    <row r="40" ht="15.5" customHeight="1">
      <c r="A40" s="3" t="n"/>
      <c r="B40" s="10" t="inlineStr">
        <is>
          <t>Temporary TimeToHire (Days) YTD</t>
        </is>
      </c>
      <c r="C40" s="14">
        <f>IF('(Culinary_CRI)'!$AD$13="","",'(Culinary_CRI)'!$AD$13)</f>
        <v/>
      </c>
      <c r="D40" s="14">
        <f>IF('(Food_GTM)'!$AD$13="","",'(Food_GTM)'!$AD$13)</f>
        <v/>
      </c>
      <c r="E40" s="14">
        <f>IF('(GCG_GTM)'!$AD$13="","",'(GCG_GTM)'!$AD$13)</f>
        <v/>
      </c>
      <c r="F40" s="14">
        <f>IF('(Ground_HND)'!$AD$13="","",'(Ground_HND)'!$AD$13)</f>
        <v/>
      </c>
      <c r="G40" s="14">
        <f>IF('(GCG_HND)'!$AD$13="","",'(GCG_HND)'!$AD$13)</f>
        <v/>
      </c>
      <c r="H40" s="14">
        <f>IF('(Concess_PAN)'!$AD$13="","",'(Concess_PAN)'!$AD$13)</f>
        <v/>
      </c>
      <c r="I40" s="14">
        <f>IF('(GCG_SLV)'!$AD$13="","",'(GCG_SLV)'!$AD$13)</f>
        <v/>
      </c>
      <c r="J40" s="14">
        <f>IF('(Food_SLV)'!$AD$13="","",'(Food_SLV)'!$AD$13)</f>
        <v/>
      </c>
      <c r="K40" s="33">
        <f>IFERROR(AVERAGE(C40:J40),"")</f>
        <v/>
      </c>
      <c r="L40" s="4" t="inlineStr">
        <is>
          <t>Avg</t>
        </is>
      </c>
      <c r="M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7" t="n"/>
      <c r="I41" s="37" t="n"/>
      <c r="J41" s="37" t="n"/>
      <c r="K41" s="38">
        <f>IFERROR(AVERAGE(C41:J41),"")</f>
        <v/>
      </c>
      <c r="L41" s="4" t="inlineStr">
        <is>
          <t>Avg</t>
        </is>
      </c>
      <c r="M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0" t="n"/>
      <c r="I42" s="30" t="n"/>
      <c r="J42" s="30" t="n"/>
      <c r="K42" s="31">
        <f>IF(COUNT(C42:J42)=0,"",SUM(C42:J42))</f>
        <v/>
      </c>
      <c r="L42" s="4" t="inlineStr">
        <is>
          <t>∑</t>
        </is>
      </c>
      <c r="M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2" t="n"/>
      <c r="I43" s="32" t="n"/>
      <c r="J43" s="32" t="n"/>
      <c r="K43" s="33">
        <f>IF(COUNT(C43:J43)=0,"",SUM(C43:J43))</f>
        <v/>
      </c>
      <c r="L43" s="4" t="inlineStr">
        <is>
          <t>∑</t>
        </is>
      </c>
      <c r="M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2" t="n"/>
      <c r="I44" s="32" t="n"/>
      <c r="J44" s="32" t="n"/>
      <c r="K44" s="33">
        <f>IF(COUNT(C44:J44)=0,"",SUM(C44:J44))</f>
        <v/>
      </c>
      <c r="L44" s="4" t="inlineStr">
        <is>
          <t>∑</t>
        </is>
      </c>
      <c r="M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14">
        <f>IF(COUNT(J43:J44)=0,"",SUM(J43:J44))</f>
        <v/>
      </c>
      <c r="K45" s="33">
        <f>IF(COUNT(K43:K44)=0,"",SUM(K43:K44))</f>
        <v/>
      </c>
      <c r="L45" s="4" t="inlineStr">
        <is>
          <t>ϝ</t>
        </is>
      </c>
      <c r="M45" s="3" t="n"/>
    </row>
    <row r="46" ht="15.5" customHeight="1">
      <c r="A46" s="3" t="n"/>
      <c r="B46" s="13" t="inlineStr">
        <is>
          <t>Absent Rate Non-Certified (%)</t>
        </is>
      </c>
      <c r="C46" s="19">
        <f>IF('(Culinary_CRI)'!$G$13="","",'(Culinary_CRI)'!$G$13)</f>
        <v/>
      </c>
      <c r="D46" s="19">
        <f>IF('(Food_GTM)'!$G$13="","",'(Food_GTM)'!$G$13)</f>
        <v/>
      </c>
      <c r="E46" s="19">
        <f>IF('(GCG_GTM)'!$G$13="","",'(GCG_GTM)'!$G$13)</f>
        <v/>
      </c>
      <c r="F46" s="19">
        <f>IF('(Ground_HND)'!$G$13="","",'(Ground_HND)'!$G$13)</f>
        <v/>
      </c>
      <c r="G46" s="19">
        <f>IF('(GCG_HND)'!$G$13="","",'(GCG_HND)'!$G$13)</f>
        <v/>
      </c>
      <c r="H46" s="19">
        <f>IF('(Concess_PAN)'!$G$13="","",'(Concess_PAN)'!$G$13)</f>
        <v/>
      </c>
      <c r="I46" s="19">
        <f>IF('(GCG_SLV)'!$G$13="","",'(GCG_SLV)'!$G$13)</f>
        <v/>
      </c>
      <c r="J46" s="19">
        <f>IF('(Food_SLV)'!$G$13="","",'(Food_SLV)'!$G$13)</f>
        <v/>
      </c>
      <c r="K46" s="36">
        <f t="array" ref="K46">IF(COUNT(C46:J46)=0,"",IFERROR(SUMPRODUCT(IFERROR(C46:J46*((C3:J3)+(C4:J4)),0))/SUMPRODUCT(IFERROR(ISNUMBER(C46:J46)*((C3:J3)+(C4:J4)),0)),""))</f>
        <v/>
      </c>
      <c r="L46" s="4" t="inlineStr">
        <is>
          <t>Weighted</t>
        </is>
      </c>
      <c r="M46" s="3" t="n"/>
    </row>
    <row r="47" ht="15.5" customHeight="1">
      <c r="A47" s="3" t="n"/>
      <c r="B47" s="13" t="inlineStr">
        <is>
          <t>Absent Rate Certified (%)</t>
        </is>
      </c>
      <c r="C47" s="19">
        <f>IF('(Culinary_CRI)'!$O$13="","",'(Culinary_CRI)'!$O$13)</f>
        <v/>
      </c>
      <c r="D47" s="19">
        <f>IF('(Food_GTM)'!$O$13="","",'(Food_GTM)'!$O$13)</f>
        <v/>
      </c>
      <c r="E47" s="19">
        <f>IF('(GCG_GTM)'!$O$13="","",'(GCG_GTM)'!$O$13)</f>
        <v/>
      </c>
      <c r="F47" s="19">
        <f>IF('(Ground_HND)'!$O$13="","",'(Ground_HND)'!$O$13)</f>
        <v/>
      </c>
      <c r="G47" s="19">
        <f>IF('(GCG_HND)'!$O$13="","",'(GCG_HND)'!$O$13)</f>
        <v/>
      </c>
      <c r="H47" s="19">
        <f>IF('(Concess_PAN)'!$O$13="","",'(Concess_PAN)'!$O$13)</f>
        <v/>
      </c>
      <c r="I47" s="19">
        <f>IF('(GCG_SLV)'!$O$13="","",'(GCG_SLV)'!$O$13)</f>
        <v/>
      </c>
      <c r="J47" s="19">
        <f>IF('(Food_SLV)'!$O$13="","",'(Food_SLV)'!$O$13)</f>
        <v/>
      </c>
      <c r="K47" s="36">
        <f t="array" ref="K47">IF(COUNT(C47:J47)=0,"",IFERROR(SUMPRODUCT(IFERROR(C47:J47*((C3:J3)+(C4:J4)),0))/SUMPRODUCT(IFERROR(ISNUMBER(C47:J47)*((C3:J3)+(C4:J4)),0)),""))</f>
        <v/>
      </c>
      <c r="L47" s="4" t="inlineStr">
        <is>
          <t>Weighted</t>
        </is>
      </c>
      <c r="M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19">
        <f>IF(COUNT(J46:J47)=0,"",SUM(J46:J47))</f>
        <v/>
      </c>
      <c r="K48" s="36">
        <f>IF(COUNT(K46:K47)=0,"",SUM(K46:K47))</f>
        <v/>
      </c>
      <c r="L48" s="4" t="inlineStr">
        <is>
          <t>Weighted</t>
        </is>
      </c>
      <c r="M48" s="3" t="n"/>
    </row>
    <row r="49" ht="15.5" customHeight="1">
      <c r="A49" s="3" t="n"/>
      <c r="B49" s="18" t="inlineStr">
        <is>
          <t>Weight factor</t>
        </is>
      </c>
      <c r="C49" s="19">
        <f>IFERROR(C5/$K5,"")</f>
        <v/>
      </c>
      <c r="D49" s="19">
        <f>IFERROR(D5/$K5,"")</f>
        <v/>
      </c>
      <c r="E49" s="19">
        <f>IFERROR(E5/$K5,"")</f>
        <v/>
      </c>
      <c r="F49" s="19">
        <f>IFERROR(F5/$K5,"")</f>
        <v/>
      </c>
      <c r="G49" s="19">
        <f>IFERROR(G5/$K5,"")</f>
        <v/>
      </c>
      <c r="H49" s="19">
        <f>IFERROR(H5/$K5,"")</f>
        <v/>
      </c>
      <c r="I49" s="19">
        <f>IFERROR(I5/$K5,"")</f>
        <v/>
      </c>
      <c r="J49" s="19">
        <f>IFERROR(J5/$K5,"")</f>
        <v/>
      </c>
      <c r="K49" s="36">
        <f>IF(COUNT(C49:J49)=0,"",SUM(C49:J49))</f>
        <v/>
      </c>
      <c r="L49" s="4" t="inlineStr">
        <is>
          <t>Weight Factor</t>
        </is>
      </c>
      <c r="M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2" t="n"/>
      <c r="I50" s="32" t="n"/>
      <c r="J50" s="32" t="n"/>
      <c r="K50" s="33">
        <f>IF(COUNT(C50:J50)=0,"",SUM(C50:J50))</f>
        <v/>
      </c>
      <c r="L50" s="4" t="inlineStr">
        <is>
          <t>∑</t>
        </is>
      </c>
      <c r="M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2" t="n"/>
      <c r="I51" s="32" t="n"/>
      <c r="J51" s="32" t="n"/>
      <c r="K51" s="33">
        <f>IF(COUNT(C51:J51)=0,"",SUM(C51:J51))</f>
        <v/>
      </c>
      <c r="L51" s="4" t="inlineStr">
        <is>
          <t>∑</t>
        </is>
      </c>
      <c r="M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2" t="n"/>
      <c r="I52" s="32" t="n"/>
      <c r="J52" s="32" t="n"/>
      <c r="K52" s="33">
        <f>IF(COUNT(C52:J52)=0,"",SUM(C52:J52))</f>
        <v/>
      </c>
      <c r="L52" s="4" t="inlineStr">
        <is>
          <t>∑</t>
        </is>
      </c>
      <c r="M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2" t="n"/>
      <c r="I53" s="32" t="n"/>
      <c r="J53" s="32" t="n"/>
      <c r="K53" s="33">
        <f>IF(COUNT(C53:J53)=0,"",SUM(C53:J53))</f>
        <v/>
      </c>
      <c r="L53" s="4" t="inlineStr">
        <is>
          <t>∑</t>
        </is>
      </c>
      <c r="M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2" t="n"/>
      <c r="I54" s="32" t="n"/>
      <c r="J54" s="32" t="n"/>
      <c r="K54" s="33">
        <f>IF(COUNT(C54:J54)=0,"",SUM(C54:J54))</f>
        <v/>
      </c>
      <c r="L54" s="4" t="inlineStr">
        <is>
          <t>∑</t>
        </is>
      </c>
      <c r="M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14">
        <f>IF(COUNT(J50:J54)=0,"",SUM(J50:J54))</f>
        <v/>
      </c>
      <c r="K55" s="33">
        <f>IF(COUNT(K50:K54)=0,"",SUM(K50:K54))</f>
        <v/>
      </c>
      <c r="L55" s="4" t="inlineStr">
        <is>
          <t>ϝ</t>
        </is>
      </c>
      <c r="M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2" t="n"/>
      <c r="I56" s="32" t="n"/>
      <c r="J56" s="32" t="n"/>
      <c r="K56" s="33">
        <f>IF(COUNT(C56:J56)=0,"",SUM(C56:J56))</f>
        <v/>
      </c>
      <c r="L56" s="4" t="inlineStr">
        <is>
          <t>∑</t>
        </is>
      </c>
      <c r="M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2" t="n"/>
      <c r="I57" s="32" t="n"/>
      <c r="J57" s="32" t="n"/>
      <c r="K57" s="33">
        <f>IF(COUNT(C57:J57)=0,"",SUM(C57:J57))</f>
        <v/>
      </c>
      <c r="L57" s="4" t="inlineStr">
        <is>
          <t>∑</t>
        </is>
      </c>
      <c r="M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2" t="n"/>
      <c r="I58" s="32" t="n"/>
      <c r="J58" s="32" t="n"/>
      <c r="K58" s="33">
        <f>IF(COUNT(C58:J58)=0,"",SUM(C58:J58))</f>
        <v/>
      </c>
      <c r="L58" s="4" t="inlineStr">
        <is>
          <t>∑</t>
        </is>
      </c>
      <c r="M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2" t="n"/>
      <c r="I59" s="32" t="n"/>
      <c r="J59" s="32" t="n"/>
      <c r="K59" s="33">
        <f>IF(COUNT(C59:J59)=0,"",SUM(C59:J59))</f>
        <v/>
      </c>
      <c r="L59" s="4" t="inlineStr">
        <is>
          <t>∑</t>
        </is>
      </c>
      <c r="M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19">
        <f>IFERROR(J50/J$55,"")</f>
        <v/>
      </c>
      <c r="K60" s="36">
        <f>IFERROR(K50/K$55,"")</f>
        <v/>
      </c>
      <c r="L60" s="4" t="inlineStr">
        <is>
          <t>ϝ</t>
        </is>
      </c>
      <c r="M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19">
        <f>IFERROR(J51/J$55,"")</f>
        <v/>
      </c>
      <c r="K61" s="36">
        <f>IFERROR(K51/K$55,"")</f>
        <v/>
      </c>
      <c r="L61" s="4" t="inlineStr">
        <is>
          <t>ϝ</t>
        </is>
      </c>
      <c r="M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19">
        <f>IFERROR(J52/J$55,"")</f>
        <v/>
      </c>
      <c r="K62" s="36">
        <f>IFERROR(K52/K$55,"")</f>
        <v/>
      </c>
      <c r="L62" s="4" t="inlineStr">
        <is>
          <t>ϝ</t>
        </is>
      </c>
      <c r="M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19">
        <f>IFERROR(J53/J$55,"")</f>
        <v/>
      </c>
      <c r="K63" s="36">
        <f>IFERROR(K53/K$55,"")</f>
        <v/>
      </c>
      <c r="L63" s="4" t="inlineStr">
        <is>
          <t>ϝ</t>
        </is>
      </c>
      <c r="M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19">
        <f>IFERROR(J54/J$55,"")</f>
        <v/>
      </c>
      <c r="K64" s="36">
        <f>IFERROR(K54/K$55,"")</f>
        <v/>
      </c>
      <c r="L64" s="4" t="inlineStr">
        <is>
          <t>ϝ</t>
        </is>
      </c>
      <c r="M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19">
        <f>IFERROR(J56/J5,"")</f>
        <v/>
      </c>
      <c r="K65" s="36">
        <f>IFERROR(K56/K5,"")</f>
        <v/>
      </c>
      <c r="L65" s="4" t="inlineStr">
        <is>
          <t>ϝ</t>
        </is>
      </c>
      <c r="M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16">
        <f>IFERROR(J55/J5,"")</f>
        <v/>
      </c>
      <c r="K66" s="34">
        <f>IFERROR(K55/K5,"")</f>
        <v/>
      </c>
      <c r="L66" s="4" t="inlineStr">
        <is>
          <t>ϝ</t>
        </is>
      </c>
      <c r="M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16">
        <f>IFERROR(J55/J56,"")</f>
        <v/>
      </c>
      <c r="K67" s="34">
        <f>IFERROR(K55/K56,"")</f>
        <v/>
      </c>
      <c r="L67" s="4" t="inlineStr">
        <is>
          <t>ϝ</t>
        </is>
      </c>
      <c r="M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16">
        <f>IF(COUNT(J58:J59)=0,"",IFERROR((N(J58)+N(J59))/J5,""))</f>
        <v/>
      </c>
      <c r="K68" s="34">
        <f>IF(COUNT(K58:K59)=0,"",IFERROR((N(K58)+N(K59))/K5,""))</f>
        <v/>
      </c>
      <c r="L68" s="4" t="inlineStr">
        <is>
          <t>ϝ</t>
        </is>
      </c>
      <c r="M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16">
        <f>IF(COUNT(J58:J59)=0,"",IFERROR((N(J58)+N(J59))/J56,""))</f>
        <v/>
      </c>
      <c r="K69" s="34">
        <f>IF(COUNT(K58:K59)=0,"",IFERROR((N(K58)+N(K59))/K56,""))</f>
        <v/>
      </c>
      <c r="L69" s="4" t="inlineStr">
        <is>
          <t>ϝ</t>
        </is>
      </c>
      <c r="M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14">
        <f>COUNTBLANK(J3:J4)+COUNTBLANK(J6:J10)+COUNTBLANK(J12:J13)+COUNTBLANK(J18:J20)+COUNTBLANK(J22:J23)+COUNTBLANK(J27:J28)+COUNTBLANK(J34:J35)+COUNTBLANK(J39:J44)+COUNTBLANK(J46:J47)+COUNTBLANK(J50:J54)+COUNTBLANK(J56:J59)</f>
        <v/>
      </c>
      <c r="K70" s="33">
        <f>SUM(C70:J70)</f>
        <v/>
      </c>
      <c r="L70" s="39" t="inlineStr">
        <is>
          <t>∑</t>
        </is>
      </c>
      <c r="M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26953125" customWidth="1" min="10" max="10"/>
    <col width="15.7265625" customWidth="1" min="11" max="11"/>
    <col width="21" customWidth="1" min="12" max="12"/>
    <col width="11.81640625" customWidth="1" min="13" max="13"/>
  </cols>
  <sheetData>
    <row r="1" ht="30" customHeight="1">
      <c r="A1" s="1" t="n"/>
      <c r="B1" s="2" t="inlineStr">
        <is>
          <t>GCG CENTRAL AMERICA</t>
        </is>
      </c>
      <c r="C1" s="26" t="inlineStr">
        <is>
          <t>1171</t>
        </is>
      </c>
      <c r="D1" s="26" t="inlineStr">
        <is>
          <t>1162</t>
        </is>
      </c>
      <c r="E1" s="26" t="inlineStr">
        <is>
          <t>1076</t>
        </is>
      </c>
      <c r="F1" s="26" t="inlineStr">
        <is>
          <t>1170</t>
        </is>
      </c>
      <c r="G1" s="26" t="inlineStr">
        <is>
          <t>1078</t>
        </is>
      </c>
      <c r="H1" s="26" t="inlineStr">
        <is>
          <t>1172</t>
        </is>
      </c>
      <c r="I1" s="26" t="inlineStr">
        <is>
          <t>1074</t>
        </is>
      </c>
      <c r="J1" s="26" t="inlineStr">
        <is>
          <t>1161</t>
        </is>
      </c>
      <c r="K1" s="3" t="n"/>
      <c r="L1" s="3" t="n"/>
      <c r="M1" s="3" t="n"/>
    </row>
    <row r="2" ht="72" customHeight="1">
      <c r="A2" s="4">
        <f>VALUE(TEXT(EDATE(DATE(LEFT(JUL!A2,4),RIGHT(JUL!A2,2),1),1),"yyyymm"))</f>
        <v/>
      </c>
      <c r="B2" s="5" t="inlineStr">
        <is>
          <t>AUG</t>
        </is>
      </c>
      <c r="C2" s="27" t="inlineStr">
        <is>
          <t>GCG Culinary Costa Rica</t>
        </is>
      </c>
      <c r="D2" s="27" t="inlineStr">
        <is>
          <t>GCG Food Guatemala</t>
        </is>
      </c>
      <c r="E2" s="27" t="inlineStr">
        <is>
          <t>GCG Guatemala</t>
        </is>
      </c>
      <c r="F2" s="27" t="inlineStr">
        <is>
          <t>GCG Aviation Ground Honduras</t>
        </is>
      </c>
      <c r="G2" s="27" t="inlineStr">
        <is>
          <t>GCG Honduras</t>
        </is>
      </c>
      <c r="H2" s="27" t="inlineStr">
        <is>
          <t>GCG Concessions Panama</t>
        </is>
      </c>
      <c r="I2" s="27" t="inlineStr">
        <is>
          <t>GCG El Salvador</t>
        </is>
      </c>
      <c r="J2" s="27" t="inlineStr">
        <is>
          <t>GCG Food El Salvador</t>
        </is>
      </c>
      <c r="K2" s="28" t="inlineStr">
        <is>
          <t>TOTAL</t>
        </is>
      </c>
      <c r="L2" s="4" t="inlineStr">
        <is>
          <t>Total by Division</t>
        </is>
      </c>
      <c r="M2" s="29">
        <f>N(M11)&lt;&gt;0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0" t="n"/>
      <c r="I3" s="30" t="n"/>
      <c r="J3" s="30" t="n"/>
      <c r="K3" s="31">
        <f>IF(COUNT(C3:J3)=0,"",SUM(C3:J3))</f>
        <v/>
      </c>
      <c r="L3" s="4" t="inlineStr">
        <is>
          <t>∑</t>
        </is>
      </c>
      <c r="M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0" t="n"/>
      <c r="I4" s="30" t="n"/>
      <c r="J4" s="30" t="n"/>
      <c r="K4" s="31">
        <f>IF(COUNT(C4:J4)=0,"",SUM(C4:J4))</f>
        <v/>
      </c>
      <c r="L4" s="4" t="inlineStr">
        <is>
          <t>∑</t>
        </is>
      </c>
      <c r="M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11">
        <f>IF(COUNT(J3:J4)=0,"",SUM(J3:J4))</f>
        <v/>
      </c>
      <c r="K5" s="31">
        <f>IF(COUNT(K3:K4)=0,"",SUM(K3:K4))</f>
        <v/>
      </c>
      <c r="L5" s="4" t="inlineStr">
        <is>
          <t>ϝ</t>
        </is>
      </c>
      <c r="M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0" t="n"/>
      <c r="I6" s="30" t="n"/>
      <c r="J6" s="30" t="n"/>
      <c r="K6" s="31">
        <f>IF(COUNT(C6:J6)=0,"",SUM(C6:J6))</f>
        <v/>
      </c>
      <c r="L6" s="4" t="inlineStr">
        <is>
          <t>∑</t>
        </is>
      </c>
      <c r="M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0" t="n"/>
      <c r="I7" s="30" t="n"/>
      <c r="J7" s="30" t="n"/>
      <c r="K7" s="31">
        <f>IF(COUNT(C7:J7)=0,"",SUM(C7:J7))</f>
        <v/>
      </c>
      <c r="L7" s="4" t="inlineStr">
        <is>
          <t>∑</t>
        </is>
      </c>
      <c r="M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0" t="n"/>
      <c r="I8" s="30" t="n"/>
      <c r="J8" s="30" t="n"/>
      <c r="K8" s="31">
        <f>IF(COUNT(C8:J8)=0,"",SUM(C8:J8))</f>
        <v/>
      </c>
      <c r="L8" s="4" t="inlineStr">
        <is>
          <t>∑</t>
        </is>
      </c>
      <c r="M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0" t="n"/>
      <c r="I9" s="30" t="n"/>
      <c r="J9" s="30" t="n"/>
      <c r="K9" s="31">
        <f>IF(COUNT(C9:J9)=0,"",SUM(C9:J9))</f>
        <v/>
      </c>
      <c r="L9" s="4" t="inlineStr">
        <is>
          <t>∑</t>
        </is>
      </c>
      <c r="M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2" t="n"/>
      <c r="I10" s="32" t="n"/>
      <c r="J10" s="32" t="n"/>
      <c r="K10" s="33">
        <f>IFERROR(AVERAGE(C10:J10),"")</f>
        <v/>
      </c>
      <c r="L10" s="4" t="inlineStr">
        <is>
          <t>Avg</t>
        </is>
      </c>
      <c r="M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16">
        <f>IF(COUNT(J6:J9)=0,"",N(J6)+N(J7)*0.75+N(J8)*0.5+N(J9)*0.25)</f>
        <v/>
      </c>
      <c r="K11" s="34">
        <f>IF(COUNT(K6:K9)=0,"",N(K6)+N(K7)*0.75+N(K8)*0.5+N(K9)*0.25)</f>
        <v/>
      </c>
      <c r="L11" s="4" t="inlineStr">
        <is>
          <t>FTE</t>
        </is>
      </c>
      <c r="M11" s="35">
        <f>IF(COUNT(K5:K9)=0,"",N(K6)+N(K7)+N(K8)+N(K9)-N(K5))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0" t="n"/>
      <c r="I12" s="30" t="n"/>
      <c r="J12" s="30" t="n"/>
      <c r="K12" s="31">
        <f>IF(COUNT(C12:J12)=0,"",SUM(C12:J12))</f>
        <v/>
      </c>
      <c r="L12" s="4" t="inlineStr">
        <is>
          <t>∑</t>
        </is>
      </c>
      <c r="M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2" t="n"/>
      <c r="I13" s="32" t="n"/>
      <c r="J13" s="32" t="n"/>
      <c r="K13" s="33">
        <f>IF(COUNT(C13:J13)=0,"",SUM(C13:J13))</f>
        <v/>
      </c>
      <c r="L13" s="4" t="inlineStr">
        <is>
          <t>∑</t>
        </is>
      </c>
      <c r="M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16">
        <f>IFERROR(J13/J10,"")</f>
        <v/>
      </c>
      <c r="K14" s="34">
        <f>IF(COUNT(C14:J14)=0,"",SUM(C14:J14))</f>
        <v/>
      </c>
      <c r="L14" s="4" t="inlineStr">
        <is>
          <t>FTE</t>
        </is>
      </c>
      <c r="M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11">
        <f>IF(COUNT(J5,J12)=0,"",SUM(J5,J12))</f>
        <v/>
      </c>
      <c r="K15" s="31">
        <f>IF(COUNT(K5,K12)=0,"",SUM(K5,K12))</f>
        <v/>
      </c>
      <c r="L15" s="4" t="inlineStr">
        <is>
          <t>ϝ</t>
        </is>
      </c>
      <c r="M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16">
        <f>IF(COUNT(J11,J14)=0,"",SUM(J11,J14))</f>
        <v/>
      </c>
      <c r="K16" s="34">
        <f>IF(COUNT(K11,K14)=0,"",SUM(K11,K14))</f>
        <v/>
      </c>
      <c r="L16" s="4" t="inlineStr">
        <is>
          <t>FTE</t>
        </is>
      </c>
      <c r="M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19">
        <f>IFERROR(J12/J15,"")</f>
        <v/>
      </c>
      <c r="K17" s="36">
        <f>IFERROR(K12/K15,"")</f>
        <v/>
      </c>
      <c r="L17" s="4" t="inlineStr">
        <is>
          <t>ϝ</t>
        </is>
      </c>
      <c r="M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0" t="n"/>
      <c r="I18" s="30" t="n"/>
      <c r="J18" s="30" t="n"/>
      <c r="K18" s="31">
        <f>IF(COUNT(C18:J18)=0,"",SUM(C18:J18))</f>
        <v/>
      </c>
      <c r="L18" s="4" t="inlineStr">
        <is>
          <t>∑</t>
        </is>
      </c>
      <c r="M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0" t="n"/>
      <c r="I19" s="30" t="n"/>
      <c r="J19" s="30" t="n"/>
      <c r="K19" s="31">
        <f>IF(COUNT(C19:J19)=0,"",SUM(C19:J19))</f>
        <v/>
      </c>
      <c r="L19" s="4" t="inlineStr">
        <is>
          <t>∑</t>
        </is>
      </c>
      <c r="M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0" t="n"/>
      <c r="I20" s="30" t="n"/>
      <c r="J20" s="30" t="n"/>
      <c r="K20" s="31">
        <f>IF(COUNT(C20:J20)=0,"",SUM(C20:J20))</f>
        <v/>
      </c>
      <c r="L20" s="4" t="inlineStr">
        <is>
          <t>∑</t>
        </is>
      </c>
      <c r="M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11">
        <f>IF(COUNT(J19:J20)=0,"",SUM(J19:J20))</f>
        <v/>
      </c>
      <c r="K21" s="31">
        <f>IF(COUNT(K19:K20)=0,"",SUM(K19:K20))</f>
        <v/>
      </c>
      <c r="L21" s="4" t="inlineStr">
        <is>
          <t>ϝ</t>
        </is>
      </c>
      <c r="M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0" t="n"/>
      <c r="I22" s="30" t="n"/>
      <c r="J22" s="30" t="n"/>
      <c r="K22" s="31">
        <f>IF(COUNT(C22:J22)=0,"",SUM(C22:J22))</f>
        <v/>
      </c>
      <c r="L22" s="4" t="inlineStr">
        <is>
          <t>∑</t>
        </is>
      </c>
      <c r="M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0" t="n"/>
      <c r="I23" s="30" t="n"/>
      <c r="J23" s="30" t="n"/>
      <c r="K23" s="31">
        <f>IF(COUNT(C23:J23)=0,"",SUM(C23:J23))</f>
        <v/>
      </c>
      <c r="L23" s="4" t="inlineStr">
        <is>
          <t>∑</t>
        </is>
      </c>
      <c r="M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11">
        <f>IF(COUNT(J22:J23)=0,"",SUM(J22:J23))</f>
        <v/>
      </c>
      <c r="K24" s="31">
        <f>IF(COUNT(K22:K23)=0,"",SUM(K22:K23))</f>
        <v/>
      </c>
      <c r="L24" s="4" t="inlineStr">
        <is>
          <t>ϝ</t>
        </is>
      </c>
      <c r="M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19">
        <f>IF(COUNT(J31,J32)&lt;2,"",IF((J32+J31)=0,"",N(J22)/((J32+J31)/2)))</f>
        <v/>
      </c>
      <c r="K25" s="36">
        <f>IF(COUNT(K31,K32)&lt;2,"",IF((K32+K31)=0,"",N(K22)/((K32+K31)/2)))</f>
        <v/>
      </c>
      <c r="L25" s="4" t="inlineStr">
        <is>
          <t>ϝ</t>
        </is>
      </c>
      <c r="M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19">
        <f>IF(COUNT(J31,J32)&lt;2,"",IF((J32+J31)=0,"",N(J23)/((J32+J31)/2)))</f>
        <v/>
      </c>
      <c r="K26" s="36">
        <f>IF(COUNT(K31,K32)&lt;2,"",IF((K32+K31)=0,"",N(K23)/((K32+K31)/2)))</f>
        <v/>
      </c>
      <c r="L26" s="4" t="inlineStr">
        <is>
          <t>ϝ</t>
        </is>
      </c>
      <c r="M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0" t="n"/>
      <c r="I27" s="30" t="n"/>
      <c r="J27" s="30" t="n"/>
      <c r="K27" s="31">
        <f>IF(COUNT(C27:J27)=0,"",SUM(C27:J27))</f>
        <v/>
      </c>
      <c r="L27" s="4" t="inlineStr">
        <is>
          <t>∑</t>
        </is>
      </c>
      <c r="M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0" t="n"/>
      <c r="I28" s="30" t="n"/>
      <c r="J28" s="30" t="n"/>
      <c r="K28" s="31">
        <f>IF(COUNT(C28:J28)=0,"",SUM(C28:J28))</f>
        <v/>
      </c>
      <c r="L28" s="4" t="inlineStr">
        <is>
          <t>∑</t>
        </is>
      </c>
      <c r="M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19">
        <f>IF(COUNT(J31,J32)&lt;2,"",IF((J32+J31)=0,"",N(J27)/((J32+J31)/2)))</f>
        <v/>
      </c>
      <c r="K29" s="36">
        <f>IF(COUNT(K31,K32)&lt;2,"",IF((K32+K31)=0,"",N(K27)/((K32+K31)/2)))</f>
        <v/>
      </c>
      <c r="L29" s="4" t="inlineStr">
        <is>
          <t>ϝ</t>
        </is>
      </c>
      <c r="M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19">
        <f>IF(COUNT(J31,J32)&lt;2,"",IF((J32+J31)=0,"",N(J28)/((J32+J31)/2)))</f>
        <v/>
      </c>
      <c r="K30" s="36">
        <f>IF(COUNT(K31,K32)&lt;2,"",IF((K32+K31)=0,"",N(K28)/((K32+K31)/2)))</f>
        <v/>
      </c>
      <c r="L30" s="4" t="inlineStr">
        <is>
          <t>ϝ</t>
        </is>
      </c>
      <c r="M30" s="3" t="n"/>
    </row>
    <row r="31" ht="15.5" customHeight="1">
      <c r="A31" s="3" t="n"/>
      <c r="B31" s="10" t="inlineStr">
        <is>
          <t>Headcount last Month</t>
        </is>
      </c>
      <c r="C31" s="11">
        <f>IF(JUL!C5="","",JUL!C5)</f>
        <v/>
      </c>
      <c r="D31" s="11">
        <f>IF(JUL!D5="","",JUL!D5)</f>
        <v/>
      </c>
      <c r="E31" s="11">
        <f>IF(JUL!E5="","",JUL!E5)</f>
        <v/>
      </c>
      <c r="F31" s="11">
        <f>IF(JUL!F5="","",JUL!F5)</f>
        <v/>
      </c>
      <c r="G31" s="11">
        <f>IF(JUL!G5="","",JUL!G5)</f>
        <v/>
      </c>
      <c r="H31" s="11">
        <f>IF(JUL!H5="","",JUL!H5)</f>
        <v/>
      </c>
      <c r="I31" s="11">
        <f>IF(JUL!I5="","",JUL!I5)</f>
        <v/>
      </c>
      <c r="J31" s="11">
        <f>IF(JUL!J5="","",JUL!J5)</f>
        <v/>
      </c>
      <c r="K31" s="31">
        <f>IF(COUNT(C31:J31)=0,"",SUM(C31:J31))</f>
        <v/>
      </c>
      <c r="L31" s="4" t="inlineStr">
        <is>
          <t>∑</t>
        </is>
      </c>
      <c r="M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11">
        <f>IF(J5="","",J5)</f>
        <v/>
      </c>
      <c r="K32" s="31">
        <f>IF(COUNT(C32:J32)=0,"",SUM(C32:J32))</f>
        <v/>
      </c>
      <c r="L32" s="4" t="inlineStr">
        <is>
          <t>∑</t>
        </is>
      </c>
      <c r="M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19">
        <f>IF(COUNT(J31,J32)&lt;2,"",IF((J32+J31)=0,"",N(J24)/((J32+J31)/2)))</f>
        <v/>
      </c>
      <c r="K33" s="36">
        <f>IF(COUNT(K31,K32)&lt;2,"",IF((K32+K31)=0,"",N(K24)/((K32+K31)/2)))</f>
        <v/>
      </c>
      <c r="L33" s="4" t="inlineStr">
        <is>
          <t>ϝ</t>
        </is>
      </c>
      <c r="M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0" t="n"/>
      <c r="I34" s="30" t="n"/>
      <c r="J34" s="30" t="n"/>
      <c r="K34" s="31">
        <f>IF(COUNT(C34:J34)=0,"",SUM(C34:J34))</f>
        <v/>
      </c>
      <c r="L34" s="4" t="inlineStr">
        <is>
          <t>∑</t>
        </is>
      </c>
      <c r="M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0" t="n"/>
      <c r="I35" s="30" t="n"/>
      <c r="J35" s="30" t="n"/>
      <c r="K35" s="31">
        <f>IF(COUNT(C35:J35)=0,"",SUM(C35:J35))</f>
        <v/>
      </c>
      <c r="L35" s="4" t="inlineStr">
        <is>
          <t>∑</t>
        </is>
      </c>
      <c r="M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11">
        <f>IF(COUNT(J34:J35)=0,"",SUM(J34:J35))</f>
        <v/>
      </c>
      <c r="K36" s="31">
        <f>IF(COUNT(K34:K35)=0,"",SUM(K34:K35))</f>
        <v/>
      </c>
      <c r="L36" s="4" t="inlineStr">
        <is>
          <t>ϝ</t>
        </is>
      </c>
      <c r="M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11">
        <f>IF(COUNT(J5,J36)=0,"",N(J5)+N(J36))</f>
        <v/>
      </c>
      <c r="K37" s="31">
        <f>IF(COUNT(K5,K36)=0,"",N(K5)+N(K36))</f>
        <v/>
      </c>
      <c r="L37" s="4" t="inlineStr">
        <is>
          <t>ϝ</t>
        </is>
      </c>
      <c r="M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19">
        <f>IFERROR(J36/J37,"")</f>
        <v/>
      </c>
      <c r="K38" s="36">
        <f>IFERROR(K36/K37,"")</f>
        <v/>
      </c>
      <c r="L38" s="4" t="inlineStr">
        <is>
          <t>ϝ</t>
        </is>
      </c>
      <c r="M38" s="3" t="n"/>
    </row>
    <row r="39" ht="15.5" customHeight="1">
      <c r="A39" s="3" t="n"/>
      <c r="B39" s="10" t="inlineStr">
        <is>
          <t>Permanent TimeToHire (Days) YTD</t>
        </is>
      </c>
      <c r="C39" s="14">
        <f>IF('(Culinary_CRI)'!$AB$14="","",'(Culinary_CRI)'!$AB$14)</f>
        <v/>
      </c>
      <c r="D39" s="14">
        <f>IF('(Food_GTM)'!$AB$14="","",'(Food_GTM)'!$AB$14)</f>
        <v/>
      </c>
      <c r="E39" s="14">
        <f>IF('(GCG_GTM)'!$AB$14="","",'(GCG_GTM)'!$AB$14)</f>
        <v/>
      </c>
      <c r="F39" s="14">
        <f>IF('(Ground_HND)'!$AB$14="","",'(Ground_HND)'!$AB$14)</f>
        <v/>
      </c>
      <c r="G39" s="14">
        <f>IF('(GCG_HND)'!$AB$14="","",'(GCG_HND)'!$AB$14)</f>
        <v/>
      </c>
      <c r="H39" s="14">
        <f>IF('(Concess_PAN)'!$AB$14="","",'(Concess_PAN)'!$AB$14)</f>
        <v/>
      </c>
      <c r="I39" s="14">
        <f>IF('(GCG_SLV)'!$AB$14="","",'(GCG_SLV)'!$AB$14)</f>
        <v/>
      </c>
      <c r="J39" s="14">
        <f>IF('(Food_SLV)'!$AB$14="","",'(Food_SLV)'!$AB$14)</f>
        <v/>
      </c>
      <c r="K39" s="33">
        <f>IFERROR(AVERAGE(C39:J39),"")</f>
        <v/>
      </c>
      <c r="L39" s="4" t="inlineStr">
        <is>
          <t>Avg</t>
        </is>
      </c>
      <c r="M39" s="3" t="n"/>
    </row>
    <row r="40" ht="15.5" customHeight="1">
      <c r="A40" s="3" t="n"/>
      <c r="B40" s="10" t="inlineStr">
        <is>
          <t>Temporary TimeToHire (Days) YTD</t>
        </is>
      </c>
      <c r="C40" s="14">
        <f>IF('(Culinary_CRI)'!$AD$14="","",'(Culinary_CRI)'!$AD$14)</f>
        <v/>
      </c>
      <c r="D40" s="14">
        <f>IF('(Food_GTM)'!$AD$14="","",'(Food_GTM)'!$AD$14)</f>
        <v/>
      </c>
      <c r="E40" s="14">
        <f>IF('(GCG_GTM)'!$AD$14="","",'(GCG_GTM)'!$AD$14)</f>
        <v/>
      </c>
      <c r="F40" s="14">
        <f>IF('(Ground_HND)'!$AD$14="","",'(Ground_HND)'!$AD$14)</f>
        <v/>
      </c>
      <c r="G40" s="14">
        <f>IF('(GCG_HND)'!$AD$14="","",'(GCG_HND)'!$AD$14)</f>
        <v/>
      </c>
      <c r="H40" s="14">
        <f>IF('(Concess_PAN)'!$AD$14="","",'(Concess_PAN)'!$AD$14)</f>
        <v/>
      </c>
      <c r="I40" s="14">
        <f>IF('(GCG_SLV)'!$AD$14="","",'(GCG_SLV)'!$AD$14)</f>
        <v/>
      </c>
      <c r="J40" s="14">
        <f>IF('(Food_SLV)'!$AD$14="","",'(Food_SLV)'!$AD$14)</f>
        <v/>
      </c>
      <c r="K40" s="33">
        <f>IFERROR(AVERAGE(C40:J40),"")</f>
        <v/>
      </c>
      <c r="L40" s="4" t="inlineStr">
        <is>
          <t>Avg</t>
        </is>
      </c>
      <c r="M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7" t="n"/>
      <c r="I41" s="37" t="n"/>
      <c r="J41" s="37" t="n"/>
      <c r="K41" s="38">
        <f>IFERROR(AVERAGE(C41:J41),"")</f>
        <v/>
      </c>
      <c r="L41" s="4" t="inlineStr">
        <is>
          <t>Avg</t>
        </is>
      </c>
      <c r="M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0" t="n"/>
      <c r="I42" s="30" t="n"/>
      <c r="J42" s="30" t="n"/>
      <c r="K42" s="31">
        <f>IF(COUNT(C42:J42)=0,"",SUM(C42:J42))</f>
        <v/>
      </c>
      <c r="L42" s="4" t="inlineStr">
        <is>
          <t>∑</t>
        </is>
      </c>
      <c r="M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2" t="n"/>
      <c r="I43" s="32" t="n"/>
      <c r="J43" s="32" t="n"/>
      <c r="K43" s="33">
        <f>IF(COUNT(C43:J43)=0,"",SUM(C43:J43))</f>
        <v/>
      </c>
      <c r="L43" s="4" t="inlineStr">
        <is>
          <t>∑</t>
        </is>
      </c>
      <c r="M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2" t="n"/>
      <c r="I44" s="32" t="n"/>
      <c r="J44" s="32" t="n"/>
      <c r="K44" s="33">
        <f>IF(COUNT(C44:J44)=0,"",SUM(C44:J44))</f>
        <v/>
      </c>
      <c r="L44" s="4" t="inlineStr">
        <is>
          <t>∑</t>
        </is>
      </c>
      <c r="M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14">
        <f>IF(COUNT(J43:J44)=0,"",SUM(J43:J44))</f>
        <v/>
      </c>
      <c r="K45" s="33">
        <f>IF(COUNT(K43:K44)=0,"",SUM(K43:K44))</f>
        <v/>
      </c>
      <c r="L45" s="4" t="inlineStr">
        <is>
          <t>ϝ</t>
        </is>
      </c>
      <c r="M45" s="3" t="n"/>
    </row>
    <row r="46" ht="15.5" customHeight="1">
      <c r="A46" s="3" t="n"/>
      <c r="B46" s="13" t="inlineStr">
        <is>
          <t>Absent Rate Non-Certified (%)</t>
        </is>
      </c>
      <c r="C46" s="19">
        <f>IF('(Culinary_CRI)'!$G$14="","",'(Culinary_CRI)'!$G$14)</f>
        <v/>
      </c>
      <c r="D46" s="19">
        <f>IF('(Food_GTM)'!$G$14="","",'(Food_GTM)'!$G$14)</f>
        <v/>
      </c>
      <c r="E46" s="19">
        <f>IF('(GCG_GTM)'!$G$14="","",'(GCG_GTM)'!$G$14)</f>
        <v/>
      </c>
      <c r="F46" s="19">
        <f>IF('(Ground_HND)'!$G$14="","",'(Ground_HND)'!$G$14)</f>
        <v/>
      </c>
      <c r="G46" s="19">
        <f>IF('(GCG_HND)'!$G$14="","",'(GCG_HND)'!$G$14)</f>
        <v/>
      </c>
      <c r="H46" s="19">
        <f>IF('(Concess_PAN)'!$G$14="","",'(Concess_PAN)'!$G$14)</f>
        <v/>
      </c>
      <c r="I46" s="19">
        <f>IF('(GCG_SLV)'!$G$14="","",'(GCG_SLV)'!$G$14)</f>
        <v/>
      </c>
      <c r="J46" s="19">
        <f>IF('(Food_SLV)'!$G$14="","",'(Food_SLV)'!$G$14)</f>
        <v/>
      </c>
      <c r="K46" s="36">
        <f t="array" ref="K46">IF(COUNT(C46:J46)=0,"",IFERROR(SUMPRODUCT(IFERROR(C46:J46*((C3:J3)+(C4:J4)),0))/SUMPRODUCT(IFERROR(ISNUMBER(C46:J46)*((C3:J3)+(C4:J4)),0)),""))</f>
        <v/>
      </c>
      <c r="L46" s="4" t="inlineStr">
        <is>
          <t>Weighted</t>
        </is>
      </c>
      <c r="M46" s="3" t="n"/>
    </row>
    <row r="47" ht="15.5" customHeight="1">
      <c r="A47" s="3" t="n"/>
      <c r="B47" s="13" t="inlineStr">
        <is>
          <t>Absent Rate Certified (%)</t>
        </is>
      </c>
      <c r="C47" s="19">
        <f>IF('(Culinary_CRI)'!$O$14="","",'(Culinary_CRI)'!$O$14)</f>
        <v/>
      </c>
      <c r="D47" s="19">
        <f>IF('(Food_GTM)'!$O$14="","",'(Food_GTM)'!$O$14)</f>
        <v/>
      </c>
      <c r="E47" s="19">
        <f>IF('(GCG_GTM)'!$O$14="","",'(GCG_GTM)'!$O$14)</f>
        <v/>
      </c>
      <c r="F47" s="19">
        <f>IF('(Ground_HND)'!$O$14="","",'(Ground_HND)'!$O$14)</f>
        <v/>
      </c>
      <c r="G47" s="19">
        <f>IF('(GCG_HND)'!$O$14="","",'(GCG_HND)'!$O$14)</f>
        <v/>
      </c>
      <c r="H47" s="19">
        <f>IF('(Concess_PAN)'!$O$14="","",'(Concess_PAN)'!$O$14)</f>
        <v/>
      </c>
      <c r="I47" s="19">
        <f>IF('(GCG_SLV)'!$O$14="","",'(GCG_SLV)'!$O$14)</f>
        <v/>
      </c>
      <c r="J47" s="19">
        <f>IF('(Food_SLV)'!$O$14="","",'(Food_SLV)'!$O$14)</f>
        <v/>
      </c>
      <c r="K47" s="36">
        <f t="array" ref="K47">IF(COUNT(C47:J47)=0,"",IFERROR(SUMPRODUCT(IFERROR(C47:J47*((C3:J3)+(C4:J4)),0))/SUMPRODUCT(IFERROR(ISNUMBER(C47:J47)*((C3:J3)+(C4:J4)),0)),""))</f>
        <v/>
      </c>
      <c r="L47" s="4" t="inlineStr">
        <is>
          <t>Weighted</t>
        </is>
      </c>
      <c r="M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19">
        <f>IF(COUNT(J46:J47)=0,"",SUM(J46:J47))</f>
        <v/>
      </c>
      <c r="K48" s="36">
        <f>IF(COUNT(K46:K47)=0,"",SUM(K46:K47))</f>
        <v/>
      </c>
      <c r="L48" s="4" t="inlineStr">
        <is>
          <t>Weighted</t>
        </is>
      </c>
      <c r="M48" s="3" t="n"/>
    </row>
    <row r="49" ht="15.5" customHeight="1">
      <c r="A49" s="3" t="n"/>
      <c r="B49" s="18" t="inlineStr">
        <is>
          <t>Weight factor</t>
        </is>
      </c>
      <c r="C49" s="19">
        <f>IFERROR(C5/$K5,"")</f>
        <v/>
      </c>
      <c r="D49" s="19">
        <f>IFERROR(D5/$K5,"")</f>
        <v/>
      </c>
      <c r="E49" s="19">
        <f>IFERROR(E5/$K5,"")</f>
        <v/>
      </c>
      <c r="F49" s="19">
        <f>IFERROR(F5/$K5,"")</f>
        <v/>
      </c>
      <c r="G49" s="19">
        <f>IFERROR(G5/$K5,"")</f>
        <v/>
      </c>
      <c r="H49" s="19">
        <f>IFERROR(H5/$K5,"")</f>
        <v/>
      </c>
      <c r="I49" s="19">
        <f>IFERROR(I5/$K5,"")</f>
        <v/>
      </c>
      <c r="J49" s="19">
        <f>IFERROR(J5/$K5,"")</f>
        <v/>
      </c>
      <c r="K49" s="36">
        <f>IF(COUNT(C49:J49)=0,"",SUM(C49:J49))</f>
        <v/>
      </c>
      <c r="L49" s="4" t="inlineStr">
        <is>
          <t>Weight Factor</t>
        </is>
      </c>
      <c r="M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2" t="n"/>
      <c r="I50" s="32" t="n"/>
      <c r="J50" s="32" t="n"/>
      <c r="K50" s="33">
        <f>IF(COUNT(C50:J50)=0,"",SUM(C50:J50))</f>
        <v/>
      </c>
      <c r="L50" s="4" t="inlineStr">
        <is>
          <t>∑</t>
        </is>
      </c>
      <c r="M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2" t="n"/>
      <c r="I51" s="32" t="n"/>
      <c r="J51" s="32" t="n"/>
      <c r="K51" s="33">
        <f>IF(COUNT(C51:J51)=0,"",SUM(C51:J51))</f>
        <v/>
      </c>
      <c r="L51" s="4" t="inlineStr">
        <is>
          <t>∑</t>
        </is>
      </c>
      <c r="M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2" t="n"/>
      <c r="I52" s="32" t="n"/>
      <c r="J52" s="32" t="n"/>
      <c r="K52" s="33">
        <f>IF(COUNT(C52:J52)=0,"",SUM(C52:J52))</f>
        <v/>
      </c>
      <c r="L52" s="4" t="inlineStr">
        <is>
          <t>∑</t>
        </is>
      </c>
      <c r="M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2" t="n"/>
      <c r="I53" s="32" t="n"/>
      <c r="J53" s="32" t="n"/>
      <c r="K53" s="33">
        <f>IF(COUNT(C53:J53)=0,"",SUM(C53:J53))</f>
        <v/>
      </c>
      <c r="L53" s="4" t="inlineStr">
        <is>
          <t>∑</t>
        </is>
      </c>
      <c r="M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2" t="n"/>
      <c r="I54" s="32" t="n"/>
      <c r="J54" s="32" t="n"/>
      <c r="K54" s="33">
        <f>IF(COUNT(C54:J54)=0,"",SUM(C54:J54))</f>
        <v/>
      </c>
      <c r="L54" s="4" t="inlineStr">
        <is>
          <t>∑</t>
        </is>
      </c>
      <c r="M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14">
        <f>IF(COUNT(J50:J54)=0,"",SUM(J50:J54))</f>
        <v/>
      </c>
      <c r="K55" s="33">
        <f>IF(COUNT(K50:K54)=0,"",SUM(K50:K54))</f>
        <v/>
      </c>
      <c r="L55" s="4" t="inlineStr">
        <is>
          <t>ϝ</t>
        </is>
      </c>
      <c r="M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2" t="n"/>
      <c r="I56" s="32" t="n"/>
      <c r="J56" s="32" t="n"/>
      <c r="K56" s="33">
        <f>IF(COUNT(C56:J56)=0,"",SUM(C56:J56))</f>
        <v/>
      </c>
      <c r="L56" s="4" t="inlineStr">
        <is>
          <t>∑</t>
        </is>
      </c>
      <c r="M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2" t="n"/>
      <c r="I57" s="32" t="n"/>
      <c r="J57" s="32" t="n"/>
      <c r="K57" s="33">
        <f>IF(COUNT(C57:J57)=0,"",SUM(C57:J57))</f>
        <v/>
      </c>
      <c r="L57" s="4" t="inlineStr">
        <is>
          <t>∑</t>
        </is>
      </c>
      <c r="M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2" t="n"/>
      <c r="I58" s="32" t="n"/>
      <c r="J58" s="32" t="n"/>
      <c r="K58" s="33">
        <f>IF(COUNT(C58:J58)=0,"",SUM(C58:J58))</f>
        <v/>
      </c>
      <c r="L58" s="4" t="inlineStr">
        <is>
          <t>∑</t>
        </is>
      </c>
      <c r="M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2" t="n"/>
      <c r="I59" s="32" t="n"/>
      <c r="J59" s="32" t="n"/>
      <c r="K59" s="33">
        <f>IF(COUNT(C59:J59)=0,"",SUM(C59:J59))</f>
        <v/>
      </c>
      <c r="L59" s="4" t="inlineStr">
        <is>
          <t>∑</t>
        </is>
      </c>
      <c r="M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19">
        <f>IFERROR(J50/J$55,"")</f>
        <v/>
      </c>
      <c r="K60" s="36">
        <f>IFERROR(K50/K$55,"")</f>
        <v/>
      </c>
      <c r="L60" s="4" t="inlineStr">
        <is>
          <t>ϝ</t>
        </is>
      </c>
      <c r="M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19">
        <f>IFERROR(J51/J$55,"")</f>
        <v/>
      </c>
      <c r="K61" s="36">
        <f>IFERROR(K51/K$55,"")</f>
        <v/>
      </c>
      <c r="L61" s="4" t="inlineStr">
        <is>
          <t>ϝ</t>
        </is>
      </c>
      <c r="M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19">
        <f>IFERROR(J52/J$55,"")</f>
        <v/>
      </c>
      <c r="K62" s="36">
        <f>IFERROR(K52/K$55,"")</f>
        <v/>
      </c>
      <c r="L62" s="4" t="inlineStr">
        <is>
          <t>ϝ</t>
        </is>
      </c>
      <c r="M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19">
        <f>IFERROR(J53/J$55,"")</f>
        <v/>
      </c>
      <c r="K63" s="36">
        <f>IFERROR(K53/K$55,"")</f>
        <v/>
      </c>
      <c r="L63" s="4" t="inlineStr">
        <is>
          <t>ϝ</t>
        </is>
      </c>
      <c r="M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19">
        <f>IFERROR(J54/J$55,"")</f>
        <v/>
      </c>
      <c r="K64" s="36">
        <f>IFERROR(K54/K$55,"")</f>
        <v/>
      </c>
      <c r="L64" s="4" t="inlineStr">
        <is>
          <t>ϝ</t>
        </is>
      </c>
      <c r="M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19">
        <f>IFERROR(J56/J5,"")</f>
        <v/>
      </c>
      <c r="K65" s="36">
        <f>IFERROR(K56/K5,"")</f>
        <v/>
      </c>
      <c r="L65" s="4" t="inlineStr">
        <is>
          <t>ϝ</t>
        </is>
      </c>
      <c r="M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16">
        <f>IFERROR(J55/J5,"")</f>
        <v/>
      </c>
      <c r="K66" s="34">
        <f>IFERROR(K55/K5,"")</f>
        <v/>
      </c>
      <c r="L66" s="4" t="inlineStr">
        <is>
          <t>ϝ</t>
        </is>
      </c>
      <c r="M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16">
        <f>IFERROR(J55/J56,"")</f>
        <v/>
      </c>
      <c r="K67" s="34">
        <f>IFERROR(K55/K56,"")</f>
        <v/>
      </c>
      <c r="L67" s="4" t="inlineStr">
        <is>
          <t>ϝ</t>
        </is>
      </c>
      <c r="M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16">
        <f>IF(COUNT(J58:J59)=0,"",IFERROR((N(J58)+N(J59))/J5,""))</f>
        <v/>
      </c>
      <c r="K68" s="34">
        <f>IF(COUNT(K58:K59)=0,"",IFERROR((N(K58)+N(K59))/K5,""))</f>
        <v/>
      </c>
      <c r="L68" s="4" t="inlineStr">
        <is>
          <t>ϝ</t>
        </is>
      </c>
      <c r="M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16">
        <f>IF(COUNT(J58:J59)=0,"",IFERROR((N(J58)+N(J59))/J56,""))</f>
        <v/>
      </c>
      <c r="K69" s="34">
        <f>IF(COUNT(K58:K59)=0,"",IFERROR((N(K58)+N(K59))/K56,""))</f>
        <v/>
      </c>
      <c r="L69" s="4" t="inlineStr">
        <is>
          <t>ϝ</t>
        </is>
      </c>
      <c r="M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14">
        <f>COUNTBLANK(J3:J4)+COUNTBLANK(J6:J10)+COUNTBLANK(J12:J13)+COUNTBLANK(J18:J20)+COUNTBLANK(J22:J23)+COUNTBLANK(J27:J28)+COUNTBLANK(J34:J35)+COUNTBLANK(J39:J44)+COUNTBLANK(J46:J47)+COUNTBLANK(J50:J54)+COUNTBLANK(J56:J59)</f>
        <v/>
      </c>
      <c r="K70" s="33">
        <f>SUM(C70:J70)</f>
        <v/>
      </c>
      <c r="L70" s="39" t="inlineStr">
        <is>
          <t>∑</t>
        </is>
      </c>
      <c r="M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26953125" customWidth="1" min="8" max="8"/>
    <col width="15.26953125" customWidth="1" min="9" max="9"/>
    <col width="15.26953125" customWidth="1" min="10" max="10"/>
    <col width="15.7265625" customWidth="1" min="11" max="11"/>
    <col width="21" customWidth="1" min="12" max="12"/>
    <col width="11.81640625" customWidth="1" min="13" max="13"/>
  </cols>
  <sheetData>
    <row r="1" ht="30" customHeight="1">
      <c r="A1" s="1" t="n"/>
      <c r="B1" s="2" t="inlineStr">
        <is>
          <t>GCG CENTRAL AMERICA</t>
        </is>
      </c>
      <c r="C1" s="26" t="inlineStr">
        <is>
          <t>1171</t>
        </is>
      </c>
      <c r="D1" s="26" t="inlineStr">
        <is>
          <t>1162</t>
        </is>
      </c>
      <c r="E1" s="26" t="inlineStr">
        <is>
          <t>1076</t>
        </is>
      </c>
      <c r="F1" s="26" t="inlineStr">
        <is>
          <t>1170</t>
        </is>
      </c>
      <c r="G1" s="26" t="inlineStr">
        <is>
          <t>1078</t>
        </is>
      </c>
      <c r="H1" s="26" t="inlineStr">
        <is>
          <t>1172</t>
        </is>
      </c>
      <c r="I1" s="26" t="inlineStr">
        <is>
          <t>1074</t>
        </is>
      </c>
      <c r="J1" s="26" t="inlineStr">
        <is>
          <t>1161</t>
        </is>
      </c>
      <c r="K1" s="3" t="n"/>
      <c r="L1" s="3" t="n"/>
      <c r="M1" s="3" t="n"/>
    </row>
    <row r="2" ht="72" customHeight="1">
      <c r="A2" s="4">
        <f>VALUE(TEXT(EDATE(DATE(LEFT(AUG!A2,4),RIGHT(AUG!A2,2),1),1),"yyyymm"))</f>
        <v/>
      </c>
      <c r="B2" s="5" t="inlineStr">
        <is>
          <t>SEP</t>
        </is>
      </c>
      <c r="C2" s="27" t="inlineStr">
        <is>
          <t>GCG Culinary Costa Rica</t>
        </is>
      </c>
      <c r="D2" s="27" t="inlineStr">
        <is>
          <t>GCG Food Guatemala</t>
        </is>
      </c>
      <c r="E2" s="27" t="inlineStr">
        <is>
          <t>GCG Guatemala</t>
        </is>
      </c>
      <c r="F2" s="27" t="inlineStr">
        <is>
          <t>GCG Aviation Ground Honduras</t>
        </is>
      </c>
      <c r="G2" s="27" t="inlineStr">
        <is>
          <t>GCG Honduras</t>
        </is>
      </c>
      <c r="H2" s="27" t="inlineStr">
        <is>
          <t>GCG Concessions Panama</t>
        </is>
      </c>
      <c r="I2" s="27" t="inlineStr">
        <is>
          <t>GCG El Salvador</t>
        </is>
      </c>
      <c r="J2" s="27" t="inlineStr">
        <is>
          <t>GCG Food El Salvador</t>
        </is>
      </c>
      <c r="K2" s="28" t="inlineStr">
        <is>
          <t>TOTAL</t>
        </is>
      </c>
      <c r="L2" s="4" t="inlineStr">
        <is>
          <t>Total by Division</t>
        </is>
      </c>
      <c r="M2" s="29">
        <f>N(M11)&lt;&gt;0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0" t="n"/>
      <c r="I3" s="30" t="n"/>
      <c r="J3" s="30" t="n"/>
      <c r="K3" s="31">
        <f>IF(COUNT(C3:J3)=0,"",SUM(C3:J3))</f>
        <v/>
      </c>
      <c r="L3" s="4" t="inlineStr">
        <is>
          <t>∑</t>
        </is>
      </c>
      <c r="M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0" t="n"/>
      <c r="I4" s="30" t="n"/>
      <c r="J4" s="30" t="n"/>
      <c r="K4" s="31">
        <f>IF(COUNT(C4:J4)=0,"",SUM(C4:J4))</f>
        <v/>
      </c>
      <c r="L4" s="4" t="inlineStr">
        <is>
          <t>∑</t>
        </is>
      </c>
      <c r="M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11">
        <f>IF(COUNT(H3:H4)=0,"",SUM(H3:H4))</f>
        <v/>
      </c>
      <c r="I5" s="11">
        <f>IF(COUNT(I3:I4)=0,"",SUM(I3:I4))</f>
        <v/>
      </c>
      <c r="J5" s="11">
        <f>IF(COUNT(J3:J4)=0,"",SUM(J3:J4))</f>
        <v/>
      </c>
      <c r="K5" s="31">
        <f>IF(COUNT(K3:K4)=0,"",SUM(K3:K4))</f>
        <v/>
      </c>
      <c r="L5" s="4" t="inlineStr">
        <is>
          <t>ϝ</t>
        </is>
      </c>
      <c r="M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0" t="n"/>
      <c r="I6" s="30" t="n"/>
      <c r="J6" s="30" t="n"/>
      <c r="K6" s="31">
        <f>IF(COUNT(C6:J6)=0,"",SUM(C6:J6))</f>
        <v/>
      </c>
      <c r="L6" s="4" t="inlineStr">
        <is>
          <t>∑</t>
        </is>
      </c>
      <c r="M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0" t="n"/>
      <c r="I7" s="30" t="n"/>
      <c r="J7" s="30" t="n"/>
      <c r="K7" s="31">
        <f>IF(COUNT(C7:J7)=0,"",SUM(C7:J7))</f>
        <v/>
      </c>
      <c r="L7" s="4" t="inlineStr">
        <is>
          <t>∑</t>
        </is>
      </c>
      <c r="M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0" t="n"/>
      <c r="I8" s="30" t="n"/>
      <c r="J8" s="30" t="n"/>
      <c r="K8" s="31">
        <f>IF(COUNT(C8:J8)=0,"",SUM(C8:J8))</f>
        <v/>
      </c>
      <c r="L8" s="4" t="inlineStr">
        <is>
          <t>∑</t>
        </is>
      </c>
      <c r="M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0" t="n"/>
      <c r="I9" s="30" t="n"/>
      <c r="J9" s="30" t="n"/>
      <c r="K9" s="31">
        <f>IF(COUNT(C9:J9)=0,"",SUM(C9:J9))</f>
        <v/>
      </c>
      <c r="L9" s="4" t="inlineStr">
        <is>
          <t>∑</t>
        </is>
      </c>
      <c r="M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2" t="n"/>
      <c r="I10" s="32" t="n"/>
      <c r="J10" s="32" t="n"/>
      <c r="K10" s="33">
        <f>IFERROR(AVERAGE(C10:J10),"")</f>
        <v/>
      </c>
      <c r="L10" s="4" t="inlineStr">
        <is>
          <t>Avg</t>
        </is>
      </c>
      <c r="M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16">
        <f>IF(COUNT(H6:H9)=0,"",N(H6)+N(H7)*0.75+N(H8)*0.5+N(H9)*0.25)</f>
        <v/>
      </c>
      <c r="I11" s="16">
        <f>IF(COUNT(I6:I9)=0,"",N(I6)+N(I7)*0.75+N(I8)*0.5+N(I9)*0.25)</f>
        <v/>
      </c>
      <c r="J11" s="16">
        <f>IF(COUNT(J6:J9)=0,"",N(J6)+N(J7)*0.75+N(J8)*0.5+N(J9)*0.25)</f>
        <v/>
      </c>
      <c r="K11" s="34">
        <f>IF(COUNT(K6:K9)=0,"",N(K6)+N(K7)*0.75+N(K8)*0.5+N(K9)*0.25)</f>
        <v/>
      </c>
      <c r="L11" s="4" t="inlineStr">
        <is>
          <t>FTE</t>
        </is>
      </c>
      <c r="M11" s="35">
        <f>IF(COUNT(K5:K9)=0,"",N(K6)+N(K7)+N(K8)+N(K9)-N(K5))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0" t="n"/>
      <c r="I12" s="30" t="n"/>
      <c r="J12" s="30" t="n"/>
      <c r="K12" s="31">
        <f>IF(COUNT(C12:J12)=0,"",SUM(C12:J12))</f>
        <v/>
      </c>
      <c r="L12" s="4" t="inlineStr">
        <is>
          <t>∑</t>
        </is>
      </c>
      <c r="M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2" t="n"/>
      <c r="I13" s="32" t="n"/>
      <c r="J13" s="32" t="n"/>
      <c r="K13" s="33">
        <f>IF(COUNT(C13:J13)=0,"",SUM(C13:J13))</f>
        <v/>
      </c>
      <c r="L13" s="4" t="inlineStr">
        <is>
          <t>∑</t>
        </is>
      </c>
      <c r="M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16">
        <f>IFERROR(H13/H10,"")</f>
        <v/>
      </c>
      <c r="I14" s="16">
        <f>IFERROR(I13/I10,"")</f>
        <v/>
      </c>
      <c r="J14" s="16">
        <f>IFERROR(J13/J10,"")</f>
        <v/>
      </c>
      <c r="K14" s="34">
        <f>IF(COUNT(C14:J14)=0,"",SUM(C14:J14))</f>
        <v/>
      </c>
      <c r="L14" s="4" t="inlineStr">
        <is>
          <t>FTE</t>
        </is>
      </c>
      <c r="M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11">
        <f>IF(COUNT(H5,H12)=0,"",SUM(H5,H12))</f>
        <v/>
      </c>
      <c r="I15" s="11">
        <f>IF(COUNT(I5,I12)=0,"",SUM(I5,I12))</f>
        <v/>
      </c>
      <c r="J15" s="11">
        <f>IF(COUNT(J5,J12)=0,"",SUM(J5,J12))</f>
        <v/>
      </c>
      <c r="K15" s="31">
        <f>IF(COUNT(K5,K12)=0,"",SUM(K5,K12))</f>
        <v/>
      </c>
      <c r="L15" s="4" t="inlineStr">
        <is>
          <t>ϝ</t>
        </is>
      </c>
      <c r="M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16">
        <f>IF(COUNT(H11,H14)=0,"",SUM(H11,H14))</f>
        <v/>
      </c>
      <c r="I16" s="16">
        <f>IF(COUNT(I11,I14)=0,"",SUM(I11,I14))</f>
        <v/>
      </c>
      <c r="J16" s="16">
        <f>IF(COUNT(J11,J14)=0,"",SUM(J11,J14))</f>
        <v/>
      </c>
      <c r="K16" s="34">
        <f>IF(COUNT(K11,K14)=0,"",SUM(K11,K14))</f>
        <v/>
      </c>
      <c r="L16" s="4" t="inlineStr">
        <is>
          <t>FTE</t>
        </is>
      </c>
      <c r="M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19">
        <f>IFERROR(H12/H15,"")</f>
        <v/>
      </c>
      <c r="I17" s="19">
        <f>IFERROR(I12/I15,"")</f>
        <v/>
      </c>
      <c r="J17" s="19">
        <f>IFERROR(J12/J15,"")</f>
        <v/>
      </c>
      <c r="K17" s="36">
        <f>IFERROR(K12/K15,"")</f>
        <v/>
      </c>
      <c r="L17" s="4" t="inlineStr">
        <is>
          <t>ϝ</t>
        </is>
      </c>
      <c r="M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0" t="n"/>
      <c r="I18" s="30" t="n"/>
      <c r="J18" s="30" t="n"/>
      <c r="K18" s="31">
        <f>IF(COUNT(C18:J18)=0,"",SUM(C18:J18))</f>
        <v/>
      </c>
      <c r="L18" s="4" t="inlineStr">
        <is>
          <t>∑</t>
        </is>
      </c>
      <c r="M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0" t="n"/>
      <c r="I19" s="30" t="n"/>
      <c r="J19" s="30" t="n"/>
      <c r="K19" s="31">
        <f>IF(COUNT(C19:J19)=0,"",SUM(C19:J19))</f>
        <v/>
      </c>
      <c r="L19" s="4" t="inlineStr">
        <is>
          <t>∑</t>
        </is>
      </c>
      <c r="M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0" t="n"/>
      <c r="I20" s="30" t="n"/>
      <c r="J20" s="30" t="n"/>
      <c r="K20" s="31">
        <f>IF(COUNT(C20:J20)=0,"",SUM(C20:J20))</f>
        <v/>
      </c>
      <c r="L20" s="4" t="inlineStr">
        <is>
          <t>∑</t>
        </is>
      </c>
      <c r="M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11">
        <f>IF(COUNT(H19:H20)=0,"",SUM(H19:H20))</f>
        <v/>
      </c>
      <c r="I21" s="11">
        <f>IF(COUNT(I19:I20)=0,"",SUM(I19:I20))</f>
        <v/>
      </c>
      <c r="J21" s="11">
        <f>IF(COUNT(J19:J20)=0,"",SUM(J19:J20))</f>
        <v/>
      </c>
      <c r="K21" s="31">
        <f>IF(COUNT(K19:K20)=0,"",SUM(K19:K20))</f>
        <v/>
      </c>
      <c r="L21" s="4" t="inlineStr">
        <is>
          <t>ϝ</t>
        </is>
      </c>
      <c r="M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0" t="n"/>
      <c r="I22" s="30" t="n"/>
      <c r="J22" s="30" t="n"/>
      <c r="K22" s="31">
        <f>IF(COUNT(C22:J22)=0,"",SUM(C22:J22))</f>
        <v/>
      </c>
      <c r="L22" s="4" t="inlineStr">
        <is>
          <t>∑</t>
        </is>
      </c>
      <c r="M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0" t="n"/>
      <c r="I23" s="30" t="n"/>
      <c r="J23" s="30" t="n"/>
      <c r="K23" s="31">
        <f>IF(COUNT(C23:J23)=0,"",SUM(C23:J23))</f>
        <v/>
      </c>
      <c r="L23" s="4" t="inlineStr">
        <is>
          <t>∑</t>
        </is>
      </c>
      <c r="M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11">
        <f>IF(COUNT(H22:H23)=0,"",SUM(H22:H23))</f>
        <v/>
      </c>
      <c r="I24" s="11">
        <f>IF(COUNT(I22:I23)=0,"",SUM(I22:I23))</f>
        <v/>
      </c>
      <c r="J24" s="11">
        <f>IF(COUNT(J22:J23)=0,"",SUM(J22:J23))</f>
        <v/>
      </c>
      <c r="K24" s="31">
        <f>IF(COUNT(K22:K23)=0,"",SUM(K22:K23))</f>
        <v/>
      </c>
      <c r="L24" s="4" t="inlineStr">
        <is>
          <t>ϝ</t>
        </is>
      </c>
      <c r="M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19">
        <f>IF(COUNT(H31,H32)&lt;2,"",IF((H32+H31)=0,"",N(H22)/((H32+H31)/2)))</f>
        <v/>
      </c>
      <c r="I25" s="19">
        <f>IF(COUNT(I31,I32)&lt;2,"",IF((I32+I31)=0,"",N(I22)/((I32+I31)/2)))</f>
        <v/>
      </c>
      <c r="J25" s="19">
        <f>IF(COUNT(J31,J32)&lt;2,"",IF((J32+J31)=0,"",N(J22)/((J32+J31)/2)))</f>
        <v/>
      </c>
      <c r="K25" s="36">
        <f>IF(COUNT(K31,K32)&lt;2,"",IF((K32+K31)=0,"",N(K22)/((K32+K31)/2)))</f>
        <v/>
      </c>
      <c r="L25" s="4" t="inlineStr">
        <is>
          <t>ϝ</t>
        </is>
      </c>
      <c r="M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19">
        <f>IF(COUNT(H31,H32)&lt;2,"",IF((H32+H31)=0,"",N(H23)/((H32+H31)/2)))</f>
        <v/>
      </c>
      <c r="I26" s="19">
        <f>IF(COUNT(I31,I32)&lt;2,"",IF((I32+I31)=0,"",N(I23)/((I32+I31)/2)))</f>
        <v/>
      </c>
      <c r="J26" s="19">
        <f>IF(COUNT(J31,J32)&lt;2,"",IF((J32+J31)=0,"",N(J23)/((J32+J31)/2)))</f>
        <v/>
      </c>
      <c r="K26" s="36">
        <f>IF(COUNT(K31,K32)&lt;2,"",IF((K32+K31)=0,"",N(K23)/((K32+K31)/2)))</f>
        <v/>
      </c>
      <c r="L26" s="4" t="inlineStr">
        <is>
          <t>ϝ</t>
        </is>
      </c>
      <c r="M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0" t="n"/>
      <c r="I27" s="30" t="n"/>
      <c r="J27" s="30" t="n"/>
      <c r="K27" s="31">
        <f>IF(COUNT(C27:J27)=0,"",SUM(C27:J27))</f>
        <v/>
      </c>
      <c r="L27" s="4" t="inlineStr">
        <is>
          <t>∑</t>
        </is>
      </c>
      <c r="M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0" t="n"/>
      <c r="I28" s="30" t="n"/>
      <c r="J28" s="30" t="n"/>
      <c r="K28" s="31">
        <f>IF(COUNT(C28:J28)=0,"",SUM(C28:J28))</f>
        <v/>
      </c>
      <c r="L28" s="4" t="inlineStr">
        <is>
          <t>∑</t>
        </is>
      </c>
      <c r="M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19">
        <f>IF(COUNT(H31,H32)&lt;2,"",IF((H32+H31)=0,"",N(H27)/((H32+H31)/2)))</f>
        <v/>
      </c>
      <c r="I29" s="19">
        <f>IF(COUNT(I31,I32)&lt;2,"",IF((I32+I31)=0,"",N(I27)/((I32+I31)/2)))</f>
        <v/>
      </c>
      <c r="J29" s="19">
        <f>IF(COUNT(J31,J32)&lt;2,"",IF((J32+J31)=0,"",N(J27)/((J32+J31)/2)))</f>
        <v/>
      </c>
      <c r="K29" s="36">
        <f>IF(COUNT(K31,K32)&lt;2,"",IF((K32+K31)=0,"",N(K27)/((K32+K31)/2)))</f>
        <v/>
      </c>
      <c r="L29" s="4" t="inlineStr">
        <is>
          <t>ϝ</t>
        </is>
      </c>
      <c r="M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19">
        <f>IF(COUNT(H31,H32)&lt;2,"",IF((H32+H31)=0,"",N(H28)/((H32+H31)/2)))</f>
        <v/>
      </c>
      <c r="I30" s="19">
        <f>IF(COUNT(I31,I32)&lt;2,"",IF((I32+I31)=0,"",N(I28)/((I32+I31)/2)))</f>
        <v/>
      </c>
      <c r="J30" s="19">
        <f>IF(COUNT(J31,J32)&lt;2,"",IF((J32+J31)=0,"",N(J28)/((J32+J31)/2)))</f>
        <v/>
      </c>
      <c r="K30" s="36">
        <f>IF(COUNT(K31,K32)&lt;2,"",IF((K32+K31)=0,"",N(K28)/((K32+K31)/2)))</f>
        <v/>
      </c>
      <c r="L30" s="4" t="inlineStr">
        <is>
          <t>ϝ</t>
        </is>
      </c>
      <c r="M30" s="3" t="n"/>
    </row>
    <row r="31" ht="15.5" customHeight="1">
      <c r="A31" s="3" t="n"/>
      <c r="B31" s="10" t="inlineStr">
        <is>
          <t>Headcount last Month</t>
        </is>
      </c>
      <c r="C31" s="11">
        <f>IF(AUG!C5="","",AUG!C5)</f>
        <v/>
      </c>
      <c r="D31" s="11">
        <f>IF(AUG!D5="","",AUG!D5)</f>
        <v/>
      </c>
      <c r="E31" s="11">
        <f>IF(AUG!E5="","",AUG!E5)</f>
        <v/>
      </c>
      <c r="F31" s="11">
        <f>IF(AUG!F5="","",AUG!F5)</f>
        <v/>
      </c>
      <c r="G31" s="11">
        <f>IF(AUG!G5="","",AUG!G5)</f>
        <v/>
      </c>
      <c r="H31" s="11">
        <f>IF(AUG!H5="","",AUG!H5)</f>
        <v/>
      </c>
      <c r="I31" s="11">
        <f>IF(AUG!I5="","",AUG!I5)</f>
        <v/>
      </c>
      <c r="J31" s="11">
        <f>IF(AUG!J5="","",AUG!J5)</f>
        <v/>
      </c>
      <c r="K31" s="31">
        <f>IF(COUNT(C31:J31)=0,"",SUM(C31:J31))</f>
        <v/>
      </c>
      <c r="L31" s="4" t="inlineStr">
        <is>
          <t>∑</t>
        </is>
      </c>
      <c r="M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11">
        <f>IF(H5="","",H5)</f>
        <v/>
      </c>
      <c r="I32" s="11">
        <f>IF(I5="","",I5)</f>
        <v/>
      </c>
      <c r="J32" s="11">
        <f>IF(J5="","",J5)</f>
        <v/>
      </c>
      <c r="K32" s="31">
        <f>IF(COUNT(C32:J32)=0,"",SUM(C32:J32))</f>
        <v/>
      </c>
      <c r="L32" s="4" t="inlineStr">
        <is>
          <t>∑</t>
        </is>
      </c>
      <c r="M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19">
        <f>IF(COUNT(H31,H32)&lt;2,"",IF((H32+H31)=0,"",N(H24)/((H32+H31)/2)))</f>
        <v/>
      </c>
      <c r="I33" s="19">
        <f>IF(COUNT(I31,I32)&lt;2,"",IF((I32+I31)=0,"",N(I24)/((I32+I31)/2)))</f>
        <v/>
      </c>
      <c r="J33" s="19">
        <f>IF(COUNT(J31,J32)&lt;2,"",IF((J32+J31)=0,"",N(J24)/((J32+J31)/2)))</f>
        <v/>
      </c>
      <c r="K33" s="36">
        <f>IF(COUNT(K31,K32)&lt;2,"",IF((K32+K31)=0,"",N(K24)/((K32+K31)/2)))</f>
        <v/>
      </c>
      <c r="L33" s="4" t="inlineStr">
        <is>
          <t>ϝ</t>
        </is>
      </c>
      <c r="M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0" t="n"/>
      <c r="I34" s="30" t="n"/>
      <c r="J34" s="30" t="n"/>
      <c r="K34" s="31">
        <f>IF(COUNT(C34:J34)=0,"",SUM(C34:J34))</f>
        <v/>
      </c>
      <c r="L34" s="4" t="inlineStr">
        <is>
          <t>∑</t>
        </is>
      </c>
      <c r="M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0" t="n"/>
      <c r="I35" s="30" t="n"/>
      <c r="J35" s="30" t="n"/>
      <c r="K35" s="31">
        <f>IF(COUNT(C35:J35)=0,"",SUM(C35:J35))</f>
        <v/>
      </c>
      <c r="L35" s="4" t="inlineStr">
        <is>
          <t>∑</t>
        </is>
      </c>
      <c r="M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11">
        <f>IF(COUNT(H34:H35)=0,"",SUM(H34:H35))</f>
        <v/>
      </c>
      <c r="I36" s="11">
        <f>IF(COUNT(I34:I35)=0,"",SUM(I34:I35))</f>
        <v/>
      </c>
      <c r="J36" s="11">
        <f>IF(COUNT(J34:J35)=0,"",SUM(J34:J35))</f>
        <v/>
      </c>
      <c r="K36" s="31">
        <f>IF(COUNT(K34:K35)=0,"",SUM(K34:K35))</f>
        <v/>
      </c>
      <c r="L36" s="4" t="inlineStr">
        <is>
          <t>ϝ</t>
        </is>
      </c>
      <c r="M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11">
        <f>IF(COUNT(H5,H36)=0,"",N(H5)+N(H36))</f>
        <v/>
      </c>
      <c r="I37" s="11">
        <f>IF(COUNT(I5,I36)=0,"",N(I5)+N(I36))</f>
        <v/>
      </c>
      <c r="J37" s="11">
        <f>IF(COUNT(J5,J36)=0,"",N(J5)+N(J36))</f>
        <v/>
      </c>
      <c r="K37" s="31">
        <f>IF(COUNT(K5,K36)=0,"",N(K5)+N(K36))</f>
        <v/>
      </c>
      <c r="L37" s="4" t="inlineStr">
        <is>
          <t>ϝ</t>
        </is>
      </c>
      <c r="M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19">
        <f>IFERROR(H36/H37,"")</f>
        <v/>
      </c>
      <c r="I38" s="19">
        <f>IFERROR(I36/I37,"")</f>
        <v/>
      </c>
      <c r="J38" s="19">
        <f>IFERROR(J36/J37,"")</f>
        <v/>
      </c>
      <c r="K38" s="36">
        <f>IFERROR(K36/K37,"")</f>
        <v/>
      </c>
      <c r="L38" s="4" t="inlineStr">
        <is>
          <t>ϝ</t>
        </is>
      </c>
      <c r="M38" s="3" t="n"/>
    </row>
    <row r="39" ht="15.5" customHeight="1">
      <c r="A39" s="3" t="n"/>
      <c r="B39" s="10" t="inlineStr">
        <is>
          <t>Permanent TimeToHire (Days) YTD</t>
        </is>
      </c>
      <c r="C39" s="14">
        <f>IF('(Culinary_CRI)'!$AB$15="","",'(Culinary_CRI)'!$AB$15)</f>
        <v/>
      </c>
      <c r="D39" s="14">
        <f>IF('(Food_GTM)'!$AB$15="","",'(Food_GTM)'!$AB$15)</f>
        <v/>
      </c>
      <c r="E39" s="14">
        <f>IF('(GCG_GTM)'!$AB$15="","",'(GCG_GTM)'!$AB$15)</f>
        <v/>
      </c>
      <c r="F39" s="14">
        <f>IF('(Ground_HND)'!$AB$15="","",'(Ground_HND)'!$AB$15)</f>
        <v/>
      </c>
      <c r="G39" s="14">
        <f>IF('(GCG_HND)'!$AB$15="","",'(GCG_HND)'!$AB$15)</f>
        <v/>
      </c>
      <c r="H39" s="14">
        <f>IF('(Concess_PAN)'!$AB$15="","",'(Concess_PAN)'!$AB$15)</f>
        <v/>
      </c>
      <c r="I39" s="14">
        <f>IF('(GCG_SLV)'!$AB$15="","",'(GCG_SLV)'!$AB$15)</f>
        <v/>
      </c>
      <c r="J39" s="14">
        <f>IF('(Food_SLV)'!$AB$15="","",'(Food_SLV)'!$AB$15)</f>
        <v/>
      </c>
      <c r="K39" s="33">
        <f>IFERROR(AVERAGE(C39:J39),"")</f>
        <v/>
      </c>
      <c r="L39" s="4" t="inlineStr">
        <is>
          <t>Avg</t>
        </is>
      </c>
      <c r="M39" s="3" t="n"/>
    </row>
    <row r="40" ht="15.5" customHeight="1">
      <c r="A40" s="3" t="n"/>
      <c r="B40" s="10" t="inlineStr">
        <is>
          <t>Temporary TimeToHire (Days) YTD</t>
        </is>
      </c>
      <c r="C40" s="14">
        <f>IF('(Culinary_CRI)'!$AD$15="","",'(Culinary_CRI)'!$AD$15)</f>
        <v/>
      </c>
      <c r="D40" s="14">
        <f>IF('(Food_GTM)'!$AD$15="","",'(Food_GTM)'!$AD$15)</f>
        <v/>
      </c>
      <c r="E40" s="14">
        <f>IF('(GCG_GTM)'!$AD$15="","",'(GCG_GTM)'!$AD$15)</f>
        <v/>
      </c>
      <c r="F40" s="14">
        <f>IF('(Ground_HND)'!$AD$15="","",'(Ground_HND)'!$AD$15)</f>
        <v/>
      </c>
      <c r="G40" s="14">
        <f>IF('(GCG_HND)'!$AD$15="","",'(GCG_HND)'!$AD$15)</f>
        <v/>
      </c>
      <c r="H40" s="14">
        <f>IF('(Concess_PAN)'!$AD$15="","",'(Concess_PAN)'!$AD$15)</f>
        <v/>
      </c>
      <c r="I40" s="14">
        <f>IF('(GCG_SLV)'!$AD$15="","",'(GCG_SLV)'!$AD$15)</f>
        <v/>
      </c>
      <c r="J40" s="14">
        <f>IF('(Food_SLV)'!$AD$15="","",'(Food_SLV)'!$AD$15)</f>
        <v/>
      </c>
      <c r="K40" s="33">
        <f>IFERROR(AVERAGE(C40:J40),"")</f>
        <v/>
      </c>
      <c r="L40" s="4" t="inlineStr">
        <is>
          <t>Avg</t>
        </is>
      </c>
      <c r="M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7" t="n"/>
      <c r="I41" s="37" t="n"/>
      <c r="J41" s="37" t="n"/>
      <c r="K41" s="38">
        <f>IFERROR(AVERAGE(C41:J41),"")</f>
        <v/>
      </c>
      <c r="L41" s="4" t="inlineStr">
        <is>
          <t>Avg</t>
        </is>
      </c>
      <c r="M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0" t="n"/>
      <c r="I42" s="30" t="n"/>
      <c r="J42" s="30" t="n"/>
      <c r="K42" s="31">
        <f>IF(COUNT(C42:J42)=0,"",SUM(C42:J42))</f>
        <v/>
      </c>
      <c r="L42" s="4" t="inlineStr">
        <is>
          <t>∑</t>
        </is>
      </c>
      <c r="M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2" t="n"/>
      <c r="I43" s="32" t="n"/>
      <c r="J43" s="32" t="n"/>
      <c r="K43" s="33">
        <f>IF(COUNT(C43:J43)=0,"",SUM(C43:J43))</f>
        <v/>
      </c>
      <c r="L43" s="4" t="inlineStr">
        <is>
          <t>∑</t>
        </is>
      </c>
      <c r="M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2" t="n"/>
      <c r="I44" s="32" t="n"/>
      <c r="J44" s="32" t="n"/>
      <c r="K44" s="33">
        <f>IF(COUNT(C44:J44)=0,"",SUM(C44:J44))</f>
        <v/>
      </c>
      <c r="L44" s="4" t="inlineStr">
        <is>
          <t>∑</t>
        </is>
      </c>
      <c r="M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14">
        <f>IF(COUNT(H43:H44)=0,"",SUM(H43:H44))</f>
        <v/>
      </c>
      <c r="I45" s="14">
        <f>IF(COUNT(I43:I44)=0,"",SUM(I43:I44))</f>
        <v/>
      </c>
      <c r="J45" s="14">
        <f>IF(COUNT(J43:J44)=0,"",SUM(J43:J44))</f>
        <v/>
      </c>
      <c r="K45" s="33">
        <f>IF(COUNT(K43:K44)=0,"",SUM(K43:K44))</f>
        <v/>
      </c>
      <c r="L45" s="4" t="inlineStr">
        <is>
          <t>ϝ</t>
        </is>
      </c>
      <c r="M45" s="3" t="n"/>
    </row>
    <row r="46" ht="15.5" customHeight="1">
      <c r="A46" s="3" t="n"/>
      <c r="B46" s="13" t="inlineStr">
        <is>
          <t>Absent Rate Non-Certified (%)</t>
        </is>
      </c>
      <c r="C46" s="19">
        <f>IF('(Culinary_CRI)'!$G$15="","",'(Culinary_CRI)'!$G$15)</f>
        <v/>
      </c>
      <c r="D46" s="19">
        <f>IF('(Food_GTM)'!$G$15="","",'(Food_GTM)'!$G$15)</f>
        <v/>
      </c>
      <c r="E46" s="19">
        <f>IF('(GCG_GTM)'!$G$15="","",'(GCG_GTM)'!$G$15)</f>
        <v/>
      </c>
      <c r="F46" s="19">
        <f>IF('(Ground_HND)'!$G$15="","",'(Ground_HND)'!$G$15)</f>
        <v/>
      </c>
      <c r="G46" s="19">
        <f>IF('(GCG_HND)'!$G$15="","",'(GCG_HND)'!$G$15)</f>
        <v/>
      </c>
      <c r="H46" s="19">
        <f>IF('(Concess_PAN)'!$G$15="","",'(Concess_PAN)'!$G$15)</f>
        <v/>
      </c>
      <c r="I46" s="19">
        <f>IF('(GCG_SLV)'!$G$15="","",'(GCG_SLV)'!$G$15)</f>
        <v/>
      </c>
      <c r="J46" s="19">
        <f>IF('(Food_SLV)'!$G$15="","",'(Food_SLV)'!$G$15)</f>
        <v/>
      </c>
      <c r="K46" s="36">
        <f t="array" ref="K46">IF(COUNT(C46:J46)=0,"",IFERROR(SUMPRODUCT(IFERROR(C46:J46*((C3:J3)+(C4:J4)),0))/SUMPRODUCT(IFERROR(ISNUMBER(C46:J46)*((C3:J3)+(C4:J4)),0)),""))</f>
        <v/>
      </c>
      <c r="L46" s="4" t="inlineStr">
        <is>
          <t>Weighted</t>
        </is>
      </c>
      <c r="M46" s="3" t="n"/>
    </row>
    <row r="47" ht="15.5" customHeight="1">
      <c r="A47" s="3" t="n"/>
      <c r="B47" s="13" t="inlineStr">
        <is>
          <t>Absent Rate Certified (%)</t>
        </is>
      </c>
      <c r="C47" s="19">
        <f>IF('(Culinary_CRI)'!$O$15="","",'(Culinary_CRI)'!$O$15)</f>
        <v/>
      </c>
      <c r="D47" s="19">
        <f>IF('(Food_GTM)'!$O$15="","",'(Food_GTM)'!$O$15)</f>
        <v/>
      </c>
      <c r="E47" s="19">
        <f>IF('(GCG_GTM)'!$O$15="","",'(GCG_GTM)'!$O$15)</f>
        <v/>
      </c>
      <c r="F47" s="19">
        <f>IF('(Ground_HND)'!$O$15="","",'(Ground_HND)'!$O$15)</f>
        <v/>
      </c>
      <c r="G47" s="19">
        <f>IF('(GCG_HND)'!$O$15="","",'(GCG_HND)'!$O$15)</f>
        <v/>
      </c>
      <c r="H47" s="19">
        <f>IF('(Concess_PAN)'!$O$15="","",'(Concess_PAN)'!$O$15)</f>
        <v/>
      </c>
      <c r="I47" s="19">
        <f>IF('(GCG_SLV)'!$O$15="","",'(GCG_SLV)'!$O$15)</f>
        <v/>
      </c>
      <c r="J47" s="19">
        <f>IF('(Food_SLV)'!$O$15="","",'(Food_SLV)'!$O$15)</f>
        <v/>
      </c>
      <c r="K47" s="36">
        <f t="array" ref="K47">IF(COUNT(C47:J47)=0,"",IFERROR(SUMPRODUCT(IFERROR(C47:J47*((C3:J3)+(C4:J4)),0))/SUMPRODUCT(IFERROR(ISNUMBER(C47:J47)*((C3:J3)+(C4:J4)),0)),""))</f>
        <v/>
      </c>
      <c r="L47" s="4" t="inlineStr">
        <is>
          <t>Weighted</t>
        </is>
      </c>
      <c r="M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19">
        <f>IF(COUNT(H46:H47)=0,"",SUM(H46:H47))</f>
        <v/>
      </c>
      <c r="I48" s="19">
        <f>IF(COUNT(I46:I47)=0,"",SUM(I46:I47))</f>
        <v/>
      </c>
      <c r="J48" s="19">
        <f>IF(COUNT(J46:J47)=0,"",SUM(J46:J47))</f>
        <v/>
      </c>
      <c r="K48" s="36">
        <f>IF(COUNT(K46:K47)=0,"",SUM(K46:K47))</f>
        <v/>
      </c>
      <c r="L48" s="4" t="inlineStr">
        <is>
          <t>Weighted</t>
        </is>
      </c>
      <c r="M48" s="3" t="n"/>
    </row>
    <row r="49" ht="15.5" customHeight="1">
      <c r="A49" s="3" t="n"/>
      <c r="B49" s="18" t="inlineStr">
        <is>
          <t>Weight factor</t>
        </is>
      </c>
      <c r="C49" s="19">
        <f>IFERROR(C5/$K5,"")</f>
        <v/>
      </c>
      <c r="D49" s="19">
        <f>IFERROR(D5/$K5,"")</f>
        <v/>
      </c>
      <c r="E49" s="19">
        <f>IFERROR(E5/$K5,"")</f>
        <v/>
      </c>
      <c r="F49" s="19">
        <f>IFERROR(F5/$K5,"")</f>
        <v/>
      </c>
      <c r="G49" s="19">
        <f>IFERROR(G5/$K5,"")</f>
        <v/>
      </c>
      <c r="H49" s="19">
        <f>IFERROR(H5/$K5,"")</f>
        <v/>
      </c>
      <c r="I49" s="19">
        <f>IFERROR(I5/$K5,"")</f>
        <v/>
      </c>
      <c r="J49" s="19">
        <f>IFERROR(J5/$K5,"")</f>
        <v/>
      </c>
      <c r="K49" s="36">
        <f>IF(COUNT(C49:J49)=0,"",SUM(C49:J49))</f>
        <v/>
      </c>
      <c r="L49" s="4" t="inlineStr">
        <is>
          <t>Weight Factor</t>
        </is>
      </c>
      <c r="M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2" t="n"/>
      <c r="I50" s="32" t="n"/>
      <c r="J50" s="32" t="n"/>
      <c r="K50" s="33">
        <f>IF(COUNT(C50:J50)=0,"",SUM(C50:J50))</f>
        <v/>
      </c>
      <c r="L50" s="4" t="inlineStr">
        <is>
          <t>∑</t>
        </is>
      </c>
      <c r="M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2" t="n"/>
      <c r="I51" s="32" t="n"/>
      <c r="J51" s="32" t="n"/>
      <c r="K51" s="33">
        <f>IF(COUNT(C51:J51)=0,"",SUM(C51:J51))</f>
        <v/>
      </c>
      <c r="L51" s="4" t="inlineStr">
        <is>
          <t>∑</t>
        </is>
      </c>
      <c r="M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2" t="n"/>
      <c r="I52" s="32" t="n"/>
      <c r="J52" s="32" t="n"/>
      <c r="K52" s="33">
        <f>IF(COUNT(C52:J52)=0,"",SUM(C52:J52))</f>
        <v/>
      </c>
      <c r="L52" s="4" t="inlineStr">
        <is>
          <t>∑</t>
        </is>
      </c>
      <c r="M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2" t="n"/>
      <c r="I53" s="32" t="n"/>
      <c r="J53" s="32" t="n"/>
      <c r="K53" s="33">
        <f>IF(COUNT(C53:J53)=0,"",SUM(C53:J53))</f>
        <v/>
      </c>
      <c r="L53" s="4" t="inlineStr">
        <is>
          <t>∑</t>
        </is>
      </c>
      <c r="M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2" t="n"/>
      <c r="I54" s="32" t="n"/>
      <c r="J54" s="32" t="n"/>
      <c r="K54" s="33">
        <f>IF(COUNT(C54:J54)=0,"",SUM(C54:J54))</f>
        <v/>
      </c>
      <c r="L54" s="4" t="inlineStr">
        <is>
          <t>∑</t>
        </is>
      </c>
      <c r="M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14">
        <f>IF(COUNT(H50:H54)=0,"",SUM(H50:H54))</f>
        <v/>
      </c>
      <c r="I55" s="14">
        <f>IF(COUNT(I50:I54)=0,"",SUM(I50:I54))</f>
        <v/>
      </c>
      <c r="J55" s="14">
        <f>IF(COUNT(J50:J54)=0,"",SUM(J50:J54))</f>
        <v/>
      </c>
      <c r="K55" s="33">
        <f>IF(COUNT(K50:K54)=0,"",SUM(K50:K54))</f>
        <v/>
      </c>
      <c r="L55" s="4" t="inlineStr">
        <is>
          <t>ϝ</t>
        </is>
      </c>
      <c r="M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2" t="n"/>
      <c r="I56" s="32" t="n"/>
      <c r="J56" s="32" t="n"/>
      <c r="K56" s="33">
        <f>IF(COUNT(C56:J56)=0,"",SUM(C56:J56))</f>
        <v/>
      </c>
      <c r="L56" s="4" t="inlineStr">
        <is>
          <t>∑</t>
        </is>
      </c>
      <c r="M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2" t="n"/>
      <c r="I57" s="32" t="n"/>
      <c r="J57" s="32" t="n"/>
      <c r="K57" s="33">
        <f>IF(COUNT(C57:J57)=0,"",SUM(C57:J57))</f>
        <v/>
      </c>
      <c r="L57" s="4" t="inlineStr">
        <is>
          <t>∑</t>
        </is>
      </c>
      <c r="M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2" t="n"/>
      <c r="I58" s="32" t="n"/>
      <c r="J58" s="32" t="n"/>
      <c r="K58" s="33">
        <f>IF(COUNT(C58:J58)=0,"",SUM(C58:J58))</f>
        <v/>
      </c>
      <c r="L58" s="4" t="inlineStr">
        <is>
          <t>∑</t>
        </is>
      </c>
      <c r="M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2" t="n"/>
      <c r="I59" s="32" t="n"/>
      <c r="J59" s="32" t="n"/>
      <c r="K59" s="33">
        <f>IF(COUNT(C59:J59)=0,"",SUM(C59:J59))</f>
        <v/>
      </c>
      <c r="L59" s="4" t="inlineStr">
        <is>
          <t>∑</t>
        </is>
      </c>
      <c r="M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19">
        <f>IFERROR(H50/H$55,"")</f>
        <v/>
      </c>
      <c r="I60" s="19">
        <f>IFERROR(I50/I$55,"")</f>
        <v/>
      </c>
      <c r="J60" s="19">
        <f>IFERROR(J50/J$55,"")</f>
        <v/>
      </c>
      <c r="K60" s="36">
        <f>IFERROR(K50/K$55,"")</f>
        <v/>
      </c>
      <c r="L60" s="4" t="inlineStr">
        <is>
          <t>ϝ</t>
        </is>
      </c>
      <c r="M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19">
        <f>IFERROR(H51/H$55,"")</f>
        <v/>
      </c>
      <c r="I61" s="19">
        <f>IFERROR(I51/I$55,"")</f>
        <v/>
      </c>
      <c r="J61" s="19">
        <f>IFERROR(J51/J$55,"")</f>
        <v/>
      </c>
      <c r="K61" s="36">
        <f>IFERROR(K51/K$55,"")</f>
        <v/>
      </c>
      <c r="L61" s="4" t="inlineStr">
        <is>
          <t>ϝ</t>
        </is>
      </c>
      <c r="M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19">
        <f>IFERROR(H52/H$55,"")</f>
        <v/>
      </c>
      <c r="I62" s="19">
        <f>IFERROR(I52/I$55,"")</f>
        <v/>
      </c>
      <c r="J62" s="19">
        <f>IFERROR(J52/J$55,"")</f>
        <v/>
      </c>
      <c r="K62" s="36">
        <f>IFERROR(K52/K$55,"")</f>
        <v/>
      </c>
      <c r="L62" s="4" t="inlineStr">
        <is>
          <t>ϝ</t>
        </is>
      </c>
      <c r="M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19">
        <f>IFERROR(H53/H$55,"")</f>
        <v/>
      </c>
      <c r="I63" s="19">
        <f>IFERROR(I53/I$55,"")</f>
        <v/>
      </c>
      <c r="J63" s="19">
        <f>IFERROR(J53/J$55,"")</f>
        <v/>
      </c>
      <c r="K63" s="36">
        <f>IFERROR(K53/K$55,"")</f>
        <v/>
      </c>
      <c r="L63" s="4" t="inlineStr">
        <is>
          <t>ϝ</t>
        </is>
      </c>
      <c r="M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19">
        <f>IFERROR(H54/H$55,"")</f>
        <v/>
      </c>
      <c r="I64" s="19">
        <f>IFERROR(I54/I$55,"")</f>
        <v/>
      </c>
      <c r="J64" s="19">
        <f>IFERROR(J54/J$55,"")</f>
        <v/>
      </c>
      <c r="K64" s="36">
        <f>IFERROR(K54/K$55,"")</f>
        <v/>
      </c>
      <c r="L64" s="4" t="inlineStr">
        <is>
          <t>ϝ</t>
        </is>
      </c>
      <c r="M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19">
        <f>IFERROR(H56/H5,"")</f>
        <v/>
      </c>
      <c r="I65" s="19">
        <f>IFERROR(I56/I5,"")</f>
        <v/>
      </c>
      <c r="J65" s="19">
        <f>IFERROR(J56/J5,"")</f>
        <v/>
      </c>
      <c r="K65" s="36">
        <f>IFERROR(K56/K5,"")</f>
        <v/>
      </c>
      <c r="L65" s="4" t="inlineStr">
        <is>
          <t>ϝ</t>
        </is>
      </c>
      <c r="M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16">
        <f>IFERROR(H55/H5,"")</f>
        <v/>
      </c>
      <c r="I66" s="16">
        <f>IFERROR(I55/I5,"")</f>
        <v/>
      </c>
      <c r="J66" s="16">
        <f>IFERROR(J55/J5,"")</f>
        <v/>
      </c>
      <c r="K66" s="34">
        <f>IFERROR(K55/K5,"")</f>
        <v/>
      </c>
      <c r="L66" s="4" t="inlineStr">
        <is>
          <t>ϝ</t>
        </is>
      </c>
      <c r="M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16">
        <f>IFERROR(H55/H56,"")</f>
        <v/>
      </c>
      <c r="I67" s="16">
        <f>IFERROR(I55/I56,"")</f>
        <v/>
      </c>
      <c r="J67" s="16">
        <f>IFERROR(J55/J56,"")</f>
        <v/>
      </c>
      <c r="K67" s="34">
        <f>IFERROR(K55/K56,"")</f>
        <v/>
      </c>
      <c r="L67" s="4" t="inlineStr">
        <is>
          <t>ϝ</t>
        </is>
      </c>
      <c r="M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16">
        <f>IF(COUNT(H58:H59)=0,"",IFERROR((N(H58)+N(H59))/H5,""))</f>
        <v/>
      </c>
      <c r="I68" s="16">
        <f>IF(COUNT(I58:I59)=0,"",IFERROR((N(I58)+N(I59))/I5,""))</f>
        <v/>
      </c>
      <c r="J68" s="16">
        <f>IF(COUNT(J58:J59)=0,"",IFERROR((N(J58)+N(J59))/J5,""))</f>
        <v/>
      </c>
      <c r="K68" s="34">
        <f>IF(COUNT(K58:K59)=0,"",IFERROR((N(K58)+N(K59))/K5,""))</f>
        <v/>
      </c>
      <c r="L68" s="4" t="inlineStr">
        <is>
          <t>ϝ</t>
        </is>
      </c>
      <c r="M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16">
        <f>IF(COUNT(H58:H59)=0,"",IFERROR((N(H58)+N(H59))/H56,""))</f>
        <v/>
      </c>
      <c r="I69" s="16">
        <f>IF(COUNT(I58:I59)=0,"",IFERROR((N(I58)+N(I59))/I56,""))</f>
        <v/>
      </c>
      <c r="J69" s="16">
        <f>IF(COUNT(J58:J59)=0,"",IFERROR((N(J58)+N(J59))/J56,""))</f>
        <v/>
      </c>
      <c r="K69" s="34">
        <f>IF(COUNT(K58:K59)=0,"",IFERROR((N(K58)+N(K59))/K56,""))</f>
        <v/>
      </c>
      <c r="L69" s="4" t="inlineStr">
        <is>
          <t>ϝ</t>
        </is>
      </c>
      <c r="M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14">
        <f>COUNTBLANK(H3:H4)+COUNTBLANK(H6:H10)+COUNTBLANK(H12:H13)+COUNTBLANK(H18:H20)+COUNTBLANK(H22:H23)+COUNTBLANK(H27:H28)+COUNTBLANK(H34:H35)+COUNTBLANK(H39:H44)+COUNTBLANK(H46:H47)+COUNTBLANK(H50:H54)+COUNTBLANK(H56:H59)</f>
        <v/>
      </c>
      <c r="I70" s="14">
        <f>COUNTBLANK(I3:I4)+COUNTBLANK(I6:I10)+COUNTBLANK(I12:I13)+COUNTBLANK(I18:I20)+COUNTBLANK(I22:I23)+COUNTBLANK(I27:I28)+COUNTBLANK(I34:I35)+COUNTBLANK(I39:I44)+COUNTBLANK(I46:I47)+COUNTBLANK(I50:I54)+COUNTBLANK(I56:I59)</f>
        <v/>
      </c>
      <c r="J70" s="14">
        <f>COUNTBLANK(J3:J4)+COUNTBLANK(J6:J10)+COUNTBLANK(J12:J13)+COUNTBLANK(J18:J20)+COUNTBLANK(J22:J23)+COUNTBLANK(J27:J28)+COUNTBLANK(J34:J35)+COUNTBLANK(J39:J44)+COUNTBLANK(J46:J47)+COUNTBLANK(J50:J54)+COUNTBLANK(J56:J59)</f>
        <v/>
      </c>
      <c r="K70" s="33">
        <f>SUM(C70:J70)</f>
        <v/>
      </c>
      <c r="L70" s="39" t="inlineStr">
        <is>
          <t>∑</t>
        </is>
      </c>
      <c r="M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322"/>
  <sheetViews>
    <sheetView showGridLines="0" zoomScale="80" workbookViewId="0">
      <selection activeCell="A1" sqref="A1"/>
    </sheetView>
  </sheetViews>
  <sheetFormatPr baseColWidth="8" defaultRowHeight="15"/>
  <cols>
    <col width="5.5" customWidth="1" min="1" max="1"/>
    <col width="16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5.5" customWidth="1" min="8" max="8"/>
    <col width="16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3" customWidth="1" min="15" max="15"/>
    <col width="3" customWidth="1" min="16" max="16"/>
    <col width="5.5" customWidth="1" min="17" max="17"/>
    <col width="16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3" customWidth="1" min="24" max="24"/>
    <col width="5.5" customWidth="1" min="25" max="25"/>
    <col width="1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4.75" customHeight="1">
      <c r="A1" s="40" t="inlineStr">
        <is>
          <t>GCG Culinary Costa Rica</t>
        </is>
      </c>
      <c r="B1" s="41" t="n"/>
      <c r="C1" s="42" t="n"/>
      <c r="D1" s="40" t="inlineStr">
        <is>
          <t>ABSENCE RATE YTD</t>
        </is>
      </c>
      <c r="E1" s="43" t="n"/>
      <c r="F1" s="44" t="n"/>
      <c r="G1" s="45">
        <f>G16</f>
        <v/>
      </c>
      <c r="I1" s="40">
        <f>A1</f>
        <v/>
      </c>
      <c r="J1" s="41" t="n"/>
      <c r="K1" s="42" t="n"/>
      <c r="L1" s="40" t="inlineStr">
        <is>
          <t>ABSENCE RATE YTD</t>
        </is>
      </c>
      <c r="M1" s="43" t="n"/>
      <c r="N1" s="44" t="n"/>
      <c r="O1" s="45">
        <f>O16</f>
        <v/>
      </c>
      <c r="Q1" s="40">
        <f>A1</f>
        <v/>
      </c>
      <c r="R1" s="41" t="n"/>
      <c r="S1" s="42" t="n"/>
      <c r="T1" s="40" t="inlineStr">
        <is>
          <t>ABSENCE RATE YTD</t>
        </is>
      </c>
      <c r="U1" s="43" t="n"/>
      <c r="V1" s="44" t="n"/>
      <c r="W1" s="45">
        <f>W16</f>
        <v/>
      </c>
      <c r="Y1" s="40">
        <f>A1</f>
        <v/>
      </c>
      <c r="Z1" s="41" t="n"/>
      <c r="AA1" s="42" t="n"/>
      <c r="AB1" s="40" t="inlineStr">
        <is>
          <t>TIME TO HIRE YTD (Days)</t>
        </is>
      </c>
      <c r="AC1" s="43" t="n"/>
      <c r="AD1" s="44" t="n"/>
      <c r="AE1" s="46">
        <f>AE16</f>
        <v/>
      </c>
    </row>
    <row r="2" ht="18.75" customHeight="1">
      <c r="A2" s="47" t="inlineStr">
        <is>
          <t>NON-CERTIFIED</t>
        </is>
      </c>
      <c r="B2" s="41" t="n"/>
      <c r="C2" s="42" t="n"/>
      <c r="D2" s="48" t="n"/>
      <c r="E2" s="49" t="n"/>
      <c r="F2" s="50" t="n"/>
      <c r="G2" s="51" t="n"/>
      <c r="I2" s="47" t="inlineStr">
        <is>
          <t>CERTIFIED</t>
        </is>
      </c>
      <c r="J2" s="41" t="n"/>
      <c r="K2" s="42" t="n"/>
      <c r="L2" s="48" t="n"/>
      <c r="M2" s="49" t="n"/>
      <c r="N2" s="50" t="n"/>
      <c r="O2" s="51" t="n"/>
      <c r="Q2" s="47" t="inlineStr">
        <is>
          <t>TOTAL ABSENCES</t>
        </is>
      </c>
      <c r="R2" s="41" t="n"/>
      <c r="S2" s="42" t="n"/>
      <c r="T2" s="48" t="n"/>
      <c r="U2" s="49" t="n"/>
      <c r="V2" s="50" t="n"/>
      <c r="W2" s="51" t="n"/>
      <c r="Y2" s="47" t="inlineStr">
        <is>
          <t>TIME TO HIRE BY MONTH</t>
        </is>
      </c>
      <c r="Z2" s="41" t="n"/>
      <c r="AA2" s="42" t="n"/>
      <c r="AB2" s="48" t="n"/>
      <c r="AC2" s="49" t="n"/>
      <c r="AD2" s="50" t="n"/>
      <c r="AE2" s="51" t="n"/>
    </row>
    <row r="3" ht="55" customHeight="1">
      <c r="A3" s="52" t="inlineStr">
        <is>
          <t>No.</t>
        </is>
      </c>
      <c r="B3" s="52" t="inlineStr">
        <is>
          <t>Month</t>
        </is>
      </c>
      <c r="C3" s="52" t="inlineStr">
        <is>
          <t>Total Employees</t>
        </is>
      </c>
      <c r="D3" s="52" t="inlineStr">
        <is>
          <t>Working Days</t>
        </is>
      </c>
      <c r="E3" s="52" t="inlineStr">
        <is>
          <t>Total Days Lost</t>
        </is>
      </c>
      <c r="F3" s="52" t="inlineStr">
        <is>
          <t>Total Working Days</t>
        </is>
      </c>
      <c r="G3" s="52" t="inlineStr">
        <is>
          <t>Monthly Absence Rate</t>
        </is>
      </c>
      <c r="I3" s="52" t="inlineStr">
        <is>
          <t>No.</t>
        </is>
      </c>
      <c r="J3" s="52" t="inlineStr">
        <is>
          <t>Month</t>
        </is>
      </c>
      <c r="K3" s="52" t="inlineStr">
        <is>
          <t>Total Employees</t>
        </is>
      </c>
      <c r="L3" s="52" t="inlineStr">
        <is>
          <t>Working Days</t>
        </is>
      </c>
      <c r="M3" s="52" t="inlineStr">
        <is>
          <t>Total Days Lost</t>
        </is>
      </c>
      <c r="N3" s="52" t="inlineStr">
        <is>
          <t>Total Working Days</t>
        </is>
      </c>
      <c r="O3" s="52" t="inlineStr">
        <is>
          <t>Monthly Absence Rate</t>
        </is>
      </c>
      <c r="Q3" s="52" t="inlineStr">
        <is>
          <t>No.</t>
        </is>
      </c>
      <c r="R3" s="52" t="inlineStr">
        <is>
          <t>Month</t>
        </is>
      </c>
      <c r="S3" s="52" t="inlineStr">
        <is>
          <t>Total Employees</t>
        </is>
      </c>
      <c r="T3" s="52" t="inlineStr">
        <is>
          <t>Working Days</t>
        </is>
      </c>
      <c r="U3" s="52" t="inlineStr">
        <is>
          <t>Total Days Lost</t>
        </is>
      </c>
      <c r="V3" s="52" t="inlineStr">
        <is>
          <t>Total Working Days</t>
        </is>
      </c>
      <c r="W3" s="52" t="inlineStr">
        <is>
          <t>Monthly Absence Rate</t>
        </is>
      </c>
      <c r="Y3" s="52" t="inlineStr">
        <is>
          <t>No.</t>
        </is>
      </c>
      <c r="Z3" s="52" t="inlineStr">
        <is>
          <t>Month</t>
        </is>
      </c>
      <c r="AA3" s="52" t="inlineStr">
        <is>
          <t>Permanent Posts Filled YTD</t>
        </is>
      </c>
      <c r="AB3" s="52" t="inlineStr">
        <is>
          <t>Permanent Time to Hire YTD (Days)</t>
        </is>
      </c>
      <c r="AC3" s="52" t="inlineStr">
        <is>
          <t>Temporary Posts Filled YTD</t>
        </is>
      </c>
      <c r="AD3" s="52" t="inlineStr">
        <is>
          <t>Temporary Time to Hire YTD (Days)</t>
        </is>
      </c>
      <c r="AE3" s="52" t="inlineStr">
        <is>
          <t>Total Time to Hire YTD (Days)</t>
        </is>
      </c>
    </row>
    <row r="4" ht="18.75" customHeight="1">
      <c r="A4" s="53" t="n">
        <v>1</v>
      </c>
      <c r="B4" s="54" t="n">
        <v>46296</v>
      </c>
      <c r="C4" s="53">
        <f>IF(OCT!$C$5="","",OCT!$C$5)</f>
        <v/>
      </c>
      <c r="D4" s="55" t="n"/>
      <c r="E4" s="56">
        <f>IF(OCT!$C$43="","",OCT!$C$43)</f>
        <v/>
      </c>
      <c r="F4" s="57">
        <f>IF(OR(C4="",D4=""),"",C4*D4)</f>
        <v/>
      </c>
      <c r="G4" s="58">
        <f>IF(OR(E4="",N(F4)=0),"",E4/F4)</f>
        <v/>
      </c>
      <c r="I4" s="53" t="n">
        <v>1</v>
      </c>
      <c r="J4" s="54" t="n">
        <v>46296</v>
      </c>
      <c r="K4" s="53">
        <f>C4</f>
        <v/>
      </c>
      <c r="L4" s="59">
        <f>IF(D4="","",D4)</f>
        <v/>
      </c>
      <c r="M4" s="56">
        <f>IF(OCT!$C$44="","",OCT!$C$44)</f>
        <v/>
      </c>
      <c r="N4" s="57">
        <f>IF(OR(K4="",L4=""),"",K4*L4)</f>
        <v/>
      </c>
      <c r="O4" s="58">
        <f>IF(OR(M4="",N(N4)=0),"",M4/N4)</f>
        <v/>
      </c>
      <c r="Q4" s="53" t="n">
        <v>1</v>
      </c>
      <c r="R4" s="54" t="n">
        <v>46296</v>
      </c>
      <c r="S4" s="53">
        <f>C4</f>
        <v/>
      </c>
      <c r="T4" s="59">
        <f>IF(D4="","",D4)</f>
        <v/>
      </c>
      <c r="U4" s="56">
        <f>IF(COUNT(E4,M4)=0,"",SUM(E4,M4))</f>
        <v/>
      </c>
      <c r="V4" s="57">
        <f>IF(OR(S4="",T4=""),"",S4*T4)</f>
        <v/>
      </c>
      <c r="W4" s="58">
        <f>IF(OR(U4="",N(V4)=0),"",U4/V4)</f>
        <v/>
      </c>
      <c r="Y4" s="53" t="n">
        <v>1</v>
      </c>
      <c r="Z4" s="54" t="n">
        <v>46296</v>
      </c>
      <c r="AA4" s="59">
        <f>IF($C4="","",SUMPRODUCT(($E$21:$E$320&gt;=$Z$4)*($E$21:$E$320&lt;=EOMONTH($Z4,0)),$G$21:$G$320))</f>
        <v/>
      </c>
      <c r="AB4" s="56">
        <f>IF(N(AA4)=0,"",SUMPRODUCT(($E$21:$E$320&gt;=$Z$4)*($E$21:$E$320&lt;=EOMONTH($Z4,0)),$F$21:$F$320,$G$21:$G$320)/AA4)</f>
        <v/>
      </c>
      <c r="AC4" s="59">
        <f>IF($C4="","",SUMPRODUCT(($L$21:$L$320&gt;=$Z$4)*($L$21:$L$320&lt;=EOMONTH($Z4,0)),$N$21:$N$320))</f>
        <v/>
      </c>
      <c r="AD4" s="56">
        <f>IF(N(AC4)=0,"",SUMPRODUCT(($L$21:$L$320&gt;=$Z$4)*($L$21:$L$320&lt;=EOMONTH($Z4,0)),$M$21:$M$320,$N$21:$N$320)/AC4)</f>
        <v/>
      </c>
      <c r="AE4" s="56">
        <f>IF(N(AA4)+N(AC4)=0,"",(N(AB4)*N(AA4)+N(AD4)*N(AC4))/(N(AA4)+N(AC4)))</f>
        <v/>
      </c>
    </row>
    <row r="5" ht="18.75" customHeight="1">
      <c r="A5" s="53" t="n">
        <v>2</v>
      </c>
      <c r="B5" s="54" t="n">
        <v>46327</v>
      </c>
      <c r="C5" s="53">
        <f>IF(NOV!$C$5="","",NOV!$C$5)</f>
        <v/>
      </c>
      <c r="D5" s="55" t="n"/>
      <c r="E5" s="56">
        <f>IF(NOV!$C$43="","",NOV!$C$43)</f>
        <v/>
      </c>
      <c r="F5" s="57">
        <f>IF(OR(C5="",D5=""),"",C5*D5)</f>
        <v/>
      </c>
      <c r="G5" s="58">
        <f>IF(OR(E5="",N(F5)=0),"",E5/F5)</f>
        <v/>
      </c>
      <c r="I5" s="53" t="n">
        <v>2</v>
      </c>
      <c r="J5" s="54" t="n">
        <v>46327</v>
      </c>
      <c r="K5" s="53">
        <f>C5</f>
        <v/>
      </c>
      <c r="L5" s="59">
        <f>IF(D5="","",D5)</f>
        <v/>
      </c>
      <c r="M5" s="56">
        <f>IF(NOV!$C$44="","",NOV!$C$44)</f>
        <v/>
      </c>
      <c r="N5" s="57">
        <f>IF(OR(K5="",L5=""),"",K5*L5)</f>
        <v/>
      </c>
      <c r="O5" s="58">
        <f>IF(OR(M5="",N(N5)=0),"",M5/N5)</f>
        <v/>
      </c>
      <c r="Q5" s="53" t="n">
        <v>2</v>
      </c>
      <c r="R5" s="54" t="n">
        <v>46327</v>
      </c>
      <c r="S5" s="53">
        <f>C5</f>
        <v/>
      </c>
      <c r="T5" s="59">
        <f>IF(D5="","",D5)</f>
        <v/>
      </c>
      <c r="U5" s="56">
        <f>IF(COUNT(E5,M5)=0,"",SUM(E5,M5))</f>
        <v/>
      </c>
      <c r="V5" s="57">
        <f>IF(OR(S5="",T5=""),"",S5*T5)</f>
        <v/>
      </c>
      <c r="W5" s="58">
        <f>IF(OR(U5="",N(V5)=0),"",U5/V5)</f>
        <v/>
      </c>
      <c r="Y5" s="53" t="n">
        <v>2</v>
      </c>
      <c r="Z5" s="54" t="n">
        <v>46327</v>
      </c>
      <c r="AA5" s="59">
        <f>IF($C5="","",SUMPRODUCT(($E$21:$E$320&gt;=$Z$4)*($E$21:$E$320&lt;=EOMONTH($Z5,0)),$G$21:$G$320))</f>
        <v/>
      </c>
      <c r="AB5" s="56">
        <f>IF(N(AA5)=0,"",SUMPRODUCT(($E$21:$E$320&gt;=$Z$4)*($E$21:$E$320&lt;=EOMONTH($Z5,0)),$F$21:$F$320,$G$21:$G$320)/AA5)</f>
        <v/>
      </c>
      <c r="AC5" s="59">
        <f>IF($C5="","",SUMPRODUCT(($L$21:$L$320&gt;=$Z$4)*($L$21:$L$320&lt;=EOMONTH($Z5,0)),$N$21:$N$320))</f>
        <v/>
      </c>
      <c r="AD5" s="56">
        <f>IF(N(AC5)=0,"",SUMPRODUCT(($L$21:$L$320&gt;=$Z$4)*($L$21:$L$320&lt;=EOMONTH($Z5,0)),$M$21:$M$320,$N$21:$N$320)/AC5)</f>
        <v/>
      </c>
      <c r="AE5" s="56">
        <f>IF(N(AA5)+N(AC5)=0,"",(N(AB5)*N(AA5)+N(AD5)*N(AC5))/(N(AA5)+N(AC5)))</f>
        <v/>
      </c>
    </row>
    <row r="6" ht="18.75" customHeight="1">
      <c r="A6" s="53" t="n">
        <v>3</v>
      </c>
      <c r="B6" s="54" t="n">
        <v>46357</v>
      </c>
      <c r="C6" s="53">
        <f>IF(DEC!$C$5="","",DEC!$C$5)</f>
        <v/>
      </c>
      <c r="D6" s="55" t="n"/>
      <c r="E6" s="56">
        <f>IF(DEC!$C$43="","",DEC!$C$43)</f>
        <v/>
      </c>
      <c r="F6" s="57">
        <f>IF(OR(C6="",D6=""),"",C6*D6)</f>
        <v/>
      </c>
      <c r="G6" s="58">
        <f>IF(OR(E6="",N(F6)=0),"",E6/F6)</f>
        <v/>
      </c>
      <c r="I6" s="53" t="n">
        <v>3</v>
      </c>
      <c r="J6" s="54" t="n">
        <v>46357</v>
      </c>
      <c r="K6" s="53">
        <f>C6</f>
        <v/>
      </c>
      <c r="L6" s="59">
        <f>IF(D6="","",D6)</f>
        <v/>
      </c>
      <c r="M6" s="56">
        <f>IF(DEC!$C$44="","",DEC!$C$44)</f>
        <v/>
      </c>
      <c r="N6" s="57">
        <f>IF(OR(K6="",L6=""),"",K6*L6)</f>
        <v/>
      </c>
      <c r="O6" s="58">
        <f>IF(OR(M6="",N(N6)=0),"",M6/N6)</f>
        <v/>
      </c>
      <c r="Q6" s="53" t="n">
        <v>3</v>
      </c>
      <c r="R6" s="54" t="n">
        <v>46357</v>
      </c>
      <c r="S6" s="53">
        <f>C6</f>
        <v/>
      </c>
      <c r="T6" s="59">
        <f>IF(D6="","",D6)</f>
        <v/>
      </c>
      <c r="U6" s="56">
        <f>IF(COUNT(E6,M6)=0,"",SUM(E6,M6))</f>
        <v/>
      </c>
      <c r="V6" s="57">
        <f>IF(OR(S6="",T6=""),"",S6*T6)</f>
        <v/>
      </c>
      <c r="W6" s="58">
        <f>IF(OR(U6="",N(V6)=0),"",U6/V6)</f>
        <v/>
      </c>
      <c r="Y6" s="53" t="n">
        <v>3</v>
      </c>
      <c r="Z6" s="54" t="n">
        <v>46357</v>
      </c>
      <c r="AA6" s="59">
        <f>IF($C6="","",SUMPRODUCT(($E$21:$E$320&gt;=$Z$4)*($E$21:$E$320&lt;=EOMONTH($Z6,0)),$G$21:$G$320))</f>
        <v/>
      </c>
      <c r="AB6" s="56">
        <f>IF(N(AA6)=0,"",SUMPRODUCT(($E$21:$E$320&gt;=$Z$4)*($E$21:$E$320&lt;=EOMONTH($Z6,0)),$F$21:$F$320,$G$21:$G$320)/AA6)</f>
        <v/>
      </c>
      <c r="AC6" s="59">
        <f>IF($C6="","",SUMPRODUCT(($L$21:$L$320&gt;=$Z$4)*($L$21:$L$320&lt;=EOMONTH($Z6,0)),$N$21:$N$320))</f>
        <v/>
      </c>
      <c r="AD6" s="56">
        <f>IF(N(AC6)=0,"",SUMPRODUCT(($L$21:$L$320&gt;=$Z$4)*($L$21:$L$320&lt;=EOMONTH($Z6,0)),$M$21:$M$320,$N$21:$N$320)/AC6)</f>
        <v/>
      </c>
      <c r="AE6" s="56">
        <f>IF(N(AA6)+N(AC6)=0,"",(N(AB6)*N(AA6)+N(AD6)*N(AC6))/(N(AA6)+N(AC6)))</f>
        <v/>
      </c>
    </row>
    <row r="7" ht="18.75" customHeight="1">
      <c r="A7" s="53" t="n">
        <v>4</v>
      </c>
      <c r="B7" s="54" t="n">
        <v>46388</v>
      </c>
      <c r="C7" s="53">
        <f>IF(JAN!$C$5="","",JAN!$C$5)</f>
        <v/>
      </c>
      <c r="D7" s="55" t="n"/>
      <c r="E7" s="56">
        <f>IF(JAN!$C$43="","",JAN!$C$43)</f>
        <v/>
      </c>
      <c r="F7" s="57">
        <f>IF(OR(C7="",D7=""),"",C7*D7)</f>
        <v/>
      </c>
      <c r="G7" s="58">
        <f>IF(OR(E7="",N(F7)=0),"",E7/F7)</f>
        <v/>
      </c>
      <c r="I7" s="53" t="n">
        <v>4</v>
      </c>
      <c r="J7" s="54" t="n">
        <v>46388</v>
      </c>
      <c r="K7" s="53">
        <f>C7</f>
        <v/>
      </c>
      <c r="L7" s="59">
        <f>IF(D7="","",D7)</f>
        <v/>
      </c>
      <c r="M7" s="56">
        <f>IF(JAN!$C$44="","",JAN!$C$44)</f>
        <v/>
      </c>
      <c r="N7" s="57">
        <f>IF(OR(K7="",L7=""),"",K7*L7)</f>
        <v/>
      </c>
      <c r="O7" s="58">
        <f>IF(OR(M7="",N(N7)=0),"",M7/N7)</f>
        <v/>
      </c>
      <c r="Q7" s="53" t="n">
        <v>4</v>
      </c>
      <c r="R7" s="54" t="n">
        <v>46388</v>
      </c>
      <c r="S7" s="53">
        <f>C7</f>
        <v/>
      </c>
      <c r="T7" s="59">
        <f>IF(D7="","",D7)</f>
        <v/>
      </c>
      <c r="U7" s="56">
        <f>IF(COUNT(E7,M7)=0,"",SUM(E7,M7))</f>
        <v/>
      </c>
      <c r="V7" s="57">
        <f>IF(OR(S7="",T7=""),"",S7*T7)</f>
        <v/>
      </c>
      <c r="W7" s="58">
        <f>IF(OR(U7="",N(V7)=0),"",U7/V7)</f>
        <v/>
      </c>
      <c r="Y7" s="53" t="n">
        <v>4</v>
      </c>
      <c r="Z7" s="54" t="n">
        <v>46388</v>
      </c>
      <c r="AA7" s="59">
        <f>IF($C7="","",SUMPRODUCT(($E$21:$E$320&gt;=$Z$4)*($E$21:$E$320&lt;=EOMONTH($Z7,0)),$G$21:$G$320))</f>
        <v/>
      </c>
      <c r="AB7" s="56">
        <f>IF(N(AA7)=0,"",SUMPRODUCT(($E$21:$E$320&gt;=$Z$4)*($E$21:$E$320&lt;=EOMONTH($Z7,0)),$F$21:$F$320,$G$21:$G$320)/AA7)</f>
        <v/>
      </c>
      <c r="AC7" s="59">
        <f>IF($C7="","",SUMPRODUCT(($L$21:$L$320&gt;=$Z$4)*($L$21:$L$320&lt;=EOMONTH($Z7,0)),$N$21:$N$320))</f>
        <v/>
      </c>
      <c r="AD7" s="56">
        <f>IF(N(AC7)=0,"",SUMPRODUCT(($L$21:$L$320&gt;=$Z$4)*($L$21:$L$320&lt;=EOMONTH($Z7,0)),$M$21:$M$320,$N$21:$N$320)/AC7)</f>
        <v/>
      </c>
      <c r="AE7" s="56">
        <f>IF(N(AA7)+N(AC7)=0,"",(N(AB7)*N(AA7)+N(AD7)*N(AC7))/(N(AA7)+N(AC7)))</f>
        <v/>
      </c>
    </row>
    <row r="8" ht="18.75" customHeight="1">
      <c r="A8" s="53" t="n">
        <v>5</v>
      </c>
      <c r="B8" s="54" t="n">
        <v>46419</v>
      </c>
      <c r="C8" s="53">
        <f>IF(FEB!$C$5="","",FEB!$C$5)</f>
        <v/>
      </c>
      <c r="D8" s="55" t="n"/>
      <c r="E8" s="56">
        <f>IF(FEB!$C$43="","",FEB!$C$43)</f>
        <v/>
      </c>
      <c r="F8" s="57">
        <f>IF(OR(C8="",D8=""),"",C8*D8)</f>
        <v/>
      </c>
      <c r="G8" s="58">
        <f>IF(OR(E8="",N(F8)=0),"",E8/F8)</f>
        <v/>
      </c>
      <c r="I8" s="53" t="n">
        <v>5</v>
      </c>
      <c r="J8" s="54" t="n">
        <v>46419</v>
      </c>
      <c r="K8" s="53">
        <f>C8</f>
        <v/>
      </c>
      <c r="L8" s="59">
        <f>IF(D8="","",D8)</f>
        <v/>
      </c>
      <c r="M8" s="56">
        <f>IF(FEB!$C$44="","",FEB!$C$44)</f>
        <v/>
      </c>
      <c r="N8" s="57">
        <f>IF(OR(K8="",L8=""),"",K8*L8)</f>
        <v/>
      </c>
      <c r="O8" s="58">
        <f>IF(OR(M8="",N(N8)=0),"",M8/N8)</f>
        <v/>
      </c>
      <c r="Q8" s="53" t="n">
        <v>5</v>
      </c>
      <c r="R8" s="54" t="n">
        <v>46419</v>
      </c>
      <c r="S8" s="53">
        <f>C8</f>
        <v/>
      </c>
      <c r="T8" s="59">
        <f>IF(D8="","",D8)</f>
        <v/>
      </c>
      <c r="U8" s="56">
        <f>IF(COUNT(E8,M8)=0,"",SUM(E8,M8))</f>
        <v/>
      </c>
      <c r="V8" s="57">
        <f>IF(OR(S8="",T8=""),"",S8*T8)</f>
        <v/>
      </c>
      <c r="W8" s="58">
        <f>IF(OR(U8="",N(V8)=0),"",U8/V8)</f>
        <v/>
      </c>
      <c r="Y8" s="53" t="n">
        <v>5</v>
      </c>
      <c r="Z8" s="54" t="n">
        <v>46419</v>
      </c>
      <c r="AA8" s="59">
        <f>IF($C8="","",SUMPRODUCT(($E$21:$E$320&gt;=$Z$4)*($E$21:$E$320&lt;=EOMONTH($Z8,0)),$G$21:$G$320))</f>
        <v/>
      </c>
      <c r="AB8" s="56">
        <f>IF(N(AA8)=0,"",SUMPRODUCT(($E$21:$E$320&gt;=$Z$4)*($E$21:$E$320&lt;=EOMONTH($Z8,0)),$F$21:$F$320,$G$21:$G$320)/AA8)</f>
        <v/>
      </c>
      <c r="AC8" s="59">
        <f>IF($C8="","",SUMPRODUCT(($L$21:$L$320&gt;=$Z$4)*($L$21:$L$320&lt;=EOMONTH($Z8,0)),$N$21:$N$320))</f>
        <v/>
      </c>
      <c r="AD8" s="56">
        <f>IF(N(AC8)=0,"",SUMPRODUCT(($L$21:$L$320&gt;=$Z$4)*($L$21:$L$320&lt;=EOMONTH($Z8,0)),$M$21:$M$320,$N$21:$N$320)/AC8)</f>
        <v/>
      </c>
      <c r="AE8" s="56">
        <f>IF(N(AA8)+N(AC8)=0,"",(N(AB8)*N(AA8)+N(AD8)*N(AC8))/(N(AA8)+N(AC8)))</f>
        <v/>
      </c>
    </row>
    <row r="9" ht="18.75" customHeight="1">
      <c r="A9" s="53" t="n">
        <v>6</v>
      </c>
      <c r="B9" s="54" t="n">
        <v>46447</v>
      </c>
      <c r="C9" s="53">
        <f>IF(MAR!$C$5="","",MAR!$C$5)</f>
        <v/>
      </c>
      <c r="D9" s="55" t="n"/>
      <c r="E9" s="56">
        <f>IF(MAR!$C$43="","",MAR!$C$43)</f>
        <v/>
      </c>
      <c r="F9" s="57">
        <f>IF(OR(C9="",D9=""),"",C9*D9)</f>
        <v/>
      </c>
      <c r="G9" s="58">
        <f>IF(OR(E9="",N(F9)=0),"",E9/F9)</f>
        <v/>
      </c>
      <c r="I9" s="53" t="n">
        <v>6</v>
      </c>
      <c r="J9" s="54" t="n">
        <v>46447</v>
      </c>
      <c r="K9" s="53">
        <f>C9</f>
        <v/>
      </c>
      <c r="L9" s="59">
        <f>IF(D9="","",D9)</f>
        <v/>
      </c>
      <c r="M9" s="56">
        <f>IF(MAR!$C$44="","",MAR!$C$44)</f>
        <v/>
      </c>
      <c r="N9" s="57">
        <f>IF(OR(K9="",L9=""),"",K9*L9)</f>
        <v/>
      </c>
      <c r="O9" s="58">
        <f>IF(OR(M9="",N(N9)=0),"",M9/N9)</f>
        <v/>
      </c>
      <c r="Q9" s="53" t="n">
        <v>6</v>
      </c>
      <c r="R9" s="54" t="n">
        <v>46447</v>
      </c>
      <c r="S9" s="53">
        <f>C9</f>
        <v/>
      </c>
      <c r="T9" s="59">
        <f>IF(D9="","",D9)</f>
        <v/>
      </c>
      <c r="U9" s="56">
        <f>IF(COUNT(E9,M9)=0,"",SUM(E9,M9))</f>
        <v/>
      </c>
      <c r="V9" s="57">
        <f>IF(OR(S9="",T9=""),"",S9*T9)</f>
        <v/>
      </c>
      <c r="W9" s="58">
        <f>IF(OR(U9="",N(V9)=0),"",U9/V9)</f>
        <v/>
      </c>
      <c r="Y9" s="53" t="n">
        <v>6</v>
      </c>
      <c r="Z9" s="54" t="n">
        <v>46447</v>
      </c>
      <c r="AA9" s="59">
        <f>IF($C9="","",SUMPRODUCT(($E$21:$E$320&gt;=$Z$4)*($E$21:$E$320&lt;=EOMONTH($Z9,0)),$G$21:$G$320))</f>
        <v/>
      </c>
      <c r="AB9" s="56">
        <f>IF(N(AA9)=0,"",SUMPRODUCT(($E$21:$E$320&gt;=$Z$4)*($E$21:$E$320&lt;=EOMONTH($Z9,0)),$F$21:$F$320,$G$21:$G$320)/AA9)</f>
        <v/>
      </c>
      <c r="AC9" s="59">
        <f>IF($C9="","",SUMPRODUCT(($L$21:$L$320&gt;=$Z$4)*($L$21:$L$320&lt;=EOMONTH($Z9,0)),$N$21:$N$320))</f>
        <v/>
      </c>
      <c r="AD9" s="56">
        <f>IF(N(AC9)=0,"",SUMPRODUCT(($L$21:$L$320&gt;=$Z$4)*($L$21:$L$320&lt;=EOMONTH($Z9,0)),$M$21:$M$320,$N$21:$N$320)/AC9)</f>
        <v/>
      </c>
      <c r="AE9" s="56">
        <f>IF(N(AA9)+N(AC9)=0,"",(N(AB9)*N(AA9)+N(AD9)*N(AC9))/(N(AA9)+N(AC9)))</f>
        <v/>
      </c>
    </row>
    <row r="10" ht="18.75" customHeight="1">
      <c r="A10" s="53" t="n">
        <v>7</v>
      </c>
      <c r="B10" s="54" t="n">
        <v>46478</v>
      </c>
      <c r="C10" s="53">
        <f>IF(APR!$C$5="","",APR!$C$5)</f>
        <v/>
      </c>
      <c r="D10" s="55" t="n"/>
      <c r="E10" s="56">
        <f>IF(APR!$C$43="","",APR!$C$43)</f>
        <v/>
      </c>
      <c r="F10" s="57">
        <f>IF(OR(C10="",D10=""),"",C10*D10)</f>
        <v/>
      </c>
      <c r="G10" s="58">
        <f>IF(OR(E10="",N(F10)=0),"",E10/F10)</f>
        <v/>
      </c>
      <c r="I10" s="53" t="n">
        <v>7</v>
      </c>
      <c r="J10" s="54" t="n">
        <v>46478</v>
      </c>
      <c r="K10" s="53">
        <f>C10</f>
        <v/>
      </c>
      <c r="L10" s="59">
        <f>IF(D10="","",D10)</f>
        <v/>
      </c>
      <c r="M10" s="56">
        <f>IF(APR!$C$44="","",APR!$C$44)</f>
        <v/>
      </c>
      <c r="N10" s="57">
        <f>IF(OR(K10="",L10=""),"",K10*L10)</f>
        <v/>
      </c>
      <c r="O10" s="58">
        <f>IF(OR(M10="",N(N10)=0),"",M10/N10)</f>
        <v/>
      </c>
      <c r="Q10" s="53" t="n">
        <v>7</v>
      </c>
      <c r="R10" s="54" t="n">
        <v>46478</v>
      </c>
      <c r="S10" s="53">
        <f>C10</f>
        <v/>
      </c>
      <c r="T10" s="59">
        <f>IF(D10="","",D10)</f>
        <v/>
      </c>
      <c r="U10" s="56">
        <f>IF(COUNT(E10,M10)=0,"",SUM(E10,M10))</f>
        <v/>
      </c>
      <c r="V10" s="57">
        <f>IF(OR(S10="",T10=""),"",S10*T10)</f>
        <v/>
      </c>
      <c r="W10" s="58">
        <f>IF(OR(U10="",N(V10)=0),"",U10/V10)</f>
        <v/>
      </c>
      <c r="Y10" s="53" t="n">
        <v>7</v>
      </c>
      <c r="Z10" s="54" t="n">
        <v>46478</v>
      </c>
      <c r="AA10" s="59">
        <f>IF($C10="","",SUMPRODUCT(($E$21:$E$320&gt;=$Z$4)*($E$21:$E$320&lt;=EOMONTH($Z10,0)),$G$21:$G$320))</f>
        <v/>
      </c>
      <c r="AB10" s="56">
        <f>IF(N(AA10)=0,"",SUMPRODUCT(($E$21:$E$320&gt;=$Z$4)*($E$21:$E$320&lt;=EOMONTH($Z10,0)),$F$21:$F$320,$G$21:$G$320)/AA10)</f>
        <v/>
      </c>
      <c r="AC10" s="59">
        <f>IF($C10="","",SUMPRODUCT(($L$21:$L$320&gt;=$Z$4)*($L$21:$L$320&lt;=EOMONTH($Z10,0)),$N$21:$N$320))</f>
        <v/>
      </c>
      <c r="AD10" s="56">
        <f>IF(N(AC10)=0,"",SUMPRODUCT(($L$21:$L$320&gt;=$Z$4)*($L$21:$L$320&lt;=EOMONTH($Z10,0)),$M$21:$M$320,$N$21:$N$320)/AC10)</f>
        <v/>
      </c>
      <c r="AE10" s="56">
        <f>IF(N(AA10)+N(AC10)=0,"",(N(AB10)*N(AA10)+N(AD10)*N(AC10))/(N(AA10)+N(AC10)))</f>
        <v/>
      </c>
    </row>
    <row r="11" ht="18.75" customHeight="1">
      <c r="A11" s="53" t="n">
        <v>8</v>
      </c>
      <c r="B11" s="54" t="n">
        <v>46508</v>
      </c>
      <c r="C11" s="53">
        <f>IF(MAY!$C$5="","",MAY!$C$5)</f>
        <v/>
      </c>
      <c r="D11" s="55" t="n"/>
      <c r="E11" s="56">
        <f>IF(MAY!$C$43="","",MAY!$C$43)</f>
        <v/>
      </c>
      <c r="F11" s="57">
        <f>IF(OR(C11="",D11=""),"",C11*D11)</f>
        <v/>
      </c>
      <c r="G11" s="58">
        <f>IF(OR(E11="",N(F11)=0),"",E11/F11)</f>
        <v/>
      </c>
      <c r="I11" s="53" t="n">
        <v>8</v>
      </c>
      <c r="J11" s="54" t="n">
        <v>46508</v>
      </c>
      <c r="K11" s="53">
        <f>C11</f>
        <v/>
      </c>
      <c r="L11" s="59">
        <f>IF(D11="","",D11)</f>
        <v/>
      </c>
      <c r="M11" s="56">
        <f>IF(MAY!$C$44="","",MAY!$C$44)</f>
        <v/>
      </c>
      <c r="N11" s="57">
        <f>IF(OR(K11="",L11=""),"",K11*L11)</f>
        <v/>
      </c>
      <c r="O11" s="58">
        <f>IF(OR(M11="",N(N11)=0),"",M11/N11)</f>
        <v/>
      </c>
      <c r="Q11" s="53" t="n">
        <v>8</v>
      </c>
      <c r="R11" s="54" t="n">
        <v>46508</v>
      </c>
      <c r="S11" s="53">
        <f>C11</f>
        <v/>
      </c>
      <c r="T11" s="59">
        <f>IF(D11="","",D11)</f>
        <v/>
      </c>
      <c r="U11" s="56">
        <f>IF(COUNT(E11,M11)=0,"",SUM(E11,M11))</f>
        <v/>
      </c>
      <c r="V11" s="57">
        <f>IF(OR(S11="",T11=""),"",S11*T11)</f>
        <v/>
      </c>
      <c r="W11" s="58">
        <f>IF(OR(U11="",N(V11)=0),"",U11/V11)</f>
        <v/>
      </c>
      <c r="Y11" s="53" t="n">
        <v>8</v>
      </c>
      <c r="Z11" s="54" t="n">
        <v>46508</v>
      </c>
      <c r="AA11" s="59">
        <f>IF($C11="","",SUMPRODUCT(($E$21:$E$320&gt;=$Z$4)*($E$21:$E$320&lt;=EOMONTH($Z11,0)),$G$21:$G$320))</f>
        <v/>
      </c>
      <c r="AB11" s="56">
        <f>IF(N(AA11)=0,"",SUMPRODUCT(($E$21:$E$320&gt;=$Z$4)*($E$21:$E$320&lt;=EOMONTH($Z11,0)),$F$21:$F$320,$G$21:$G$320)/AA11)</f>
        <v/>
      </c>
      <c r="AC11" s="59">
        <f>IF($C11="","",SUMPRODUCT(($L$21:$L$320&gt;=$Z$4)*($L$21:$L$320&lt;=EOMONTH($Z11,0)),$N$21:$N$320))</f>
        <v/>
      </c>
      <c r="AD11" s="56">
        <f>IF(N(AC11)=0,"",SUMPRODUCT(($L$21:$L$320&gt;=$Z$4)*($L$21:$L$320&lt;=EOMONTH($Z11,0)),$M$21:$M$320,$N$21:$N$320)/AC11)</f>
        <v/>
      </c>
      <c r="AE11" s="56">
        <f>IF(N(AA11)+N(AC11)=0,"",(N(AB11)*N(AA11)+N(AD11)*N(AC11))/(N(AA11)+N(AC11)))</f>
        <v/>
      </c>
    </row>
    <row r="12" ht="18.75" customHeight="1">
      <c r="A12" s="53" t="n">
        <v>9</v>
      </c>
      <c r="B12" s="54" t="n">
        <v>46539</v>
      </c>
      <c r="C12" s="53">
        <f>IF(JUN!$C$5="","",JUN!$C$5)</f>
        <v/>
      </c>
      <c r="D12" s="55" t="n"/>
      <c r="E12" s="56">
        <f>IF(JUN!$C$43="","",JUN!$C$43)</f>
        <v/>
      </c>
      <c r="F12" s="57">
        <f>IF(OR(C12="",D12=""),"",C12*D12)</f>
        <v/>
      </c>
      <c r="G12" s="58">
        <f>IF(OR(E12="",N(F12)=0),"",E12/F12)</f>
        <v/>
      </c>
      <c r="I12" s="53" t="n">
        <v>9</v>
      </c>
      <c r="J12" s="54" t="n">
        <v>46539</v>
      </c>
      <c r="K12" s="53">
        <f>C12</f>
        <v/>
      </c>
      <c r="L12" s="59">
        <f>IF(D12="","",D12)</f>
        <v/>
      </c>
      <c r="M12" s="56">
        <f>IF(JUN!$C$44="","",JUN!$C$44)</f>
        <v/>
      </c>
      <c r="N12" s="57">
        <f>IF(OR(K12="",L12=""),"",K12*L12)</f>
        <v/>
      </c>
      <c r="O12" s="58">
        <f>IF(OR(M12="",N(N12)=0),"",M12/N12)</f>
        <v/>
      </c>
      <c r="Q12" s="53" t="n">
        <v>9</v>
      </c>
      <c r="R12" s="54" t="n">
        <v>46539</v>
      </c>
      <c r="S12" s="53">
        <f>C12</f>
        <v/>
      </c>
      <c r="T12" s="59">
        <f>IF(D12="","",D12)</f>
        <v/>
      </c>
      <c r="U12" s="56">
        <f>IF(COUNT(E12,M12)=0,"",SUM(E12,M12))</f>
        <v/>
      </c>
      <c r="V12" s="57">
        <f>IF(OR(S12="",T12=""),"",S12*T12)</f>
        <v/>
      </c>
      <c r="W12" s="58">
        <f>IF(OR(U12="",N(V12)=0),"",U12/V12)</f>
        <v/>
      </c>
      <c r="Y12" s="53" t="n">
        <v>9</v>
      </c>
      <c r="Z12" s="54" t="n">
        <v>46539</v>
      </c>
      <c r="AA12" s="59">
        <f>IF($C12="","",SUMPRODUCT(($E$21:$E$320&gt;=$Z$4)*($E$21:$E$320&lt;=EOMONTH($Z12,0)),$G$21:$G$320))</f>
        <v/>
      </c>
      <c r="AB12" s="56">
        <f>IF(N(AA12)=0,"",SUMPRODUCT(($E$21:$E$320&gt;=$Z$4)*($E$21:$E$320&lt;=EOMONTH($Z12,0)),$F$21:$F$320,$G$21:$G$320)/AA12)</f>
        <v/>
      </c>
      <c r="AC12" s="59">
        <f>IF($C12="","",SUMPRODUCT(($L$21:$L$320&gt;=$Z$4)*($L$21:$L$320&lt;=EOMONTH($Z12,0)),$N$21:$N$320))</f>
        <v/>
      </c>
      <c r="AD12" s="56">
        <f>IF(N(AC12)=0,"",SUMPRODUCT(($L$21:$L$320&gt;=$Z$4)*($L$21:$L$320&lt;=EOMONTH($Z12,0)),$M$21:$M$320,$N$21:$N$320)/AC12)</f>
        <v/>
      </c>
      <c r="AE12" s="56">
        <f>IF(N(AA12)+N(AC12)=0,"",(N(AB12)*N(AA12)+N(AD12)*N(AC12))/(N(AA12)+N(AC12)))</f>
        <v/>
      </c>
    </row>
    <row r="13" ht="18.75" customHeight="1">
      <c r="A13" s="53" t="n">
        <v>10</v>
      </c>
      <c r="B13" s="54" t="n">
        <v>46569</v>
      </c>
      <c r="C13" s="53">
        <f>IF(JUL!$C$5="","",JUL!$C$5)</f>
        <v/>
      </c>
      <c r="D13" s="55" t="n"/>
      <c r="E13" s="56">
        <f>IF(JUL!$C$43="","",JUL!$C$43)</f>
        <v/>
      </c>
      <c r="F13" s="57">
        <f>IF(OR(C13="",D13=""),"",C13*D13)</f>
        <v/>
      </c>
      <c r="G13" s="58">
        <f>IF(OR(E13="",N(F13)=0),"",E13/F13)</f>
        <v/>
      </c>
      <c r="I13" s="53" t="n">
        <v>10</v>
      </c>
      <c r="J13" s="54" t="n">
        <v>46569</v>
      </c>
      <c r="K13" s="53">
        <f>C13</f>
        <v/>
      </c>
      <c r="L13" s="59">
        <f>IF(D13="","",D13)</f>
        <v/>
      </c>
      <c r="M13" s="56">
        <f>IF(JUL!$C$44="","",JUL!$C$44)</f>
        <v/>
      </c>
      <c r="N13" s="57">
        <f>IF(OR(K13="",L13=""),"",K13*L13)</f>
        <v/>
      </c>
      <c r="O13" s="58">
        <f>IF(OR(M13="",N(N13)=0),"",M13/N13)</f>
        <v/>
      </c>
      <c r="Q13" s="53" t="n">
        <v>10</v>
      </c>
      <c r="R13" s="54" t="n">
        <v>46569</v>
      </c>
      <c r="S13" s="53">
        <f>C13</f>
        <v/>
      </c>
      <c r="T13" s="59">
        <f>IF(D13="","",D13)</f>
        <v/>
      </c>
      <c r="U13" s="56">
        <f>IF(COUNT(E13,M13)=0,"",SUM(E13,M13))</f>
        <v/>
      </c>
      <c r="V13" s="57">
        <f>IF(OR(S13="",T13=""),"",S13*T13)</f>
        <v/>
      </c>
      <c r="W13" s="58">
        <f>IF(OR(U13="",N(V13)=0),"",U13/V13)</f>
        <v/>
      </c>
      <c r="Y13" s="53" t="n">
        <v>10</v>
      </c>
      <c r="Z13" s="54" t="n">
        <v>46569</v>
      </c>
      <c r="AA13" s="59">
        <f>IF($C13="","",SUMPRODUCT(($E$21:$E$320&gt;=$Z$4)*($E$21:$E$320&lt;=EOMONTH($Z13,0)),$G$21:$G$320))</f>
        <v/>
      </c>
      <c r="AB13" s="56">
        <f>IF(N(AA13)=0,"",SUMPRODUCT(($E$21:$E$320&gt;=$Z$4)*($E$21:$E$320&lt;=EOMONTH($Z13,0)),$F$21:$F$320,$G$21:$G$320)/AA13)</f>
        <v/>
      </c>
      <c r="AC13" s="59">
        <f>IF($C13="","",SUMPRODUCT(($L$21:$L$320&gt;=$Z$4)*($L$21:$L$320&lt;=EOMONTH($Z13,0)),$N$21:$N$320))</f>
        <v/>
      </c>
      <c r="AD13" s="56">
        <f>IF(N(AC13)=0,"",SUMPRODUCT(($L$21:$L$320&gt;=$Z$4)*($L$21:$L$320&lt;=EOMONTH($Z13,0)),$M$21:$M$320,$N$21:$N$320)/AC13)</f>
        <v/>
      </c>
      <c r="AE13" s="56">
        <f>IF(N(AA13)+N(AC13)=0,"",(N(AB13)*N(AA13)+N(AD13)*N(AC13))/(N(AA13)+N(AC13)))</f>
        <v/>
      </c>
    </row>
    <row r="14" ht="18.75" customHeight="1">
      <c r="A14" s="53" t="n">
        <v>11</v>
      </c>
      <c r="B14" s="54" t="n">
        <v>46600</v>
      </c>
      <c r="C14" s="53">
        <f>IF(AUG!$C$5="","",AUG!$C$5)</f>
        <v/>
      </c>
      <c r="D14" s="55" t="n"/>
      <c r="E14" s="56">
        <f>IF(AUG!$C$43="","",AUG!$C$43)</f>
        <v/>
      </c>
      <c r="F14" s="57">
        <f>IF(OR(C14="",D14=""),"",C14*D14)</f>
        <v/>
      </c>
      <c r="G14" s="58">
        <f>IF(OR(E14="",N(F14)=0),"",E14/F14)</f>
        <v/>
      </c>
      <c r="I14" s="53" t="n">
        <v>11</v>
      </c>
      <c r="J14" s="54" t="n">
        <v>46600</v>
      </c>
      <c r="K14" s="53">
        <f>C14</f>
        <v/>
      </c>
      <c r="L14" s="59">
        <f>IF(D14="","",D14)</f>
        <v/>
      </c>
      <c r="M14" s="56">
        <f>IF(AUG!$C$44="","",AUG!$C$44)</f>
        <v/>
      </c>
      <c r="N14" s="57">
        <f>IF(OR(K14="",L14=""),"",K14*L14)</f>
        <v/>
      </c>
      <c r="O14" s="58">
        <f>IF(OR(M14="",N(N14)=0),"",M14/N14)</f>
        <v/>
      </c>
      <c r="Q14" s="53" t="n">
        <v>11</v>
      </c>
      <c r="R14" s="54" t="n">
        <v>46600</v>
      </c>
      <c r="S14" s="53">
        <f>C14</f>
        <v/>
      </c>
      <c r="T14" s="59">
        <f>IF(D14="","",D14)</f>
        <v/>
      </c>
      <c r="U14" s="56">
        <f>IF(COUNT(E14,M14)=0,"",SUM(E14,M14))</f>
        <v/>
      </c>
      <c r="V14" s="57">
        <f>IF(OR(S14="",T14=""),"",S14*T14)</f>
        <v/>
      </c>
      <c r="W14" s="58">
        <f>IF(OR(U14="",N(V14)=0),"",U14/V14)</f>
        <v/>
      </c>
      <c r="Y14" s="53" t="n">
        <v>11</v>
      </c>
      <c r="Z14" s="54" t="n">
        <v>46600</v>
      </c>
      <c r="AA14" s="59">
        <f>IF($C14="","",SUMPRODUCT(($E$21:$E$320&gt;=$Z$4)*($E$21:$E$320&lt;=EOMONTH($Z14,0)),$G$21:$G$320))</f>
        <v/>
      </c>
      <c r="AB14" s="56">
        <f>IF(N(AA14)=0,"",SUMPRODUCT(($E$21:$E$320&gt;=$Z$4)*($E$21:$E$320&lt;=EOMONTH($Z14,0)),$F$21:$F$320,$G$21:$G$320)/AA14)</f>
        <v/>
      </c>
      <c r="AC14" s="59">
        <f>IF($C14="","",SUMPRODUCT(($L$21:$L$320&gt;=$Z$4)*($L$21:$L$320&lt;=EOMONTH($Z14,0)),$N$21:$N$320))</f>
        <v/>
      </c>
      <c r="AD14" s="56">
        <f>IF(N(AC14)=0,"",SUMPRODUCT(($L$21:$L$320&gt;=$Z$4)*($L$21:$L$320&lt;=EOMONTH($Z14,0)),$M$21:$M$320,$N$21:$N$320)/AC14)</f>
        <v/>
      </c>
      <c r="AE14" s="56">
        <f>IF(N(AA14)+N(AC14)=0,"",(N(AB14)*N(AA14)+N(AD14)*N(AC14))/(N(AA14)+N(AC14)))</f>
        <v/>
      </c>
    </row>
    <row r="15" ht="18.75" customHeight="1">
      <c r="A15" s="53" t="n">
        <v>12</v>
      </c>
      <c r="B15" s="54" t="n">
        <v>46631</v>
      </c>
      <c r="C15" s="53">
        <f>IF(SEP!$C$5="","",SEP!$C$5)</f>
        <v/>
      </c>
      <c r="D15" s="55" t="n"/>
      <c r="E15" s="56">
        <f>IF(SEP!$C$43="","",SEP!$C$43)</f>
        <v/>
      </c>
      <c r="F15" s="57">
        <f>IF(OR(C15="",D15=""),"",C15*D15)</f>
        <v/>
      </c>
      <c r="G15" s="58">
        <f>IF(OR(E15="",N(F15)=0),"",E15/F15)</f>
        <v/>
      </c>
      <c r="I15" s="53" t="n">
        <v>12</v>
      </c>
      <c r="J15" s="54" t="n">
        <v>46631</v>
      </c>
      <c r="K15" s="53">
        <f>C15</f>
        <v/>
      </c>
      <c r="L15" s="59">
        <f>IF(D15="","",D15)</f>
        <v/>
      </c>
      <c r="M15" s="56">
        <f>IF(SEP!$C$44="","",SEP!$C$44)</f>
        <v/>
      </c>
      <c r="N15" s="57">
        <f>IF(OR(K15="",L15=""),"",K15*L15)</f>
        <v/>
      </c>
      <c r="O15" s="58">
        <f>IF(OR(M15="",N(N15)=0),"",M15/N15)</f>
        <v/>
      </c>
      <c r="Q15" s="53" t="n">
        <v>12</v>
      </c>
      <c r="R15" s="54" t="n">
        <v>46631</v>
      </c>
      <c r="S15" s="53">
        <f>C15</f>
        <v/>
      </c>
      <c r="T15" s="59">
        <f>IF(D15="","",D15)</f>
        <v/>
      </c>
      <c r="U15" s="56">
        <f>IF(COUNT(E15,M15)=0,"",SUM(E15,M15))</f>
        <v/>
      </c>
      <c r="V15" s="57">
        <f>IF(OR(S15="",T15=""),"",S15*T15)</f>
        <v/>
      </c>
      <c r="W15" s="58">
        <f>IF(OR(U15="",N(V15)=0),"",U15/V15)</f>
        <v/>
      </c>
      <c r="Y15" s="53" t="n">
        <v>12</v>
      </c>
      <c r="Z15" s="54" t="n">
        <v>46631</v>
      </c>
      <c r="AA15" s="59">
        <f>IF($C15="","",SUMPRODUCT(($E$21:$E$320&gt;=$Z$4)*($E$21:$E$320&lt;=EOMONTH($Z15,0)),$G$21:$G$320))</f>
        <v/>
      </c>
      <c r="AB15" s="56">
        <f>IF(N(AA15)=0,"",SUMPRODUCT(($E$21:$E$320&gt;=$Z$4)*($E$21:$E$320&lt;=EOMONTH($Z15,0)),$F$21:$F$320,$G$21:$G$320)/AA15)</f>
        <v/>
      </c>
      <c r="AC15" s="59">
        <f>IF($C15="","",SUMPRODUCT(($L$21:$L$320&gt;=$Z$4)*($L$21:$L$320&lt;=EOMONTH($Z15,0)),$N$21:$N$320))</f>
        <v/>
      </c>
      <c r="AD15" s="56">
        <f>IF(N(AC15)=0,"",SUMPRODUCT(($L$21:$L$320&gt;=$Z$4)*($L$21:$L$320&lt;=EOMONTH($Z15,0)),$M$21:$M$320,$N$21:$N$320)/AC15)</f>
        <v/>
      </c>
      <c r="AE15" s="56">
        <f>IF(N(AA15)+N(AC15)=0,"",(N(AB15)*N(AA15)+N(AD15)*N(AC15))/(N(AA15)+N(AC15)))</f>
        <v/>
      </c>
    </row>
    <row r="16" ht="18.75" customHeight="1">
      <c r="A16" s="60" t="n"/>
      <c r="B16" s="60" t="n"/>
      <c r="C16" s="60" t="n"/>
      <c r="D16" s="61" t="inlineStr">
        <is>
          <t>Total YTD</t>
        </is>
      </c>
      <c r="E16" s="62">
        <f>IF(COUNT(E4:E15)=0,"",SUM(E4:E15))</f>
        <v/>
      </c>
      <c r="F16" s="63">
        <f>SUMPRODUCT(--ISNUMBER(E4:E15),F4:F15)</f>
        <v/>
      </c>
      <c r="G16" s="64">
        <f>IF(COUNT(E4:E15)=0,"",IFERROR(E16/F16,""))</f>
        <v/>
      </c>
      <c r="I16" s="60" t="n"/>
      <c r="J16" s="60" t="n"/>
      <c r="K16" s="60" t="n"/>
      <c r="L16" s="61" t="inlineStr">
        <is>
          <t>Total YTD</t>
        </is>
      </c>
      <c r="M16" s="62">
        <f>IF(COUNT(M4:M15)=0,"",SUM(M4:M15))</f>
        <v/>
      </c>
      <c r="N16" s="63">
        <f>SUMPRODUCT(--ISNUMBER(M4:M15),N4:N15)</f>
        <v/>
      </c>
      <c r="O16" s="64">
        <f>IF(COUNT(M4:M15)=0,"",IFERROR(M16/N16,""))</f>
        <v/>
      </c>
      <c r="Q16" s="60" t="n"/>
      <c r="R16" s="60" t="n"/>
      <c r="S16" s="60" t="n"/>
      <c r="T16" s="61" t="inlineStr">
        <is>
          <t>Total YTD</t>
        </is>
      </c>
      <c r="U16" s="62">
        <f>IF(COUNT(U4:U15)=0,"",SUM(U4:U15))</f>
        <v/>
      </c>
      <c r="V16" s="63">
        <f>SUMPRODUCT(--ISNUMBER(U4:U15),V4:V15)</f>
        <v/>
      </c>
      <c r="W16" s="64">
        <f>IF(COUNT(U4:U15)=0,"",IFERROR(U16/V16,""))</f>
        <v/>
      </c>
      <c r="Y16" s="60" t="n"/>
      <c r="Z16" s="61" t="inlineStr">
        <is>
          <t>FY2027 YTD</t>
        </is>
      </c>
      <c r="AA16" s="65">
        <f>SUMPRODUCT(($E$21:$E$320&gt;=$Z$4)*($E$21:$E$320&lt;=EOMONTH($Z$15,0)),$G$21:$G$320)</f>
        <v/>
      </c>
      <c r="AB16" s="62">
        <f>IF(N(AA16)=0,"",SUMPRODUCT(($E$21:$E$320&gt;=$Z$4)*($E$21:$E$320&lt;=EOMONTH($Z$15,0)),$F$21:$F$320,$G$21:$G$320)/AA16)</f>
        <v/>
      </c>
      <c r="AC16" s="65">
        <f>SUMPRODUCT(($L$21:$L$320&gt;=$Z$4)*($L$21:$L$320&lt;=EOMONTH($Z$15,0)),$N$21:$N$320)</f>
        <v/>
      </c>
      <c r="AD16" s="62">
        <f>IF(N(AC16)=0,"",SUMPRODUCT(($L$21:$L$320&gt;=$Z$4)*($L$21:$L$320&lt;=EOMONTH($Z$15,0)),$M$21:$M$320,$N$21:$N$320)/AC16)</f>
        <v/>
      </c>
      <c r="AE16" s="62">
        <f>IF(N(AA16)+N(AC16)=0,"",(N(AB16)*N(AA16)+N(AD16)*N(AC16))/(N(AA16)+N(AC16)))</f>
        <v/>
      </c>
    </row>
    <row r="17">
      <c r="Y17" s="66" t="inlineStr">
        <is>
          <t>Only contracts signed within FY2027 (Oct-2026 to the month shown) are counted; weighted by posts filled.</t>
        </is>
      </c>
    </row>
    <row r="18" ht="24.75" customHeight="1">
      <c r="A18" s="40">
        <f>A1</f>
        <v/>
      </c>
      <c r="B18" s="41" t="n"/>
      <c r="C18" s="42" t="n"/>
      <c r="D18" s="40" t="inlineStr">
        <is>
          <t>TIME TO HIRE YTD (Days)</t>
        </is>
      </c>
      <c r="E18" s="44" t="n"/>
      <c r="F18" s="46">
        <f>AB16</f>
        <v/>
      </c>
      <c r="G18" s="44" t="n"/>
      <c r="H18" s="40">
        <f>A1</f>
        <v/>
      </c>
      <c r="I18" s="41" t="n"/>
      <c r="J18" s="42" t="n"/>
      <c r="K18" s="40" t="inlineStr">
        <is>
          <t>TIME TO HIRE YTD (Days)</t>
        </is>
      </c>
      <c r="L18" s="44" t="n"/>
      <c r="M18" s="46">
        <f>AD16</f>
        <v/>
      </c>
      <c r="N18" s="44" t="n"/>
    </row>
    <row r="19" ht="21.75" customHeight="1">
      <c r="A19" s="47" t="inlineStr">
        <is>
          <t>PERMANENT EE</t>
        </is>
      </c>
      <c r="B19" s="41" t="n"/>
      <c r="C19" s="42" t="n"/>
      <c r="D19" s="48" t="n"/>
      <c r="E19" s="50" t="n"/>
      <c r="F19" s="48" t="n"/>
      <c r="G19" s="50" t="n"/>
      <c r="H19" s="47" t="inlineStr">
        <is>
          <t>TEMPORARY EE</t>
        </is>
      </c>
      <c r="I19" s="41" t="n"/>
      <c r="J19" s="42" t="n"/>
      <c r="K19" s="48" t="n"/>
      <c r="L19" s="50" t="n"/>
      <c r="M19" s="48" t="n"/>
      <c r="N19" s="50" t="n"/>
    </row>
    <row r="20" ht="60" customHeight="1">
      <c r="A20" s="52" t="inlineStr">
        <is>
          <t>No.</t>
        </is>
      </c>
      <c r="B20" s="52" t="inlineStr">
        <is>
          <t>Job Title</t>
        </is>
      </c>
      <c r="C20" s="52" t="inlineStr">
        <is>
          <t>No. of Posts</t>
        </is>
      </c>
      <c r="D20" s="52" t="inlineStr">
        <is>
          <t>Job Opening Date (mm/dd/yyyy)</t>
        </is>
      </c>
      <c r="E20" s="52" t="inlineStr">
        <is>
          <t>Contract Signed Date (mm/dd/yyyy)</t>
        </is>
      </c>
      <c r="F20" s="52" t="inlineStr">
        <is>
          <t>Time to Hire by Position (Days)</t>
        </is>
      </c>
      <c r="G20" s="52" t="inlineStr">
        <is>
          <t>Posts Filled (auto)</t>
        </is>
      </c>
      <c r="H20" s="52" t="inlineStr">
        <is>
          <t>No.</t>
        </is>
      </c>
      <c r="I20" s="52" t="inlineStr">
        <is>
          <t>Job Title</t>
        </is>
      </c>
      <c r="J20" s="52" t="inlineStr">
        <is>
          <t>No. of Posts</t>
        </is>
      </c>
      <c r="K20" s="52" t="inlineStr">
        <is>
          <t>Job Opening Date (mm/dd/yyyy)</t>
        </is>
      </c>
      <c r="L20" s="52" t="inlineStr">
        <is>
          <t>Contract Signed Date (mm/dd/yyyy)</t>
        </is>
      </c>
      <c r="M20" s="52" t="inlineStr">
        <is>
          <t>Time to Hire by Position (Days)</t>
        </is>
      </c>
      <c r="N20" s="52" t="inlineStr">
        <is>
          <t>Posts Filled (auto)</t>
        </is>
      </c>
    </row>
    <row r="21">
      <c r="A21" s="53" t="n">
        <v>1</v>
      </c>
      <c r="B21" s="67" t="n"/>
      <c r="C21" s="55" t="n"/>
      <c r="D21" s="68" t="n"/>
      <c r="E21" s="68" t="n"/>
      <c r="F21" s="59">
        <f>IF(OR(E21="",D21=""),"",MAX(E21-D21,0))</f>
        <v/>
      </c>
      <c r="G21" s="59">
        <f>IF(F21="","",IF(N(C21)=0,1,C21))</f>
        <v/>
      </c>
      <c r="H21" s="53" t="n">
        <v>1</v>
      </c>
      <c r="I21" s="67" t="n"/>
      <c r="J21" s="55" t="n"/>
      <c r="K21" s="68" t="n"/>
      <c r="L21" s="68" t="n"/>
      <c r="M21" s="59">
        <f>IF(OR(L21="",K21=""),"",MAX(L21-K21,0))</f>
        <v/>
      </c>
      <c r="N21" s="59">
        <f>IF(M21="","",IF(N(J21)=0,1,J21))</f>
        <v/>
      </c>
    </row>
    <row r="22">
      <c r="A22" s="53" t="n">
        <v>2</v>
      </c>
      <c r="B22" s="67" t="n"/>
      <c r="C22" s="55" t="n"/>
      <c r="D22" s="68" t="n"/>
      <c r="E22" s="68" t="n"/>
      <c r="F22" s="59">
        <f>IF(OR(E22="",D22=""),"",MAX(E22-D22,0))</f>
        <v/>
      </c>
      <c r="G22" s="59">
        <f>IF(F22="","",IF(N(C22)=0,1,C22))</f>
        <v/>
      </c>
      <c r="H22" s="53" t="n">
        <v>2</v>
      </c>
      <c r="I22" s="67" t="n"/>
      <c r="J22" s="55" t="n"/>
      <c r="K22" s="68" t="n"/>
      <c r="L22" s="68" t="n"/>
      <c r="M22" s="59">
        <f>IF(OR(L22="",K22=""),"",MAX(L22-K22,0))</f>
        <v/>
      </c>
      <c r="N22" s="59">
        <f>IF(M22="","",IF(N(J22)=0,1,J22))</f>
        <v/>
      </c>
    </row>
    <row r="23">
      <c r="A23" s="53" t="n">
        <v>3</v>
      </c>
      <c r="B23" s="67" t="n"/>
      <c r="C23" s="55" t="n"/>
      <c r="D23" s="68" t="n"/>
      <c r="E23" s="68" t="n"/>
      <c r="F23" s="59">
        <f>IF(OR(E23="",D23=""),"",MAX(E23-D23,0))</f>
        <v/>
      </c>
      <c r="G23" s="59">
        <f>IF(F23="","",IF(N(C23)=0,1,C23))</f>
        <v/>
      </c>
      <c r="H23" s="53" t="n">
        <v>3</v>
      </c>
      <c r="I23" s="67" t="n"/>
      <c r="J23" s="55" t="n"/>
      <c r="K23" s="68" t="n"/>
      <c r="L23" s="68" t="n"/>
      <c r="M23" s="59">
        <f>IF(OR(L23="",K23=""),"",MAX(L23-K23,0))</f>
        <v/>
      </c>
      <c r="N23" s="59">
        <f>IF(M23="","",IF(N(J23)=0,1,J23))</f>
        <v/>
      </c>
    </row>
    <row r="24">
      <c r="A24" s="53" t="n">
        <v>4</v>
      </c>
      <c r="B24" s="67" t="n"/>
      <c r="C24" s="55" t="n"/>
      <c r="D24" s="68" t="n"/>
      <c r="E24" s="68" t="n"/>
      <c r="F24" s="59">
        <f>IF(OR(E24="",D24=""),"",MAX(E24-D24,0))</f>
        <v/>
      </c>
      <c r="G24" s="59">
        <f>IF(F24="","",IF(N(C24)=0,1,C24))</f>
        <v/>
      </c>
      <c r="H24" s="53" t="n">
        <v>4</v>
      </c>
      <c r="I24" s="67" t="n"/>
      <c r="J24" s="55" t="n"/>
      <c r="K24" s="68" t="n"/>
      <c r="L24" s="68" t="n"/>
      <c r="M24" s="59">
        <f>IF(OR(L24="",K24=""),"",MAX(L24-K24,0))</f>
        <v/>
      </c>
      <c r="N24" s="59">
        <f>IF(M24="","",IF(N(J24)=0,1,J24))</f>
        <v/>
      </c>
    </row>
    <row r="25">
      <c r="A25" s="53" t="n">
        <v>5</v>
      </c>
      <c r="B25" s="67" t="n"/>
      <c r="C25" s="55" t="n"/>
      <c r="D25" s="68" t="n"/>
      <c r="E25" s="68" t="n"/>
      <c r="F25" s="59">
        <f>IF(OR(E25="",D25=""),"",MAX(E25-D25,0))</f>
        <v/>
      </c>
      <c r="G25" s="59">
        <f>IF(F25="","",IF(N(C25)=0,1,C25))</f>
        <v/>
      </c>
      <c r="H25" s="53" t="n">
        <v>5</v>
      </c>
      <c r="I25" s="67" t="n"/>
      <c r="J25" s="55" t="n"/>
      <c r="K25" s="68" t="n"/>
      <c r="L25" s="68" t="n"/>
      <c r="M25" s="59">
        <f>IF(OR(L25="",K25=""),"",MAX(L25-K25,0))</f>
        <v/>
      </c>
      <c r="N25" s="59">
        <f>IF(M25="","",IF(N(J25)=0,1,J25))</f>
        <v/>
      </c>
    </row>
    <row r="26">
      <c r="A26" s="53" t="n">
        <v>6</v>
      </c>
      <c r="B26" s="67" t="n"/>
      <c r="C26" s="55" t="n"/>
      <c r="D26" s="68" t="n"/>
      <c r="E26" s="68" t="n"/>
      <c r="F26" s="59">
        <f>IF(OR(E26="",D26=""),"",MAX(E26-D26,0))</f>
        <v/>
      </c>
      <c r="G26" s="59">
        <f>IF(F26="","",IF(N(C26)=0,1,C26))</f>
        <v/>
      </c>
      <c r="H26" s="53" t="n">
        <v>6</v>
      </c>
      <c r="I26" s="67" t="n"/>
      <c r="J26" s="55" t="n"/>
      <c r="K26" s="68" t="n"/>
      <c r="L26" s="68" t="n"/>
      <c r="M26" s="59">
        <f>IF(OR(L26="",K26=""),"",MAX(L26-K26,0))</f>
        <v/>
      </c>
      <c r="N26" s="59">
        <f>IF(M26="","",IF(N(J26)=0,1,J26))</f>
        <v/>
      </c>
    </row>
    <row r="27">
      <c r="A27" s="53" t="n">
        <v>7</v>
      </c>
      <c r="B27" s="67" t="n"/>
      <c r="C27" s="55" t="n"/>
      <c r="D27" s="68" t="n"/>
      <c r="E27" s="68" t="n"/>
      <c r="F27" s="59">
        <f>IF(OR(E27="",D27=""),"",MAX(E27-D27,0))</f>
        <v/>
      </c>
      <c r="G27" s="59">
        <f>IF(F27="","",IF(N(C27)=0,1,C27))</f>
        <v/>
      </c>
      <c r="H27" s="53" t="n">
        <v>7</v>
      </c>
      <c r="I27" s="67" t="n"/>
      <c r="J27" s="55" t="n"/>
      <c r="K27" s="68" t="n"/>
      <c r="L27" s="68" t="n"/>
      <c r="M27" s="59">
        <f>IF(OR(L27="",K27=""),"",MAX(L27-K27,0))</f>
        <v/>
      </c>
      <c r="N27" s="59">
        <f>IF(M27="","",IF(N(J27)=0,1,J27))</f>
        <v/>
      </c>
    </row>
    <row r="28">
      <c r="A28" s="53" t="n">
        <v>8</v>
      </c>
      <c r="B28" s="67" t="n"/>
      <c r="C28" s="55" t="n"/>
      <c r="D28" s="68" t="n"/>
      <c r="E28" s="68" t="n"/>
      <c r="F28" s="59">
        <f>IF(OR(E28="",D28=""),"",MAX(E28-D28,0))</f>
        <v/>
      </c>
      <c r="G28" s="59">
        <f>IF(F28="","",IF(N(C28)=0,1,C28))</f>
        <v/>
      </c>
      <c r="H28" s="53" t="n">
        <v>8</v>
      </c>
      <c r="I28" s="67" t="n"/>
      <c r="J28" s="55" t="n"/>
      <c r="K28" s="68" t="n"/>
      <c r="L28" s="68" t="n"/>
      <c r="M28" s="59">
        <f>IF(OR(L28="",K28=""),"",MAX(L28-K28,0))</f>
        <v/>
      </c>
      <c r="N28" s="59">
        <f>IF(M28="","",IF(N(J28)=0,1,J28))</f>
        <v/>
      </c>
    </row>
    <row r="29">
      <c r="A29" s="53" t="n">
        <v>9</v>
      </c>
      <c r="B29" s="67" t="n"/>
      <c r="C29" s="55" t="n"/>
      <c r="D29" s="68" t="n"/>
      <c r="E29" s="68" t="n"/>
      <c r="F29" s="59">
        <f>IF(OR(E29="",D29=""),"",MAX(E29-D29,0))</f>
        <v/>
      </c>
      <c r="G29" s="59">
        <f>IF(F29="","",IF(N(C29)=0,1,C29))</f>
        <v/>
      </c>
      <c r="H29" s="53" t="n">
        <v>9</v>
      </c>
      <c r="I29" s="67" t="n"/>
      <c r="J29" s="55" t="n"/>
      <c r="K29" s="68" t="n"/>
      <c r="L29" s="68" t="n"/>
      <c r="M29" s="59">
        <f>IF(OR(L29="",K29=""),"",MAX(L29-K29,0))</f>
        <v/>
      </c>
      <c r="N29" s="59">
        <f>IF(M29="","",IF(N(J29)=0,1,J29))</f>
        <v/>
      </c>
    </row>
    <row r="30">
      <c r="A30" s="53" t="n">
        <v>10</v>
      </c>
      <c r="B30" s="67" t="n"/>
      <c r="C30" s="55" t="n"/>
      <c r="D30" s="68" t="n"/>
      <c r="E30" s="68" t="n"/>
      <c r="F30" s="59">
        <f>IF(OR(E30="",D30=""),"",MAX(E30-D30,0))</f>
        <v/>
      </c>
      <c r="G30" s="59">
        <f>IF(F30="","",IF(N(C30)=0,1,C30))</f>
        <v/>
      </c>
      <c r="H30" s="53" t="n">
        <v>10</v>
      </c>
      <c r="I30" s="67" t="n"/>
      <c r="J30" s="55" t="n"/>
      <c r="K30" s="68" t="n"/>
      <c r="L30" s="68" t="n"/>
      <c r="M30" s="59">
        <f>IF(OR(L30="",K30=""),"",MAX(L30-K30,0))</f>
        <v/>
      </c>
      <c r="N30" s="59">
        <f>IF(M30="","",IF(N(J30)=0,1,J30))</f>
        <v/>
      </c>
    </row>
    <row r="31">
      <c r="A31" s="53" t="n">
        <v>11</v>
      </c>
      <c r="B31" s="67" t="n"/>
      <c r="C31" s="55" t="n"/>
      <c r="D31" s="68" t="n"/>
      <c r="E31" s="68" t="n"/>
      <c r="F31" s="59">
        <f>IF(OR(E31="",D31=""),"",MAX(E31-D31,0))</f>
        <v/>
      </c>
      <c r="G31" s="59">
        <f>IF(F31="","",IF(N(C31)=0,1,C31))</f>
        <v/>
      </c>
      <c r="H31" s="53" t="n">
        <v>11</v>
      </c>
      <c r="I31" s="67" t="n"/>
      <c r="J31" s="55" t="n"/>
      <c r="K31" s="68" t="n"/>
      <c r="L31" s="68" t="n"/>
      <c r="M31" s="59">
        <f>IF(OR(L31="",K31=""),"",MAX(L31-K31,0))</f>
        <v/>
      </c>
      <c r="N31" s="59">
        <f>IF(M31="","",IF(N(J31)=0,1,J31))</f>
        <v/>
      </c>
    </row>
    <row r="32">
      <c r="A32" s="53" t="n">
        <v>12</v>
      </c>
      <c r="B32" s="67" t="n"/>
      <c r="C32" s="55" t="n"/>
      <c r="D32" s="68" t="n"/>
      <c r="E32" s="68" t="n"/>
      <c r="F32" s="59">
        <f>IF(OR(E32="",D32=""),"",MAX(E32-D32,0))</f>
        <v/>
      </c>
      <c r="G32" s="59">
        <f>IF(F32="","",IF(N(C32)=0,1,C32))</f>
        <v/>
      </c>
      <c r="H32" s="53" t="n">
        <v>12</v>
      </c>
      <c r="I32" s="67" t="n"/>
      <c r="J32" s="55" t="n"/>
      <c r="K32" s="68" t="n"/>
      <c r="L32" s="68" t="n"/>
      <c r="M32" s="59">
        <f>IF(OR(L32="",K32=""),"",MAX(L32-K32,0))</f>
        <v/>
      </c>
      <c r="N32" s="59">
        <f>IF(M32="","",IF(N(J32)=0,1,J32))</f>
        <v/>
      </c>
    </row>
    <row r="33">
      <c r="A33" s="53" t="n">
        <v>13</v>
      </c>
      <c r="B33" s="67" t="n"/>
      <c r="C33" s="55" t="n"/>
      <c r="D33" s="68" t="n"/>
      <c r="E33" s="68" t="n"/>
      <c r="F33" s="59">
        <f>IF(OR(E33="",D33=""),"",MAX(E33-D33,0))</f>
        <v/>
      </c>
      <c r="G33" s="59">
        <f>IF(F33="","",IF(N(C33)=0,1,C33))</f>
        <v/>
      </c>
      <c r="H33" s="53" t="n">
        <v>13</v>
      </c>
      <c r="I33" s="67" t="n"/>
      <c r="J33" s="55" t="n"/>
      <c r="K33" s="68" t="n"/>
      <c r="L33" s="68" t="n"/>
      <c r="M33" s="59">
        <f>IF(OR(L33="",K33=""),"",MAX(L33-K33,0))</f>
        <v/>
      </c>
      <c r="N33" s="59">
        <f>IF(M33="","",IF(N(J33)=0,1,J33))</f>
        <v/>
      </c>
    </row>
    <row r="34">
      <c r="A34" s="53" t="n">
        <v>14</v>
      </c>
      <c r="B34" s="67" t="n"/>
      <c r="C34" s="55" t="n"/>
      <c r="D34" s="68" t="n"/>
      <c r="E34" s="68" t="n"/>
      <c r="F34" s="59">
        <f>IF(OR(E34="",D34=""),"",MAX(E34-D34,0))</f>
        <v/>
      </c>
      <c r="G34" s="59">
        <f>IF(F34="","",IF(N(C34)=0,1,C34))</f>
        <v/>
      </c>
      <c r="H34" s="53" t="n">
        <v>14</v>
      </c>
      <c r="I34" s="67" t="n"/>
      <c r="J34" s="55" t="n"/>
      <c r="K34" s="68" t="n"/>
      <c r="L34" s="68" t="n"/>
      <c r="M34" s="59">
        <f>IF(OR(L34="",K34=""),"",MAX(L34-K34,0))</f>
        <v/>
      </c>
      <c r="N34" s="59">
        <f>IF(M34="","",IF(N(J34)=0,1,J34))</f>
        <v/>
      </c>
    </row>
    <row r="35">
      <c r="A35" s="53" t="n">
        <v>15</v>
      </c>
      <c r="B35" s="67" t="n"/>
      <c r="C35" s="55" t="n"/>
      <c r="D35" s="68" t="n"/>
      <c r="E35" s="68" t="n"/>
      <c r="F35" s="59">
        <f>IF(OR(E35="",D35=""),"",MAX(E35-D35,0))</f>
        <v/>
      </c>
      <c r="G35" s="59">
        <f>IF(F35="","",IF(N(C35)=0,1,C35))</f>
        <v/>
      </c>
      <c r="H35" s="53" t="n">
        <v>15</v>
      </c>
      <c r="I35" s="67" t="n"/>
      <c r="J35" s="55" t="n"/>
      <c r="K35" s="68" t="n"/>
      <c r="L35" s="68" t="n"/>
      <c r="M35" s="59">
        <f>IF(OR(L35="",K35=""),"",MAX(L35-K35,0))</f>
        <v/>
      </c>
      <c r="N35" s="59">
        <f>IF(M35="","",IF(N(J35)=0,1,J35))</f>
        <v/>
      </c>
    </row>
    <row r="36">
      <c r="A36" s="53" t="n">
        <v>16</v>
      </c>
      <c r="B36" s="67" t="n"/>
      <c r="C36" s="55" t="n"/>
      <c r="D36" s="68" t="n"/>
      <c r="E36" s="68" t="n"/>
      <c r="F36" s="59">
        <f>IF(OR(E36="",D36=""),"",MAX(E36-D36,0))</f>
        <v/>
      </c>
      <c r="G36" s="59">
        <f>IF(F36="","",IF(N(C36)=0,1,C36))</f>
        <v/>
      </c>
      <c r="H36" s="53" t="n">
        <v>16</v>
      </c>
      <c r="I36" s="67" t="n"/>
      <c r="J36" s="55" t="n"/>
      <c r="K36" s="68" t="n"/>
      <c r="L36" s="68" t="n"/>
      <c r="M36" s="59">
        <f>IF(OR(L36="",K36=""),"",MAX(L36-K36,0))</f>
        <v/>
      </c>
      <c r="N36" s="59">
        <f>IF(M36="","",IF(N(J36)=0,1,J36))</f>
        <v/>
      </c>
    </row>
    <row r="37">
      <c r="A37" s="53" t="n">
        <v>17</v>
      </c>
      <c r="B37" s="67" t="n"/>
      <c r="C37" s="55" t="n"/>
      <c r="D37" s="68" t="n"/>
      <c r="E37" s="68" t="n"/>
      <c r="F37" s="59">
        <f>IF(OR(E37="",D37=""),"",MAX(E37-D37,0))</f>
        <v/>
      </c>
      <c r="G37" s="59">
        <f>IF(F37="","",IF(N(C37)=0,1,C37))</f>
        <v/>
      </c>
      <c r="H37" s="53" t="n">
        <v>17</v>
      </c>
      <c r="I37" s="67" t="n"/>
      <c r="J37" s="55" t="n"/>
      <c r="K37" s="68" t="n"/>
      <c r="L37" s="68" t="n"/>
      <c r="M37" s="59">
        <f>IF(OR(L37="",K37=""),"",MAX(L37-K37,0))</f>
        <v/>
      </c>
      <c r="N37" s="59">
        <f>IF(M37="","",IF(N(J37)=0,1,J37))</f>
        <v/>
      </c>
    </row>
    <row r="38">
      <c r="A38" s="53" t="n">
        <v>18</v>
      </c>
      <c r="B38" s="67" t="n"/>
      <c r="C38" s="55" t="n"/>
      <c r="D38" s="68" t="n"/>
      <c r="E38" s="68" t="n"/>
      <c r="F38" s="59">
        <f>IF(OR(E38="",D38=""),"",MAX(E38-D38,0))</f>
        <v/>
      </c>
      <c r="G38" s="59">
        <f>IF(F38="","",IF(N(C38)=0,1,C38))</f>
        <v/>
      </c>
      <c r="H38" s="53" t="n">
        <v>18</v>
      </c>
      <c r="I38" s="67" t="n"/>
      <c r="J38" s="55" t="n"/>
      <c r="K38" s="68" t="n"/>
      <c r="L38" s="68" t="n"/>
      <c r="M38" s="59">
        <f>IF(OR(L38="",K38=""),"",MAX(L38-K38,0))</f>
        <v/>
      </c>
      <c r="N38" s="59">
        <f>IF(M38="","",IF(N(J38)=0,1,J38))</f>
        <v/>
      </c>
    </row>
    <row r="39">
      <c r="A39" s="53" t="n">
        <v>19</v>
      </c>
      <c r="B39" s="67" t="n"/>
      <c r="C39" s="55" t="n"/>
      <c r="D39" s="68" t="n"/>
      <c r="E39" s="68" t="n"/>
      <c r="F39" s="59">
        <f>IF(OR(E39="",D39=""),"",MAX(E39-D39,0))</f>
        <v/>
      </c>
      <c r="G39" s="59">
        <f>IF(F39="","",IF(N(C39)=0,1,C39))</f>
        <v/>
      </c>
      <c r="H39" s="53" t="n">
        <v>19</v>
      </c>
      <c r="I39" s="67" t="n"/>
      <c r="J39" s="55" t="n"/>
      <c r="K39" s="68" t="n"/>
      <c r="L39" s="68" t="n"/>
      <c r="M39" s="59">
        <f>IF(OR(L39="",K39=""),"",MAX(L39-K39,0))</f>
        <v/>
      </c>
      <c r="N39" s="59">
        <f>IF(M39="","",IF(N(J39)=0,1,J39))</f>
        <v/>
      </c>
    </row>
    <row r="40">
      <c r="A40" s="53" t="n">
        <v>20</v>
      </c>
      <c r="B40" s="67" t="n"/>
      <c r="C40" s="55" t="n"/>
      <c r="D40" s="68" t="n"/>
      <c r="E40" s="68" t="n"/>
      <c r="F40" s="59">
        <f>IF(OR(E40="",D40=""),"",MAX(E40-D40,0))</f>
        <v/>
      </c>
      <c r="G40" s="59">
        <f>IF(F40="","",IF(N(C40)=0,1,C40))</f>
        <v/>
      </c>
      <c r="H40" s="53" t="n">
        <v>20</v>
      </c>
      <c r="I40" s="67" t="n"/>
      <c r="J40" s="55" t="n"/>
      <c r="K40" s="68" t="n"/>
      <c r="L40" s="68" t="n"/>
      <c r="M40" s="59">
        <f>IF(OR(L40="",K40=""),"",MAX(L40-K40,0))</f>
        <v/>
      </c>
      <c r="N40" s="59">
        <f>IF(M40="","",IF(N(J40)=0,1,J40))</f>
        <v/>
      </c>
    </row>
    <row r="41">
      <c r="A41" s="53" t="n">
        <v>21</v>
      </c>
      <c r="B41" s="67" t="n"/>
      <c r="C41" s="55" t="n"/>
      <c r="D41" s="68" t="n"/>
      <c r="E41" s="68" t="n"/>
      <c r="F41" s="59">
        <f>IF(OR(E41="",D41=""),"",MAX(E41-D41,0))</f>
        <v/>
      </c>
      <c r="G41" s="59">
        <f>IF(F41="","",IF(N(C41)=0,1,C41))</f>
        <v/>
      </c>
      <c r="H41" s="53" t="n">
        <v>21</v>
      </c>
      <c r="I41" s="67" t="n"/>
      <c r="J41" s="55" t="n"/>
      <c r="K41" s="68" t="n"/>
      <c r="L41" s="68" t="n"/>
      <c r="M41" s="59">
        <f>IF(OR(L41="",K41=""),"",MAX(L41-K41,0))</f>
        <v/>
      </c>
      <c r="N41" s="59">
        <f>IF(M41="","",IF(N(J41)=0,1,J41))</f>
        <v/>
      </c>
    </row>
    <row r="42">
      <c r="A42" s="53" t="n">
        <v>22</v>
      </c>
      <c r="B42" s="67" t="n"/>
      <c r="C42" s="55" t="n"/>
      <c r="D42" s="68" t="n"/>
      <c r="E42" s="68" t="n"/>
      <c r="F42" s="59">
        <f>IF(OR(E42="",D42=""),"",MAX(E42-D42,0))</f>
        <v/>
      </c>
      <c r="G42" s="59">
        <f>IF(F42="","",IF(N(C42)=0,1,C42))</f>
        <v/>
      </c>
      <c r="H42" s="53" t="n">
        <v>22</v>
      </c>
      <c r="I42" s="67" t="n"/>
      <c r="J42" s="55" t="n"/>
      <c r="K42" s="68" t="n"/>
      <c r="L42" s="68" t="n"/>
      <c r="M42" s="59">
        <f>IF(OR(L42="",K42=""),"",MAX(L42-K42,0))</f>
        <v/>
      </c>
      <c r="N42" s="59">
        <f>IF(M42="","",IF(N(J42)=0,1,J42))</f>
        <v/>
      </c>
    </row>
    <row r="43">
      <c r="A43" s="53" t="n">
        <v>23</v>
      </c>
      <c r="B43" s="67" t="n"/>
      <c r="C43" s="55" t="n"/>
      <c r="D43" s="68" t="n"/>
      <c r="E43" s="68" t="n"/>
      <c r="F43" s="59">
        <f>IF(OR(E43="",D43=""),"",MAX(E43-D43,0))</f>
        <v/>
      </c>
      <c r="G43" s="59">
        <f>IF(F43="","",IF(N(C43)=0,1,C43))</f>
        <v/>
      </c>
      <c r="H43" s="53" t="n">
        <v>23</v>
      </c>
      <c r="I43" s="67" t="n"/>
      <c r="J43" s="55" t="n"/>
      <c r="K43" s="68" t="n"/>
      <c r="L43" s="68" t="n"/>
      <c r="M43" s="59">
        <f>IF(OR(L43="",K43=""),"",MAX(L43-K43,0))</f>
        <v/>
      </c>
      <c r="N43" s="59">
        <f>IF(M43="","",IF(N(J43)=0,1,J43))</f>
        <v/>
      </c>
    </row>
    <row r="44">
      <c r="A44" s="53" t="n">
        <v>24</v>
      </c>
      <c r="B44" s="67" t="n"/>
      <c r="C44" s="55" t="n"/>
      <c r="D44" s="68" t="n"/>
      <c r="E44" s="68" t="n"/>
      <c r="F44" s="59">
        <f>IF(OR(E44="",D44=""),"",MAX(E44-D44,0))</f>
        <v/>
      </c>
      <c r="G44" s="59">
        <f>IF(F44="","",IF(N(C44)=0,1,C44))</f>
        <v/>
      </c>
      <c r="H44" s="53" t="n">
        <v>24</v>
      </c>
      <c r="I44" s="67" t="n"/>
      <c r="J44" s="55" t="n"/>
      <c r="K44" s="68" t="n"/>
      <c r="L44" s="68" t="n"/>
      <c r="M44" s="59">
        <f>IF(OR(L44="",K44=""),"",MAX(L44-K44,0))</f>
        <v/>
      </c>
      <c r="N44" s="59">
        <f>IF(M44="","",IF(N(J44)=0,1,J44))</f>
        <v/>
      </c>
    </row>
    <row r="45">
      <c r="A45" s="53" t="n">
        <v>25</v>
      </c>
      <c r="B45" s="67" t="n"/>
      <c r="C45" s="55" t="n"/>
      <c r="D45" s="68" t="n"/>
      <c r="E45" s="68" t="n"/>
      <c r="F45" s="59">
        <f>IF(OR(E45="",D45=""),"",MAX(E45-D45,0))</f>
        <v/>
      </c>
      <c r="G45" s="59">
        <f>IF(F45="","",IF(N(C45)=0,1,C45))</f>
        <v/>
      </c>
      <c r="H45" s="53" t="n">
        <v>25</v>
      </c>
      <c r="I45" s="67" t="n"/>
      <c r="J45" s="55" t="n"/>
      <c r="K45" s="68" t="n"/>
      <c r="L45" s="68" t="n"/>
      <c r="M45" s="59">
        <f>IF(OR(L45="",K45=""),"",MAX(L45-K45,0))</f>
        <v/>
      </c>
      <c r="N45" s="59">
        <f>IF(M45="","",IF(N(J45)=0,1,J45))</f>
        <v/>
      </c>
    </row>
    <row r="46">
      <c r="A46" s="53" t="n">
        <v>26</v>
      </c>
      <c r="B46" s="67" t="n"/>
      <c r="C46" s="55" t="n"/>
      <c r="D46" s="68" t="n"/>
      <c r="E46" s="68" t="n"/>
      <c r="F46" s="59">
        <f>IF(OR(E46="",D46=""),"",MAX(E46-D46,0))</f>
        <v/>
      </c>
      <c r="G46" s="59">
        <f>IF(F46="","",IF(N(C46)=0,1,C46))</f>
        <v/>
      </c>
      <c r="H46" s="53" t="n">
        <v>26</v>
      </c>
      <c r="I46" s="67" t="n"/>
      <c r="J46" s="55" t="n"/>
      <c r="K46" s="68" t="n"/>
      <c r="L46" s="68" t="n"/>
      <c r="M46" s="59">
        <f>IF(OR(L46="",K46=""),"",MAX(L46-K46,0))</f>
        <v/>
      </c>
      <c r="N46" s="59">
        <f>IF(M46="","",IF(N(J46)=0,1,J46))</f>
        <v/>
      </c>
    </row>
    <row r="47">
      <c r="A47" s="53" t="n">
        <v>27</v>
      </c>
      <c r="B47" s="67" t="n"/>
      <c r="C47" s="55" t="n"/>
      <c r="D47" s="68" t="n"/>
      <c r="E47" s="68" t="n"/>
      <c r="F47" s="59">
        <f>IF(OR(E47="",D47=""),"",MAX(E47-D47,0))</f>
        <v/>
      </c>
      <c r="G47" s="59">
        <f>IF(F47="","",IF(N(C47)=0,1,C47))</f>
        <v/>
      </c>
      <c r="H47" s="53" t="n">
        <v>27</v>
      </c>
      <c r="I47" s="67" t="n"/>
      <c r="J47" s="55" t="n"/>
      <c r="K47" s="68" t="n"/>
      <c r="L47" s="68" t="n"/>
      <c r="M47" s="59">
        <f>IF(OR(L47="",K47=""),"",MAX(L47-K47,0))</f>
        <v/>
      </c>
      <c r="N47" s="59">
        <f>IF(M47="","",IF(N(J47)=0,1,J47))</f>
        <v/>
      </c>
    </row>
    <row r="48">
      <c r="A48" s="53" t="n">
        <v>28</v>
      </c>
      <c r="B48" s="67" t="n"/>
      <c r="C48" s="55" t="n"/>
      <c r="D48" s="68" t="n"/>
      <c r="E48" s="68" t="n"/>
      <c r="F48" s="59">
        <f>IF(OR(E48="",D48=""),"",MAX(E48-D48,0))</f>
        <v/>
      </c>
      <c r="G48" s="59">
        <f>IF(F48="","",IF(N(C48)=0,1,C48))</f>
        <v/>
      </c>
      <c r="H48" s="53" t="n">
        <v>28</v>
      </c>
      <c r="I48" s="67" t="n"/>
      <c r="J48" s="55" t="n"/>
      <c r="K48" s="68" t="n"/>
      <c r="L48" s="68" t="n"/>
      <c r="M48" s="59">
        <f>IF(OR(L48="",K48=""),"",MAX(L48-K48,0))</f>
        <v/>
      </c>
      <c r="N48" s="59">
        <f>IF(M48="","",IF(N(J48)=0,1,J48))</f>
        <v/>
      </c>
    </row>
    <row r="49">
      <c r="A49" s="53" t="n">
        <v>29</v>
      </c>
      <c r="B49" s="67" t="n"/>
      <c r="C49" s="55" t="n"/>
      <c r="D49" s="68" t="n"/>
      <c r="E49" s="68" t="n"/>
      <c r="F49" s="59">
        <f>IF(OR(E49="",D49=""),"",MAX(E49-D49,0))</f>
        <v/>
      </c>
      <c r="G49" s="59">
        <f>IF(F49="","",IF(N(C49)=0,1,C49))</f>
        <v/>
      </c>
      <c r="H49" s="53" t="n">
        <v>29</v>
      </c>
      <c r="I49" s="67" t="n"/>
      <c r="J49" s="55" t="n"/>
      <c r="K49" s="68" t="n"/>
      <c r="L49" s="68" t="n"/>
      <c r="M49" s="59">
        <f>IF(OR(L49="",K49=""),"",MAX(L49-K49,0))</f>
        <v/>
      </c>
      <c r="N49" s="59">
        <f>IF(M49="","",IF(N(J49)=0,1,J49))</f>
        <v/>
      </c>
    </row>
    <row r="50">
      <c r="A50" s="53" t="n">
        <v>30</v>
      </c>
      <c r="B50" s="67" t="n"/>
      <c r="C50" s="55" t="n"/>
      <c r="D50" s="68" t="n"/>
      <c r="E50" s="68" t="n"/>
      <c r="F50" s="59">
        <f>IF(OR(E50="",D50=""),"",MAX(E50-D50,0))</f>
        <v/>
      </c>
      <c r="G50" s="59">
        <f>IF(F50="","",IF(N(C50)=0,1,C50))</f>
        <v/>
      </c>
      <c r="H50" s="53" t="n">
        <v>30</v>
      </c>
      <c r="I50" s="67" t="n"/>
      <c r="J50" s="55" t="n"/>
      <c r="K50" s="68" t="n"/>
      <c r="L50" s="68" t="n"/>
      <c r="M50" s="59">
        <f>IF(OR(L50="",K50=""),"",MAX(L50-K50,0))</f>
        <v/>
      </c>
      <c r="N50" s="59">
        <f>IF(M50="","",IF(N(J50)=0,1,J50))</f>
        <v/>
      </c>
    </row>
    <row r="51">
      <c r="A51" s="53" t="n">
        <v>31</v>
      </c>
      <c r="B51" s="67" t="n"/>
      <c r="C51" s="55" t="n"/>
      <c r="D51" s="68" t="n"/>
      <c r="E51" s="68" t="n"/>
      <c r="F51" s="59">
        <f>IF(OR(E51="",D51=""),"",MAX(E51-D51,0))</f>
        <v/>
      </c>
      <c r="G51" s="59">
        <f>IF(F51="","",IF(N(C51)=0,1,C51))</f>
        <v/>
      </c>
      <c r="H51" s="53" t="n">
        <v>31</v>
      </c>
      <c r="I51" s="67" t="n"/>
      <c r="J51" s="55" t="n"/>
      <c r="K51" s="68" t="n"/>
      <c r="L51" s="68" t="n"/>
      <c r="M51" s="59">
        <f>IF(OR(L51="",K51=""),"",MAX(L51-K51,0))</f>
        <v/>
      </c>
      <c r="N51" s="59">
        <f>IF(M51="","",IF(N(J51)=0,1,J51))</f>
        <v/>
      </c>
    </row>
    <row r="52">
      <c r="A52" s="53" t="n">
        <v>32</v>
      </c>
      <c r="B52" s="67" t="n"/>
      <c r="C52" s="55" t="n"/>
      <c r="D52" s="68" t="n"/>
      <c r="E52" s="68" t="n"/>
      <c r="F52" s="59">
        <f>IF(OR(E52="",D52=""),"",MAX(E52-D52,0))</f>
        <v/>
      </c>
      <c r="G52" s="59">
        <f>IF(F52="","",IF(N(C52)=0,1,C52))</f>
        <v/>
      </c>
      <c r="H52" s="53" t="n">
        <v>32</v>
      </c>
      <c r="I52" s="67" t="n"/>
      <c r="J52" s="55" t="n"/>
      <c r="K52" s="68" t="n"/>
      <c r="L52" s="68" t="n"/>
      <c r="M52" s="59">
        <f>IF(OR(L52="",K52=""),"",MAX(L52-K52,0))</f>
        <v/>
      </c>
      <c r="N52" s="59">
        <f>IF(M52="","",IF(N(J52)=0,1,J52))</f>
        <v/>
      </c>
    </row>
    <row r="53">
      <c r="A53" s="53" t="n">
        <v>33</v>
      </c>
      <c r="B53" s="67" t="n"/>
      <c r="C53" s="55" t="n"/>
      <c r="D53" s="68" t="n"/>
      <c r="E53" s="68" t="n"/>
      <c r="F53" s="59">
        <f>IF(OR(E53="",D53=""),"",MAX(E53-D53,0))</f>
        <v/>
      </c>
      <c r="G53" s="59">
        <f>IF(F53="","",IF(N(C53)=0,1,C53))</f>
        <v/>
      </c>
      <c r="H53" s="53" t="n">
        <v>33</v>
      </c>
      <c r="I53" s="67" t="n"/>
      <c r="J53" s="55" t="n"/>
      <c r="K53" s="68" t="n"/>
      <c r="L53" s="68" t="n"/>
      <c r="M53" s="59">
        <f>IF(OR(L53="",K53=""),"",MAX(L53-K53,0))</f>
        <v/>
      </c>
      <c r="N53" s="59">
        <f>IF(M53="","",IF(N(J53)=0,1,J53))</f>
        <v/>
      </c>
    </row>
    <row r="54">
      <c r="A54" s="53" t="n">
        <v>34</v>
      </c>
      <c r="B54" s="67" t="n"/>
      <c r="C54" s="55" t="n"/>
      <c r="D54" s="68" t="n"/>
      <c r="E54" s="68" t="n"/>
      <c r="F54" s="59">
        <f>IF(OR(E54="",D54=""),"",MAX(E54-D54,0))</f>
        <v/>
      </c>
      <c r="G54" s="59">
        <f>IF(F54="","",IF(N(C54)=0,1,C54))</f>
        <v/>
      </c>
      <c r="H54" s="53" t="n">
        <v>34</v>
      </c>
      <c r="I54" s="67" t="n"/>
      <c r="J54" s="55" t="n"/>
      <c r="K54" s="68" t="n"/>
      <c r="L54" s="68" t="n"/>
      <c r="M54" s="59">
        <f>IF(OR(L54="",K54=""),"",MAX(L54-K54,0))</f>
        <v/>
      </c>
      <c r="N54" s="59">
        <f>IF(M54="","",IF(N(J54)=0,1,J54))</f>
        <v/>
      </c>
    </row>
    <row r="55">
      <c r="A55" s="53" t="n">
        <v>35</v>
      </c>
      <c r="B55" s="67" t="n"/>
      <c r="C55" s="55" t="n"/>
      <c r="D55" s="68" t="n"/>
      <c r="E55" s="68" t="n"/>
      <c r="F55" s="59">
        <f>IF(OR(E55="",D55=""),"",MAX(E55-D55,0))</f>
        <v/>
      </c>
      <c r="G55" s="59">
        <f>IF(F55="","",IF(N(C55)=0,1,C55))</f>
        <v/>
      </c>
      <c r="H55" s="53" t="n">
        <v>35</v>
      </c>
      <c r="I55" s="67" t="n"/>
      <c r="J55" s="55" t="n"/>
      <c r="K55" s="68" t="n"/>
      <c r="L55" s="68" t="n"/>
      <c r="M55" s="59">
        <f>IF(OR(L55="",K55=""),"",MAX(L55-K55,0))</f>
        <v/>
      </c>
      <c r="N55" s="59">
        <f>IF(M55="","",IF(N(J55)=0,1,J55))</f>
        <v/>
      </c>
    </row>
    <row r="56">
      <c r="A56" s="53" t="n">
        <v>36</v>
      </c>
      <c r="B56" s="67" t="n"/>
      <c r="C56" s="55" t="n"/>
      <c r="D56" s="68" t="n"/>
      <c r="E56" s="68" t="n"/>
      <c r="F56" s="59">
        <f>IF(OR(E56="",D56=""),"",MAX(E56-D56,0))</f>
        <v/>
      </c>
      <c r="G56" s="59">
        <f>IF(F56="","",IF(N(C56)=0,1,C56))</f>
        <v/>
      </c>
      <c r="H56" s="53" t="n">
        <v>36</v>
      </c>
      <c r="I56" s="67" t="n"/>
      <c r="J56" s="55" t="n"/>
      <c r="K56" s="68" t="n"/>
      <c r="L56" s="68" t="n"/>
      <c r="M56" s="59">
        <f>IF(OR(L56="",K56=""),"",MAX(L56-K56,0))</f>
        <v/>
      </c>
      <c r="N56" s="59">
        <f>IF(M56="","",IF(N(J56)=0,1,J56))</f>
        <v/>
      </c>
    </row>
    <row r="57">
      <c r="A57" s="53" t="n">
        <v>37</v>
      </c>
      <c r="B57" s="67" t="n"/>
      <c r="C57" s="55" t="n"/>
      <c r="D57" s="68" t="n"/>
      <c r="E57" s="68" t="n"/>
      <c r="F57" s="59">
        <f>IF(OR(E57="",D57=""),"",MAX(E57-D57,0))</f>
        <v/>
      </c>
      <c r="G57" s="59">
        <f>IF(F57="","",IF(N(C57)=0,1,C57))</f>
        <v/>
      </c>
      <c r="H57" s="53" t="n">
        <v>37</v>
      </c>
      <c r="I57" s="67" t="n"/>
      <c r="J57" s="55" t="n"/>
      <c r="K57" s="68" t="n"/>
      <c r="L57" s="68" t="n"/>
      <c r="M57" s="59">
        <f>IF(OR(L57="",K57=""),"",MAX(L57-K57,0))</f>
        <v/>
      </c>
      <c r="N57" s="59">
        <f>IF(M57="","",IF(N(J57)=0,1,J57))</f>
        <v/>
      </c>
    </row>
    <row r="58">
      <c r="A58" s="53" t="n">
        <v>38</v>
      </c>
      <c r="B58" s="67" t="n"/>
      <c r="C58" s="55" t="n"/>
      <c r="D58" s="68" t="n"/>
      <c r="E58" s="68" t="n"/>
      <c r="F58" s="59">
        <f>IF(OR(E58="",D58=""),"",MAX(E58-D58,0))</f>
        <v/>
      </c>
      <c r="G58" s="59">
        <f>IF(F58="","",IF(N(C58)=0,1,C58))</f>
        <v/>
      </c>
      <c r="H58" s="53" t="n">
        <v>38</v>
      </c>
      <c r="I58" s="67" t="n"/>
      <c r="J58" s="55" t="n"/>
      <c r="K58" s="68" t="n"/>
      <c r="L58" s="68" t="n"/>
      <c r="M58" s="59">
        <f>IF(OR(L58="",K58=""),"",MAX(L58-K58,0))</f>
        <v/>
      </c>
      <c r="N58" s="59">
        <f>IF(M58="","",IF(N(J58)=0,1,J58))</f>
        <v/>
      </c>
    </row>
    <row r="59">
      <c r="A59" s="53" t="n">
        <v>39</v>
      </c>
      <c r="B59" s="67" t="n"/>
      <c r="C59" s="55" t="n"/>
      <c r="D59" s="68" t="n"/>
      <c r="E59" s="68" t="n"/>
      <c r="F59" s="59">
        <f>IF(OR(E59="",D59=""),"",MAX(E59-D59,0))</f>
        <v/>
      </c>
      <c r="G59" s="59">
        <f>IF(F59="","",IF(N(C59)=0,1,C59))</f>
        <v/>
      </c>
      <c r="H59" s="53" t="n">
        <v>39</v>
      </c>
      <c r="I59" s="67" t="n"/>
      <c r="J59" s="55" t="n"/>
      <c r="K59" s="68" t="n"/>
      <c r="L59" s="68" t="n"/>
      <c r="M59" s="59">
        <f>IF(OR(L59="",K59=""),"",MAX(L59-K59,0))</f>
        <v/>
      </c>
      <c r="N59" s="59">
        <f>IF(M59="","",IF(N(J59)=0,1,J59))</f>
        <v/>
      </c>
    </row>
    <row r="60">
      <c r="A60" s="53" t="n">
        <v>40</v>
      </c>
      <c r="B60" s="67" t="n"/>
      <c r="C60" s="55" t="n"/>
      <c r="D60" s="68" t="n"/>
      <c r="E60" s="68" t="n"/>
      <c r="F60" s="59">
        <f>IF(OR(E60="",D60=""),"",MAX(E60-D60,0))</f>
        <v/>
      </c>
      <c r="G60" s="59">
        <f>IF(F60="","",IF(N(C60)=0,1,C60))</f>
        <v/>
      </c>
      <c r="H60" s="53" t="n">
        <v>40</v>
      </c>
      <c r="I60" s="67" t="n"/>
      <c r="J60" s="55" t="n"/>
      <c r="K60" s="68" t="n"/>
      <c r="L60" s="68" t="n"/>
      <c r="M60" s="59">
        <f>IF(OR(L60="",K60=""),"",MAX(L60-K60,0))</f>
        <v/>
      </c>
      <c r="N60" s="59">
        <f>IF(M60="","",IF(N(J60)=0,1,J60))</f>
        <v/>
      </c>
    </row>
    <row r="61">
      <c r="A61" s="53" t="n">
        <v>41</v>
      </c>
      <c r="B61" s="67" t="n"/>
      <c r="C61" s="55" t="n"/>
      <c r="D61" s="68" t="n"/>
      <c r="E61" s="68" t="n"/>
      <c r="F61" s="59">
        <f>IF(OR(E61="",D61=""),"",MAX(E61-D61,0))</f>
        <v/>
      </c>
      <c r="G61" s="59">
        <f>IF(F61="","",IF(N(C61)=0,1,C61))</f>
        <v/>
      </c>
      <c r="H61" s="53" t="n">
        <v>41</v>
      </c>
      <c r="I61" s="67" t="n"/>
      <c r="J61" s="55" t="n"/>
      <c r="K61" s="68" t="n"/>
      <c r="L61" s="68" t="n"/>
      <c r="M61" s="59">
        <f>IF(OR(L61="",K61=""),"",MAX(L61-K61,0))</f>
        <v/>
      </c>
      <c r="N61" s="59">
        <f>IF(M61="","",IF(N(J61)=0,1,J61))</f>
        <v/>
      </c>
    </row>
    <row r="62">
      <c r="A62" s="53" t="n">
        <v>42</v>
      </c>
      <c r="B62" s="67" t="n"/>
      <c r="C62" s="55" t="n"/>
      <c r="D62" s="68" t="n"/>
      <c r="E62" s="68" t="n"/>
      <c r="F62" s="59">
        <f>IF(OR(E62="",D62=""),"",MAX(E62-D62,0))</f>
        <v/>
      </c>
      <c r="G62" s="59">
        <f>IF(F62="","",IF(N(C62)=0,1,C62))</f>
        <v/>
      </c>
      <c r="H62" s="53" t="n">
        <v>42</v>
      </c>
      <c r="I62" s="67" t="n"/>
      <c r="J62" s="55" t="n"/>
      <c r="K62" s="68" t="n"/>
      <c r="L62" s="68" t="n"/>
      <c r="M62" s="59">
        <f>IF(OR(L62="",K62=""),"",MAX(L62-K62,0))</f>
        <v/>
      </c>
      <c r="N62" s="59">
        <f>IF(M62="","",IF(N(J62)=0,1,J62))</f>
        <v/>
      </c>
    </row>
    <row r="63">
      <c r="A63" s="53" t="n">
        <v>43</v>
      </c>
      <c r="B63" s="67" t="n"/>
      <c r="C63" s="55" t="n"/>
      <c r="D63" s="68" t="n"/>
      <c r="E63" s="68" t="n"/>
      <c r="F63" s="59">
        <f>IF(OR(E63="",D63=""),"",MAX(E63-D63,0))</f>
        <v/>
      </c>
      <c r="G63" s="59">
        <f>IF(F63="","",IF(N(C63)=0,1,C63))</f>
        <v/>
      </c>
      <c r="H63" s="53" t="n">
        <v>43</v>
      </c>
      <c r="I63" s="67" t="n"/>
      <c r="J63" s="55" t="n"/>
      <c r="K63" s="68" t="n"/>
      <c r="L63" s="68" t="n"/>
      <c r="M63" s="59">
        <f>IF(OR(L63="",K63=""),"",MAX(L63-K63,0))</f>
        <v/>
      </c>
      <c r="N63" s="59">
        <f>IF(M63="","",IF(N(J63)=0,1,J63))</f>
        <v/>
      </c>
    </row>
    <row r="64">
      <c r="A64" s="53" t="n">
        <v>44</v>
      </c>
      <c r="B64" s="67" t="n"/>
      <c r="C64" s="55" t="n"/>
      <c r="D64" s="68" t="n"/>
      <c r="E64" s="68" t="n"/>
      <c r="F64" s="59">
        <f>IF(OR(E64="",D64=""),"",MAX(E64-D64,0))</f>
        <v/>
      </c>
      <c r="G64" s="59">
        <f>IF(F64="","",IF(N(C64)=0,1,C64))</f>
        <v/>
      </c>
      <c r="H64" s="53" t="n">
        <v>44</v>
      </c>
      <c r="I64" s="67" t="n"/>
      <c r="J64" s="55" t="n"/>
      <c r="K64" s="68" t="n"/>
      <c r="L64" s="68" t="n"/>
      <c r="M64" s="59">
        <f>IF(OR(L64="",K64=""),"",MAX(L64-K64,0))</f>
        <v/>
      </c>
      <c r="N64" s="59">
        <f>IF(M64="","",IF(N(J64)=0,1,J64))</f>
        <v/>
      </c>
    </row>
    <row r="65">
      <c r="A65" s="53" t="n">
        <v>45</v>
      </c>
      <c r="B65" s="67" t="n"/>
      <c r="C65" s="55" t="n"/>
      <c r="D65" s="68" t="n"/>
      <c r="E65" s="68" t="n"/>
      <c r="F65" s="59">
        <f>IF(OR(E65="",D65=""),"",MAX(E65-D65,0))</f>
        <v/>
      </c>
      <c r="G65" s="59">
        <f>IF(F65="","",IF(N(C65)=0,1,C65))</f>
        <v/>
      </c>
      <c r="H65" s="53" t="n">
        <v>45</v>
      </c>
      <c r="I65" s="67" t="n"/>
      <c r="J65" s="55" t="n"/>
      <c r="K65" s="68" t="n"/>
      <c r="L65" s="68" t="n"/>
      <c r="M65" s="59">
        <f>IF(OR(L65="",K65=""),"",MAX(L65-K65,0))</f>
        <v/>
      </c>
      <c r="N65" s="59">
        <f>IF(M65="","",IF(N(J65)=0,1,J65))</f>
        <v/>
      </c>
    </row>
    <row r="66">
      <c r="A66" s="53" t="n">
        <v>46</v>
      </c>
      <c r="B66" s="67" t="n"/>
      <c r="C66" s="55" t="n"/>
      <c r="D66" s="68" t="n"/>
      <c r="E66" s="68" t="n"/>
      <c r="F66" s="59">
        <f>IF(OR(E66="",D66=""),"",MAX(E66-D66,0))</f>
        <v/>
      </c>
      <c r="G66" s="59">
        <f>IF(F66="","",IF(N(C66)=0,1,C66))</f>
        <v/>
      </c>
      <c r="H66" s="53" t="n">
        <v>46</v>
      </c>
      <c r="I66" s="67" t="n"/>
      <c r="J66" s="55" t="n"/>
      <c r="K66" s="68" t="n"/>
      <c r="L66" s="68" t="n"/>
      <c r="M66" s="59">
        <f>IF(OR(L66="",K66=""),"",MAX(L66-K66,0))</f>
        <v/>
      </c>
      <c r="N66" s="59">
        <f>IF(M66="","",IF(N(J66)=0,1,J66))</f>
        <v/>
      </c>
    </row>
    <row r="67">
      <c r="A67" s="53" t="n">
        <v>47</v>
      </c>
      <c r="B67" s="67" t="n"/>
      <c r="C67" s="55" t="n"/>
      <c r="D67" s="68" t="n"/>
      <c r="E67" s="68" t="n"/>
      <c r="F67" s="59">
        <f>IF(OR(E67="",D67=""),"",MAX(E67-D67,0))</f>
        <v/>
      </c>
      <c r="G67" s="59">
        <f>IF(F67="","",IF(N(C67)=0,1,C67))</f>
        <v/>
      </c>
      <c r="H67" s="53" t="n">
        <v>47</v>
      </c>
      <c r="I67" s="67" t="n"/>
      <c r="J67" s="55" t="n"/>
      <c r="K67" s="68" t="n"/>
      <c r="L67" s="68" t="n"/>
      <c r="M67" s="59">
        <f>IF(OR(L67="",K67=""),"",MAX(L67-K67,0))</f>
        <v/>
      </c>
      <c r="N67" s="59">
        <f>IF(M67="","",IF(N(J67)=0,1,J67))</f>
        <v/>
      </c>
    </row>
    <row r="68">
      <c r="A68" s="53" t="n">
        <v>48</v>
      </c>
      <c r="B68" s="67" t="n"/>
      <c r="C68" s="55" t="n"/>
      <c r="D68" s="68" t="n"/>
      <c r="E68" s="68" t="n"/>
      <c r="F68" s="59">
        <f>IF(OR(E68="",D68=""),"",MAX(E68-D68,0))</f>
        <v/>
      </c>
      <c r="G68" s="59">
        <f>IF(F68="","",IF(N(C68)=0,1,C68))</f>
        <v/>
      </c>
      <c r="H68" s="53" t="n">
        <v>48</v>
      </c>
      <c r="I68" s="67" t="n"/>
      <c r="J68" s="55" t="n"/>
      <c r="K68" s="68" t="n"/>
      <c r="L68" s="68" t="n"/>
      <c r="M68" s="59">
        <f>IF(OR(L68="",K68=""),"",MAX(L68-K68,0))</f>
        <v/>
      </c>
      <c r="N68" s="59">
        <f>IF(M68="","",IF(N(J68)=0,1,J68))</f>
        <v/>
      </c>
    </row>
    <row r="69">
      <c r="A69" s="53" t="n">
        <v>49</v>
      </c>
      <c r="B69" s="67" t="n"/>
      <c r="C69" s="55" t="n"/>
      <c r="D69" s="68" t="n"/>
      <c r="E69" s="68" t="n"/>
      <c r="F69" s="59">
        <f>IF(OR(E69="",D69=""),"",MAX(E69-D69,0))</f>
        <v/>
      </c>
      <c r="G69" s="59">
        <f>IF(F69="","",IF(N(C69)=0,1,C69))</f>
        <v/>
      </c>
      <c r="H69" s="53" t="n">
        <v>49</v>
      </c>
      <c r="I69" s="67" t="n"/>
      <c r="J69" s="55" t="n"/>
      <c r="K69" s="68" t="n"/>
      <c r="L69" s="68" t="n"/>
      <c r="M69" s="59">
        <f>IF(OR(L69="",K69=""),"",MAX(L69-K69,0))</f>
        <v/>
      </c>
      <c r="N69" s="59">
        <f>IF(M69="","",IF(N(J69)=0,1,J69))</f>
        <v/>
      </c>
    </row>
    <row r="70">
      <c r="A70" s="53" t="n">
        <v>50</v>
      </c>
      <c r="B70" s="67" t="n"/>
      <c r="C70" s="55" t="n"/>
      <c r="D70" s="68" t="n"/>
      <c r="E70" s="68" t="n"/>
      <c r="F70" s="59">
        <f>IF(OR(E70="",D70=""),"",MAX(E70-D70,0))</f>
        <v/>
      </c>
      <c r="G70" s="59">
        <f>IF(F70="","",IF(N(C70)=0,1,C70))</f>
        <v/>
      </c>
      <c r="H70" s="53" t="n">
        <v>50</v>
      </c>
      <c r="I70" s="67" t="n"/>
      <c r="J70" s="55" t="n"/>
      <c r="K70" s="68" t="n"/>
      <c r="L70" s="68" t="n"/>
      <c r="M70" s="59">
        <f>IF(OR(L70="",K70=""),"",MAX(L70-K70,0))</f>
        <v/>
      </c>
      <c r="N70" s="59">
        <f>IF(M70="","",IF(N(J70)=0,1,J70))</f>
        <v/>
      </c>
    </row>
    <row r="71">
      <c r="A71" s="53" t="n">
        <v>51</v>
      </c>
      <c r="B71" s="67" t="n"/>
      <c r="C71" s="55" t="n"/>
      <c r="D71" s="68" t="n"/>
      <c r="E71" s="68" t="n"/>
      <c r="F71" s="59">
        <f>IF(OR(E71="",D71=""),"",MAX(E71-D71,0))</f>
        <v/>
      </c>
      <c r="G71" s="59">
        <f>IF(F71="","",IF(N(C71)=0,1,C71))</f>
        <v/>
      </c>
      <c r="H71" s="53" t="n">
        <v>51</v>
      </c>
      <c r="I71" s="67" t="n"/>
      <c r="J71" s="55" t="n"/>
      <c r="K71" s="68" t="n"/>
      <c r="L71" s="68" t="n"/>
      <c r="M71" s="59">
        <f>IF(OR(L71="",K71=""),"",MAX(L71-K71,0))</f>
        <v/>
      </c>
      <c r="N71" s="59">
        <f>IF(M71="","",IF(N(J71)=0,1,J71))</f>
        <v/>
      </c>
    </row>
    <row r="72">
      <c r="A72" s="53" t="n">
        <v>52</v>
      </c>
      <c r="B72" s="67" t="n"/>
      <c r="C72" s="55" t="n"/>
      <c r="D72" s="68" t="n"/>
      <c r="E72" s="68" t="n"/>
      <c r="F72" s="59">
        <f>IF(OR(E72="",D72=""),"",MAX(E72-D72,0))</f>
        <v/>
      </c>
      <c r="G72" s="59">
        <f>IF(F72="","",IF(N(C72)=0,1,C72))</f>
        <v/>
      </c>
      <c r="H72" s="53" t="n">
        <v>52</v>
      </c>
      <c r="I72" s="67" t="n"/>
      <c r="J72" s="55" t="n"/>
      <c r="K72" s="68" t="n"/>
      <c r="L72" s="68" t="n"/>
      <c r="M72" s="59">
        <f>IF(OR(L72="",K72=""),"",MAX(L72-K72,0))</f>
        <v/>
      </c>
      <c r="N72" s="59">
        <f>IF(M72="","",IF(N(J72)=0,1,J72))</f>
        <v/>
      </c>
    </row>
    <row r="73">
      <c r="A73" s="53" t="n">
        <v>53</v>
      </c>
      <c r="B73" s="67" t="n"/>
      <c r="C73" s="55" t="n"/>
      <c r="D73" s="68" t="n"/>
      <c r="E73" s="68" t="n"/>
      <c r="F73" s="59">
        <f>IF(OR(E73="",D73=""),"",MAX(E73-D73,0))</f>
        <v/>
      </c>
      <c r="G73" s="59">
        <f>IF(F73="","",IF(N(C73)=0,1,C73))</f>
        <v/>
      </c>
      <c r="H73" s="53" t="n">
        <v>53</v>
      </c>
      <c r="I73" s="67" t="n"/>
      <c r="J73" s="55" t="n"/>
      <c r="K73" s="68" t="n"/>
      <c r="L73" s="68" t="n"/>
      <c r="M73" s="59">
        <f>IF(OR(L73="",K73=""),"",MAX(L73-K73,0))</f>
        <v/>
      </c>
      <c r="N73" s="59">
        <f>IF(M73="","",IF(N(J73)=0,1,J73))</f>
        <v/>
      </c>
    </row>
    <row r="74">
      <c r="A74" s="53" t="n">
        <v>54</v>
      </c>
      <c r="B74" s="67" t="n"/>
      <c r="C74" s="55" t="n"/>
      <c r="D74" s="68" t="n"/>
      <c r="E74" s="68" t="n"/>
      <c r="F74" s="59">
        <f>IF(OR(E74="",D74=""),"",MAX(E74-D74,0))</f>
        <v/>
      </c>
      <c r="G74" s="59">
        <f>IF(F74="","",IF(N(C74)=0,1,C74))</f>
        <v/>
      </c>
      <c r="H74" s="53" t="n">
        <v>54</v>
      </c>
      <c r="I74" s="67" t="n"/>
      <c r="J74" s="55" t="n"/>
      <c r="K74" s="68" t="n"/>
      <c r="L74" s="68" t="n"/>
      <c r="M74" s="59">
        <f>IF(OR(L74="",K74=""),"",MAX(L74-K74,0))</f>
        <v/>
      </c>
      <c r="N74" s="59">
        <f>IF(M74="","",IF(N(J74)=0,1,J74))</f>
        <v/>
      </c>
    </row>
    <row r="75">
      <c r="A75" s="53" t="n">
        <v>55</v>
      </c>
      <c r="B75" s="67" t="n"/>
      <c r="C75" s="55" t="n"/>
      <c r="D75" s="68" t="n"/>
      <c r="E75" s="68" t="n"/>
      <c r="F75" s="59">
        <f>IF(OR(E75="",D75=""),"",MAX(E75-D75,0))</f>
        <v/>
      </c>
      <c r="G75" s="59">
        <f>IF(F75="","",IF(N(C75)=0,1,C75))</f>
        <v/>
      </c>
      <c r="H75" s="53" t="n">
        <v>55</v>
      </c>
      <c r="I75" s="67" t="n"/>
      <c r="J75" s="55" t="n"/>
      <c r="K75" s="68" t="n"/>
      <c r="L75" s="68" t="n"/>
      <c r="M75" s="59">
        <f>IF(OR(L75="",K75=""),"",MAX(L75-K75,0))</f>
        <v/>
      </c>
      <c r="N75" s="59">
        <f>IF(M75="","",IF(N(J75)=0,1,J75))</f>
        <v/>
      </c>
    </row>
    <row r="76">
      <c r="A76" s="53" t="n">
        <v>56</v>
      </c>
      <c r="B76" s="67" t="n"/>
      <c r="C76" s="55" t="n"/>
      <c r="D76" s="68" t="n"/>
      <c r="E76" s="68" t="n"/>
      <c r="F76" s="59">
        <f>IF(OR(E76="",D76=""),"",MAX(E76-D76,0))</f>
        <v/>
      </c>
      <c r="G76" s="59">
        <f>IF(F76="","",IF(N(C76)=0,1,C76))</f>
        <v/>
      </c>
      <c r="H76" s="53" t="n">
        <v>56</v>
      </c>
      <c r="I76" s="67" t="n"/>
      <c r="J76" s="55" t="n"/>
      <c r="K76" s="68" t="n"/>
      <c r="L76" s="68" t="n"/>
      <c r="M76" s="59">
        <f>IF(OR(L76="",K76=""),"",MAX(L76-K76,0))</f>
        <v/>
      </c>
      <c r="N76" s="59">
        <f>IF(M76="","",IF(N(J76)=0,1,J76))</f>
        <v/>
      </c>
    </row>
    <row r="77">
      <c r="A77" s="53" t="n">
        <v>57</v>
      </c>
      <c r="B77" s="67" t="n"/>
      <c r="C77" s="55" t="n"/>
      <c r="D77" s="68" t="n"/>
      <c r="E77" s="68" t="n"/>
      <c r="F77" s="59">
        <f>IF(OR(E77="",D77=""),"",MAX(E77-D77,0))</f>
        <v/>
      </c>
      <c r="G77" s="59">
        <f>IF(F77="","",IF(N(C77)=0,1,C77))</f>
        <v/>
      </c>
      <c r="H77" s="53" t="n">
        <v>57</v>
      </c>
      <c r="I77" s="67" t="n"/>
      <c r="J77" s="55" t="n"/>
      <c r="K77" s="68" t="n"/>
      <c r="L77" s="68" t="n"/>
      <c r="M77" s="59">
        <f>IF(OR(L77="",K77=""),"",MAX(L77-K77,0))</f>
        <v/>
      </c>
      <c r="N77" s="59">
        <f>IF(M77="","",IF(N(J77)=0,1,J77))</f>
        <v/>
      </c>
    </row>
    <row r="78">
      <c r="A78" s="53" t="n">
        <v>58</v>
      </c>
      <c r="B78" s="67" t="n"/>
      <c r="C78" s="55" t="n"/>
      <c r="D78" s="68" t="n"/>
      <c r="E78" s="68" t="n"/>
      <c r="F78" s="59">
        <f>IF(OR(E78="",D78=""),"",MAX(E78-D78,0))</f>
        <v/>
      </c>
      <c r="G78" s="59">
        <f>IF(F78="","",IF(N(C78)=0,1,C78))</f>
        <v/>
      </c>
      <c r="H78" s="53" t="n">
        <v>58</v>
      </c>
      <c r="I78" s="67" t="n"/>
      <c r="J78" s="55" t="n"/>
      <c r="K78" s="68" t="n"/>
      <c r="L78" s="68" t="n"/>
      <c r="M78" s="59">
        <f>IF(OR(L78="",K78=""),"",MAX(L78-K78,0))</f>
        <v/>
      </c>
      <c r="N78" s="59">
        <f>IF(M78="","",IF(N(J78)=0,1,J78))</f>
        <v/>
      </c>
    </row>
    <row r="79">
      <c r="A79" s="53" t="n">
        <v>59</v>
      </c>
      <c r="B79" s="67" t="n"/>
      <c r="C79" s="55" t="n"/>
      <c r="D79" s="68" t="n"/>
      <c r="E79" s="68" t="n"/>
      <c r="F79" s="59">
        <f>IF(OR(E79="",D79=""),"",MAX(E79-D79,0))</f>
        <v/>
      </c>
      <c r="G79" s="59">
        <f>IF(F79="","",IF(N(C79)=0,1,C79))</f>
        <v/>
      </c>
      <c r="H79" s="53" t="n">
        <v>59</v>
      </c>
      <c r="I79" s="67" t="n"/>
      <c r="J79" s="55" t="n"/>
      <c r="K79" s="68" t="n"/>
      <c r="L79" s="68" t="n"/>
      <c r="M79" s="59">
        <f>IF(OR(L79="",K79=""),"",MAX(L79-K79,0))</f>
        <v/>
      </c>
      <c r="N79" s="59">
        <f>IF(M79="","",IF(N(J79)=0,1,J79))</f>
        <v/>
      </c>
    </row>
    <row r="80">
      <c r="A80" s="53" t="n">
        <v>60</v>
      </c>
      <c r="B80" s="67" t="n"/>
      <c r="C80" s="55" t="n"/>
      <c r="D80" s="68" t="n"/>
      <c r="E80" s="68" t="n"/>
      <c r="F80" s="59">
        <f>IF(OR(E80="",D80=""),"",MAX(E80-D80,0))</f>
        <v/>
      </c>
      <c r="G80" s="59">
        <f>IF(F80="","",IF(N(C80)=0,1,C80))</f>
        <v/>
      </c>
      <c r="H80" s="53" t="n">
        <v>60</v>
      </c>
      <c r="I80" s="67" t="n"/>
      <c r="J80" s="55" t="n"/>
      <c r="K80" s="68" t="n"/>
      <c r="L80" s="68" t="n"/>
      <c r="M80" s="59">
        <f>IF(OR(L80="",K80=""),"",MAX(L80-K80,0))</f>
        <v/>
      </c>
      <c r="N80" s="59">
        <f>IF(M80="","",IF(N(J80)=0,1,J80))</f>
        <v/>
      </c>
    </row>
    <row r="81">
      <c r="A81" s="53" t="n">
        <v>61</v>
      </c>
      <c r="B81" s="67" t="n"/>
      <c r="C81" s="55" t="n"/>
      <c r="D81" s="68" t="n"/>
      <c r="E81" s="68" t="n"/>
      <c r="F81" s="59">
        <f>IF(OR(E81="",D81=""),"",MAX(E81-D81,0))</f>
        <v/>
      </c>
      <c r="G81" s="59">
        <f>IF(F81="","",IF(N(C81)=0,1,C81))</f>
        <v/>
      </c>
      <c r="H81" s="53" t="n">
        <v>61</v>
      </c>
      <c r="I81" s="67" t="n"/>
      <c r="J81" s="55" t="n"/>
      <c r="K81" s="68" t="n"/>
      <c r="L81" s="68" t="n"/>
      <c r="M81" s="59">
        <f>IF(OR(L81="",K81=""),"",MAX(L81-K81,0))</f>
        <v/>
      </c>
      <c r="N81" s="59">
        <f>IF(M81="","",IF(N(J81)=0,1,J81))</f>
        <v/>
      </c>
    </row>
    <row r="82">
      <c r="A82" s="53" t="n">
        <v>62</v>
      </c>
      <c r="B82" s="67" t="n"/>
      <c r="C82" s="55" t="n"/>
      <c r="D82" s="68" t="n"/>
      <c r="E82" s="68" t="n"/>
      <c r="F82" s="59">
        <f>IF(OR(E82="",D82=""),"",MAX(E82-D82,0))</f>
        <v/>
      </c>
      <c r="G82" s="59">
        <f>IF(F82="","",IF(N(C82)=0,1,C82))</f>
        <v/>
      </c>
      <c r="H82" s="53" t="n">
        <v>62</v>
      </c>
      <c r="I82" s="67" t="n"/>
      <c r="J82" s="55" t="n"/>
      <c r="K82" s="68" t="n"/>
      <c r="L82" s="68" t="n"/>
      <c r="M82" s="59">
        <f>IF(OR(L82="",K82=""),"",MAX(L82-K82,0))</f>
        <v/>
      </c>
      <c r="N82" s="59">
        <f>IF(M82="","",IF(N(J82)=0,1,J82))</f>
        <v/>
      </c>
    </row>
    <row r="83">
      <c r="A83" s="53" t="n">
        <v>63</v>
      </c>
      <c r="B83" s="67" t="n"/>
      <c r="C83" s="55" t="n"/>
      <c r="D83" s="68" t="n"/>
      <c r="E83" s="68" t="n"/>
      <c r="F83" s="59">
        <f>IF(OR(E83="",D83=""),"",MAX(E83-D83,0))</f>
        <v/>
      </c>
      <c r="G83" s="59">
        <f>IF(F83="","",IF(N(C83)=0,1,C83))</f>
        <v/>
      </c>
      <c r="H83" s="53" t="n">
        <v>63</v>
      </c>
      <c r="I83" s="67" t="n"/>
      <c r="J83" s="55" t="n"/>
      <c r="K83" s="68" t="n"/>
      <c r="L83" s="68" t="n"/>
      <c r="M83" s="59">
        <f>IF(OR(L83="",K83=""),"",MAX(L83-K83,0))</f>
        <v/>
      </c>
      <c r="N83" s="59">
        <f>IF(M83="","",IF(N(J83)=0,1,J83))</f>
        <v/>
      </c>
    </row>
    <row r="84">
      <c r="A84" s="53" t="n">
        <v>64</v>
      </c>
      <c r="B84" s="67" t="n"/>
      <c r="C84" s="55" t="n"/>
      <c r="D84" s="68" t="n"/>
      <c r="E84" s="68" t="n"/>
      <c r="F84" s="59">
        <f>IF(OR(E84="",D84=""),"",MAX(E84-D84,0))</f>
        <v/>
      </c>
      <c r="G84" s="59">
        <f>IF(F84="","",IF(N(C84)=0,1,C84))</f>
        <v/>
      </c>
      <c r="H84" s="53" t="n">
        <v>64</v>
      </c>
      <c r="I84" s="67" t="n"/>
      <c r="J84" s="55" t="n"/>
      <c r="K84" s="68" t="n"/>
      <c r="L84" s="68" t="n"/>
      <c r="M84" s="59">
        <f>IF(OR(L84="",K84=""),"",MAX(L84-K84,0))</f>
        <v/>
      </c>
      <c r="N84" s="59">
        <f>IF(M84="","",IF(N(J84)=0,1,J84))</f>
        <v/>
      </c>
    </row>
    <row r="85">
      <c r="A85" s="53" t="n">
        <v>65</v>
      </c>
      <c r="B85" s="67" t="n"/>
      <c r="C85" s="55" t="n"/>
      <c r="D85" s="68" t="n"/>
      <c r="E85" s="68" t="n"/>
      <c r="F85" s="59">
        <f>IF(OR(E85="",D85=""),"",MAX(E85-D85,0))</f>
        <v/>
      </c>
      <c r="G85" s="59">
        <f>IF(F85="","",IF(N(C85)=0,1,C85))</f>
        <v/>
      </c>
      <c r="H85" s="53" t="n">
        <v>65</v>
      </c>
      <c r="I85" s="67" t="n"/>
      <c r="J85" s="55" t="n"/>
      <c r="K85" s="68" t="n"/>
      <c r="L85" s="68" t="n"/>
      <c r="M85" s="59">
        <f>IF(OR(L85="",K85=""),"",MAX(L85-K85,0))</f>
        <v/>
      </c>
      <c r="N85" s="59">
        <f>IF(M85="","",IF(N(J85)=0,1,J85))</f>
        <v/>
      </c>
    </row>
    <row r="86">
      <c r="A86" s="53" t="n">
        <v>66</v>
      </c>
      <c r="B86" s="67" t="n"/>
      <c r="C86" s="55" t="n"/>
      <c r="D86" s="68" t="n"/>
      <c r="E86" s="68" t="n"/>
      <c r="F86" s="59">
        <f>IF(OR(E86="",D86=""),"",MAX(E86-D86,0))</f>
        <v/>
      </c>
      <c r="G86" s="59">
        <f>IF(F86="","",IF(N(C86)=0,1,C86))</f>
        <v/>
      </c>
      <c r="H86" s="53" t="n">
        <v>66</v>
      </c>
      <c r="I86" s="67" t="n"/>
      <c r="J86" s="55" t="n"/>
      <c r="K86" s="68" t="n"/>
      <c r="L86" s="68" t="n"/>
      <c r="M86" s="59">
        <f>IF(OR(L86="",K86=""),"",MAX(L86-K86,0))</f>
        <v/>
      </c>
      <c r="N86" s="59">
        <f>IF(M86="","",IF(N(J86)=0,1,J86))</f>
        <v/>
      </c>
    </row>
    <row r="87">
      <c r="A87" s="53" t="n">
        <v>67</v>
      </c>
      <c r="B87" s="67" t="n"/>
      <c r="C87" s="55" t="n"/>
      <c r="D87" s="68" t="n"/>
      <c r="E87" s="68" t="n"/>
      <c r="F87" s="59">
        <f>IF(OR(E87="",D87=""),"",MAX(E87-D87,0))</f>
        <v/>
      </c>
      <c r="G87" s="59">
        <f>IF(F87="","",IF(N(C87)=0,1,C87))</f>
        <v/>
      </c>
      <c r="H87" s="53" t="n">
        <v>67</v>
      </c>
      <c r="I87" s="67" t="n"/>
      <c r="J87" s="55" t="n"/>
      <c r="K87" s="68" t="n"/>
      <c r="L87" s="68" t="n"/>
      <c r="M87" s="59">
        <f>IF(OR(L87="",K87=""),"",MAX(L87-K87,0))</f>
        <v/>
      </c>
      <c r="N87" s="59">
        <f>IF(M87="","",IF(N(J87)=0,1,J87))</f>
        <v/>
      </c>
    </row>
    <row r="88">
      <c r="A88" s="53" t="n">
        <v>68</v>
      </c>
      <c r="B88" s="67" t="n"/>
      <c r="C88" s="55" t="n"/>
      <c r="D88" s="68" t="n"/>
      <c r="E88" s="68" t="n"/>
      <c r="F88" s="59">
        <f>IF(OR(E88="",D88=""),"",MAX(E88-D88,0))</f>
        <v/>
      </c>
      <c r="G88" s="59">
        <f>IF(F88="","",IF(N(C88)=0,1,C88))</f>
        <v/>
      </c>
      <c r="H88" s="53" t="n">
        <v>68</v>
      </c>
      <c r="I88" s="67" t="n"/>
      <c r="J88" s="55" t="n"/>
      <c r="K88" s="68" t="n"/>
      <c r="L88" s="68" t="n"/>
      <c r="M88" s="59">
        <f>IF(OR(L88="",K88=""),"",MAX(L88-K88,0))</f>
        <v/>
      </c>
      <c r="N88" s="59">
        <f>IF(M88="","",IF(N(J88)=0,1,J88))</f>
        <v/>
      </c>
    </row>
    <row r="89">
      <c r="A89" s="53" t="n">
        <v>69</v>
      </c>
      <c r="B89" s="67" t="n"/>
      <c r="C89" s="55" t="n"/>
      <c r="D89" s="68" t="n"/>
      <c r="E89" s="68" t="n"/>
      <c r="F89" s="59">
        <f>IF(OR(E89="",D89=""),"",MAX(E89-D89,0))</f>
        <v/>
      </c>
      <c r="G89" s="59">
        <f>IF(F89="","",IF(N(C89)=0,1,C89))</f>
        <v/>
      </c>
      <c r="H89" s="53" t="n">
        <v>69</v>
      </c>
      <c r="I89" s="67" t="n"/>
      <c r="J89" s="55" t="n"/>
      <c r="K89" s="68" t="n"/>
      <c r="L89" s="68" t="n"/>
      <c r="M89" s="59">
        <f>IF(OR(L89="",K89=""),"",MAX(L89-K89,0))</f>
        <v/>
      </c>
      <c r="N89" s="59">
        <f>IF(M89="","",IF(N(J89)=0,1,J89))</f>
        <v/>
      </c>
    </row>
    <row r="90">
      <c r="A90" s="53" t="n">
        <v>70</v>
      </c>
      <c r="B90" s="67" t="n"/>
      <c r="C90" s="55" t="n"/>
      <c r="D90" s="68" t="n"/>
      <c r="E90" s="68" t="n"/>
      <c r="F90" s="59">
        <f>IF(OR(E90="",D90=""),"",MAX(E90-D90,0))</f>
        <v/>
      </c>
      <c r="G90" s="59">
        <f>IF(F90="","",IF(N(C90)=0,1,C90))</f>
        <v/>
      </c>
      <c r="H90" s="53" t="n">
        <v>70</v>
      </c>
      <c r="I90" s="67" t="n"/>
      <c r="J90" s="55" t="n"/>
      <c r="K90" s="68" t="n"/>
      <c r="L90" s="68" t="n"/>
      <c r="M90" s="59">
        <f>IF(OR(L90="",K90=""),"",MAX(L90-K90,0))</f>
        <v/>
      </c>
      <c r="N90" s="59">
        <f>IF(M90="","",IF(N(J90)=0,1,J90))</f>
        <v/>
      </c>
    </row>
    <row r="91">
      <c r="A91" s="53" t="n">
        <v>71</v>
      </c>
      <c r="B91" s="67" t="n"/>
      <c r="C91" s="55" t="n"/>
      <c r="D91" s="68" t="n"/>
      <c r="E91" s="68" t="n"/>
      <c r="F91" s="59">
        <f>IF(OR(E91="",D91=""),"",MAX(E91-D91,0))</f>
        <v/>
      </c>
      <c r="G91" s="59">
        <f>IF(F91="","",IF(N(C91)=0,1,C91))</f>
        <v/>
      </c>
      <c r="H91" s="53" t="n">
        <v>71</v>
      </c>
      <c r="I91" s="67" t="n"/>
      <c r="J91" s="55" t="n"/>
      <c r="K91" s="68" t="n"/>
      <c r="L91" s="68" t="n"/>
      <c r="M91" s="59">
        <f>IF(OR(L91="",K91=""),"",MAX(L91-K91,0))</f>
        <v/>
      </c>
      <c r="N91" s="59">
        <f>IF(M91="","",IF(N(J91)=0,1,J91))</f>
        <v/>
      </c>
    </row>
    <row r="92">
      <c r="A92" s="53" t="n">
        <v>72</v>
      </c>
      <c r="B92" s="67" t="n"/>
      <c r="C92" s="55" t="n"/>
      <c r="D92" s="68" t="n"/>
      <c r="E92" s="68" t="n"/>
      <c r="F92" s="59">
        <f>IF(OR(E92="",D92=""),"",MAX(E92-D92,0))</f>
        <v/>
      </c>
      <c r="G92" s="59">
        <f>IF(F92="","",IF(N(C92)=0,1,C92))</f>
        <v/>
      </c>
      <c r="H92" s="53" t="n">
        <v>72</v>
      </c>
      <c r="I92" s="67" t="n"/>
      <c r="J92" s="55" t="n"/>
      <c r="K92" s="68" t="n"/>
      <c r="L92" s="68" t="n"/>
      <c r="M92" s="59">
        <f>IF(OR(L92="",K92=""),"",MAX(L92-K92,0))</f>
        <v/>
      </c>
      <c r="N92" s="59">
        <f>IF(M92="","",IF(N(J92)=0,1,J92))</f>
        <v/>
      </c>
    </row>
    <row r="93">
      <c r="A93" s="53" t="n">
        <v>73</v>
      </c>
      <c r="B93" s="67" t="n"/>
      <c r="C93" s="55" t="n"/>
      <c r="D93" s="68" t="n"/>
      <c r="E93" s="68" t="n"/>
      <c r="F93" s="59">
        <f>IF(OR(E93="",D93=""),"",MAX(E93-D93,0))</f>
        <v/>
      </c>
      <c r="G93" s="59">
        <f>IF(F93="","",IF(N(C93)=0,1,C93))</f>
        <v/>
      </c>
      <c r="H93" s="53" t="n">
        <v>73</v>
      </c>
      <c r="I93" s="67" t="n"/>
      <c r="J93" s="55" t="n"/>
      <c r="K93" s="68" t="n"/>
      <c r="L93" s="68" t="n"/>
      <c r="M93" s="59">
        <f>IF(OR(L93="",K93=""),"",MAX(L93-K93,0))</f>
        <v/>
      </c>
      <c r="N93" s="59">
        <f>IF(M93="","",IF(N(J93)=0,1,J93))</f>
        <v/>
      </c>
    </row>
    <row r="94">
      <c r="A94" s="53" t="n">
        <v>74</v>
      </c>
      <c r="B94" s="67" t="n"/>
      <c r="C94" s="55" t="n"/>
      <c r="D94" s="68" t="n"/>
      <c r="E94" s="68" t="n"/>
      <c r="F94" s="59">
        <f>IF(OR(E94="",D94=""),"",MAX(E94-D94,0))</f>
        <v/>
      </c>
      <c r="G94" s="59">
        <f>IF(F94="","",IF(N(C94)=0,1,C94))</f>
        <v/>
      </c>
      <c r="H94" s="53" t="n">
        <v>74</v>
      </c>
      <c r="I94" s="67" t="n"/>
      <c r="J94" s="55" t="n"/>
      <c r="K94" s="68" t="n"/>
      <c r="L94" s="68" t="n"/>
      <c r="M94" s="59">
        <f>IF(OR(L94="",K94=""),"",MAX(L94-K94,0))</f>
        <v/>
      </c>
      <c r="N94" s="59">
        <f>IF(M94="","",IF(N(J94)=0,1,J94))</f>
        <v/>
      </c>
    </row>
    <row r="95">
      <c r="A95" s="53" t="n">
        <v>75</v>
      </c>
      <c r="B95" s="67" t="n"/>
      <c r="C95" s="55" t="n"/>
      <c r="D95" s="68" t="n"/>
      <c r="E95" s="68" t="n"/>
      <c r="F95" s="59">
        <f>IF(OR(E95="",D95=""),"",MAX(E95-D95,0))</f>
        <v/>
      </c>
      <c r="G95" s="59">
        <f>IF(F95="","",IF(N(C95)=0,1,C95))</f>
        <v/>
      </c>
      <c r="H95" s="53" t="n">
        <v>75</v>
      </c>
      <c r="I95" s="67" t="n"/>
      <c r="J95" s="55" t="n"/>
      <c r="K95" s="68" t="n"/>
      <c r="L95" s="68" t="n"/>
      <c r="M95" s="59">
        <f>IF(OR(L95="",K95=""),"",MAX(L95-K95,0))</f>
        <v/>
      </c>
      <c r="N95" s="59">
        <f>IF(M95="","",IF(N(J95)=0,1,J95))</f>
        <v/>
      </c>
    </row>
    <row r="96">
      <c r="A96" s="53" t="n">
        <v>76</v>
      </c>
      <c r="B96" s="67" t="n"/>
      <c r="C96" s="55" t="n"/>
      <c r="D96" s="68" t="n"/>
      <c r="E96" s="68" t="n"/>
      <c r="F96" s="59">
        <f>IF(OR(E96="",D96=""),"",MAX(E96-D96,0))</f>
        <v/>
      </c>
      <c r="G96" s="59">
        <f>IF(F96="","",IF(N(C96)=0,1,C96))</f>
        <v/>
      </c>
      <c r="H96" s="53" t="n">
        <v>76</v>
      </c>
      <c r="I96" s="67" t="n"/>
      <c r="J96" s="55" t="n"/>
      <c r="K96" s="68" t="n"/>
      <c r="L96" s="68" t="n"/>
      <c r="M96" s="59">
        <f>IF(OR(L96="",K96=""),"",MAX(L96-K96,0))</f>
        <v/>
      </c>
      <c r="N96" s="59">
        <f>IF(M96="","",IF(N(J96)=0,1,J96))</f>
        <v/>
      </c>
    </row>
    <row r="97">
      <c r="A97" s="53" t="n">
        <v>77</v>
      </c>
      <c r="B97" s="67" t="n"/>
      <c r="C97" s="55" t="n"/>
      <c r="D97" s="68" t="n"/>
      <c r="E97" s="68" t="n"/>
      <c r="F97" s="59">
        <f>IF(OR(E97="",D97=""),"",MAX(E97-D97,0))</f>
        <v/>
      </c>
      <c r="G97" s="59">
        <f>IF(F97="","",IF(N(C97)=0,1,C97))</f>
        <v/>
      </c>
      <c r="H97" s="53" t="n">
        <v>77</v>
      </c>
      <c r="I97" s="67" t="n"/>
      <c r="J97" s="55" t="n"/>
      <c r="K97" s="68" t="n"/>
      <c r="L97" s="68" t="n"/>
      <c r="M97" s="59">
        <f>IF(OR(L97="",K97=""),"",MAX(L97-K97,0))</f>
        <v/>
      </c>
      <c r="N97" s="59">
        <f>IF(M97="","",IF(N(J97)=0,1,J97))</f>
        <v/>
      </c>
    </row>
    <row r="98">
      <c r="A98" s="53" t="n">
        <v>78</v>
      </c>
      <c r="B98" s="67" t="n"/>
      <c r="C98" s="55" t="n"/>
      <c r="D98" s="68" t="n"/>
      <c r="E98" s="68" t="n"/>
      <c r="F98" s="59">
        <f>IF(OR(E98="",D98=""),"",MAX(E98-D98,0))</f>
        <v/>
      </c>
      <c r="G98" s="59">
        <f>IF(F98="","",IF(N(C98)=0,1,C98))</f>
        <v/>
      </c>
      <c r="H98" s="53" t="n">
        <v>78</v>
      </c>
      <c r="I98" s="67" t="n"/>
      <c r="J98" s="55" t="n"/>
      <c r="K98" s="68" t="n"/>
      <c r="L98" s="68" t="n"/>
      <c r="M98" s="59">
        <f>IF(OR(L98="",K98=""),"",MAX(L98-K98,0))</f>
        <v/>
      </c>
      <c r="N98" s="59">
        <f>IF(M98="","",IF(N(J98)=0,1,J98))</f>
        <v/>
      </c>
    </row>
    <row r="99">
      <c r="A99" s="53" t="n">
        <v>79</v>
      </c>
      <c r="B99" s="67" t="n"/>
      <c r="C99" s="55" t="n"/>
      <c r="D99" s="68" t="n"/>
      <c r="E99" s="68" t="n"/>
      <c r="F99" s="59">
        <f>IF(OR(E99="",D99=""),"",MAX(E99-D99,0))</f>
        <v/>
      </c>
      <c r="G99" s="59">
        <f>IF(F99="","",IF(N(C99)=0,1,C99))</f>
        <v/>
      </c>
      <c r="H99" s="53" t="n">
        <v>79</v>
      </c>
      <c r="I99" s="67" t="n"/>
      <c r="J99" s="55" t="n"/>
      <c r="K99" s="68" t="n"/>
      <c r="L99" s="68" t="n"/>
      <c r="M99" s="59">
        <f>IF(OR(L99="",K99=""),"",MAX(L99-K99,0))</f>
        <v/>
      </c>
      <c r="N99" s="59">
        <f>IF(M99="","",IF(N(J99)=0,1,J99))</f>
        <v/>
      </c>
    </row>
    <row r="100">
      <c r="A100" s="53" t="n">
        <v>80</v>
      </c>
      <c r="B100" s="67" t="n"/>
      <c r="C100" s="55" t="n"/>
      <c r="D100" s="68" t="n"/>
      <c r="E100" s="68" t="n"/>
      <c r="F100" s="59">
        <f>IF(OR(E100="",D100=""),"",MAX(E100-D100,0))</f>
        <v/>
      </c>
      <c r="G100" s="59">
        <f>IF(F100="","",IF(N(C100)=0,1,C100))</f>
        <v/>
      </c>
      <c r="H100" s="53" t="n">
        <v>80</v>
      </c>
      <c r="I100" s="67" t="n"/>
      <c r="J100" s="55" t="n"/>
      <c r="K100" s="68" t="n"/>
      <c r="L100" s="68" t="n"/>
      <c r="M100" s="59">
        <f>IF(OR(L100="",K100=""),"",MAX(L100-K100,0))</f>
        <v/>
      </c>
      <c r="N100" s="59">
        <f>IF(M100="","",IF(N(J100)=0,1,J100))</f>
        <v/>
      </c>
    </row>
    <row r="101">
      <c r="A101" s="53" t="n">
        <v>81</v>
      </c>
      <c r="B101" s="67" t="n"/>
      <c r="C101" s="55" t="n"/>
      <c r="D101" s="68" t="n"/>
      <c r="E101" s="68" t="n"/>
      <c r="F101" s="59">
        <f>IF(OR(E101="",D101=""),"",MAX(E101-D101,0))</f>
        <v/>
      </c>
      <c r="G101" s="59">
        <f>IF(F101="","",IF(N(C101)=0,1,C101))</f>
        <v/>
      </c>
      <c r="H101" s="53" t="n">
        <v>81</v>
      </c>
      <c r="I101" s="67" t="n"/>
      <c r="J101" s="55" t="n"/>
      <c r="K101" s="68" t="n"/>
      <c r="L101" s="68" t="n"/>
      <c r="M101" s="59">
        <f>IF(OR(L101="",K101=""),"",MAX(L101-K101,0))</f>
        <v/>
      </c>
      <c r="N101" s="59">
        <f>IF(M101="","",IF(N(J101)=0,1,J101))</f>
        <v/>
      </c>
    </row>
    <row r="102">
      <c r="A102" s="53" t="n">
        <v>82</v>
      </c>
      <c r="B102" s="67" t="n"/>
      <c r="C102" s="55" t="n"/>
      <c r="D102" s="68" t="n"/>
      <c r="E102" s="68" t="n"/>
      <c r="F102" s="59">
        <f>IF(OR(E102="",D102=""),"",MAX(E102-D102,0))</f>
        <v/>
      </c>
      <c r="G102" s="59">
        <f>IF(F102="","",IF(N(C102)=0,1,C102))</f>
        <v/>
      </c>
      <c r="H102" s="53" t="n">
        <v>82</v>
      </c>
      <c r="I102" s="67" t="n"/>
      <c r="J102" s="55" t="n"/>
      <c r="K102" s="68" t="n"/>
      <c r="L102" s="68" t="n"/>
      <c r="M102" s="59">
        <f>IF(OR(L102="",K102=""),"",MAX(L102-K102,0))</f>
        <v/>
      </c>
      <c r="N102" s="59">
        <f>IF(M102="","",IF(N(J102)=0,1,J102))</f>
        <v/>
      </c>
    </row>
    <row r="103">
      <c r="A103" s="53" t="n">
        <v>83</v>
      </c>
      <c r="B103" s="67" t="n"/>
      <c r="C103" s="55" t="n"/>
      <c r="D103" s="68" t="n"/>
      <c r="E103" s="68" t="n"/>
      <c r="F103" s="59">
        <f>IF(OR(E103="",D103=""),"",MAX(E103-D103,0))</f>
        <v/>
      </c>
      <c r="G103" s="59">
        <f>IF(F103="","",IF(N(C103)=0,1,C103))</f>
        <v/>
      </c>
      <c r="H103" s="53" t="n">
        <v>83</v>
      </c>
      <c r="I103" s="67" t="n"/>
      <c r="J103" s="55" t="n"/>
      <c r="K103" s="68" t="n"/>
      <c r="L103" s="68" t="n"/>
      <c r="M103" s="59">
        <f>IF(OR(L103="",K103=""),"",MAX(L103-K103,0))</f>
        <v/>
      </c>
      <c r="N103" s="59">
        <f>IF(M103="","",IF(N(J103)=0,1,J103))</f>
        <v/>
      </c>
    </row>
    <row r="104">
      <c r="A104" s="53" t="n">
        <v>84</v>
      </c>
      <c r="B104" s="67" t="n"/>
      <c r="C104" s="55" t="n"/>
      <c r="D104" s="68" t="n"/>
      <c r="E104" s="68" t="n"/>
      <c r="F104" s="59">
        <f>IF(OR(E104="",D104=""),"",MAX(E104-D104,0))</f>
        <v/>
      </c>
      <c r="G104" s="59">
        <f>IF(F104="","",IF(N(C104)=0,1,C104))</f>
        <v/>
      </c>
      <c r="H104" s="53" t="n">
        <v>84</v>
      </c>
      <c r="I104" s="67" t="n"/>
      <c r="J104" s="55" t="n"/>
      <c r="K104" s="68" t="n"/>
      <c r="L104" s="68" t="n"/>
      <c r="M104" s="59">
        <f>IF(OR(L104="",K104=""),"",MAX(L104-K104,0))</f>
        <v/>
      </c>
      <c r="N104" s="59">
        <f>IF(M104="","",IF(N(J104)=0,1,J104))</f>
        <v/>
      </c>
    </row>
    <row r="105">
      <c r="A105" s="53" t="n">
        <v>85</v>
      </c>
      <c r="B105" s="67" t="n"/>
      <c r="C105" s="55" t="n"/>
      <c r="D105" s="68" t="n"/>
      <c r="E105" s="68" t="n"/>
      <c r="F105" s="59">
        <f>IF(OR(E105="",D105=""),"",MAX(E105-D105,0))</f>
        <v/>
      </c>
      <c r="G105" s="59">
        <f>IF(F105="","",IF(N(C105)=0,1,C105))</f>
        <v/>
      </c>
      <c r="H105" s="53" t="n">
        <v>85</v>
      </c>
      <c r="I105" s="67" t="n"/>
      <c r="J105" s="55" t="n"/>
      <c r="K105" s="68" t="n"/>
      <c r="L105" s="68" t="n"/>
      <c r="M105" s="59">
        <f>IF(OR(L105="",K105=""),"",MAX(L105-K105,0))</f>
        <v/>
      </c>
      <c r="N105" s="59">
        <f>IF(M105="","",IF(N(J105)=0,1,J105))</f>
        <v/>
      </c>
    </row>
    <row r="106">
      <c r="A106" s="53" t="n">
        <v>86</v>
      </c>
      <c r="B106" s="67" t="n"/>
      <c r="C106" s="55" t="n"/>
      <c r="D106" s="68" t="n"/>
      <c r="E106" s="68" t="n"/>
      <c r="F106" s="59">
        <f>IF(OR(E106="",D106=""),"",MAX(E106-D106,0))</f>
        <v/>
      </c>
      <c r="G106" s="59">
        <f>IF(F106="","",IF(N(C106)=0,1,C106))</f>
        <v/>
      </c>
      <c r="H106" s="53" t="n">
        <v>86</v>
      </c>
      <c r="I106" s="67" t="n"/>
      <c r="J106" s="55" t="n"/>
      <c r="K106" s="68" t="n"/>
      <c r="L106" s="68" t="n"/>
      <c r="M106" s="59">
        <f>IF(OR(L106="",K106=""),"",MAX(L106-K106,0))</f>
        <v/>
      </c>
      <c r="N106" s="59">
        <f>IF(M106="","",IF(N(J106)=0,1,J106))</f>
        <v/>
      </c>
    </row>
    <row r="107">
      <c r="A107" s="53" t="n">
        <v>87</v>
      </c>
      <c r="B107" s="67" t="n"/>
      <c r="C107" s="55" t="n"/>
      <c r="D107" s="68" t="n"/>
      <c r="E107" s="68" t="n"/>
      <c r="F107" s="59">
        <f>IF(OR(E107="",D107=""),"",MAX(E107-D107,0))</f>
        <v/>
      </c>
      <c r="G107" s="59">
        <f>IF(F107="","",IF(N(C107)=0,1,C107))</f>
        <v/>
      </c>
      <c r="H107" s="53" t="n">
        <v>87</v>
      </c>
      <c r="I107" s="67" t="n"/>
      <c r="J107" s="55" t="n"/>
      <c r="K107" s="68" t="n"/>
      <c r="L107" s="68" t="n"/>
      <c r="M107" s="59">
        <f>IF(OR(L107="",K107=""),"",MAX(L107-K107,0))</f>
        <v/>
      </c>
      <c r="N107" s="59">
        <f>IF(M107="","",IF(N(J107)=0,1,J107))</f>
        <v/>
      </c>
    </row>
    <row r="108">
      <c r="A108" s="53" t="n">
        <v>88</v>
      </c>
      <c r="B108" s="67" t="n"/>
      <c r="C108" s="55" t="n"/>
      <c r="D108" s="68" t="n"/>
      <c r="E108" s="68" t="n"/>
      <c r="F108" s="59">
        <f>IF(OR(E108="",D108=""),"",MAX(E108-D108,0))</f>
        <v/>
      </c>
      <c r="G108" s="59">
        <f>IF(F108="","",IF(N(C108)=0,1,C108))</f>
        <v/>
      </c>
      <c r="H108" s="53" t="n">
        <v>88</v>
      </c>
      <c r="I108" s="67" t="n"/>
      <c r="J108" s="55" t="n"/>
      <c r="K108" s="68" t="n"/>
      <c r="L108" s="68" t="n"/>
      <c r="M108" s="59">
        <f>IF(OR(L108="",K108=""),"",MAX(L108-K108,0))</f>
        <v/>
      </c>
      <c r="N108" s="59">
        <f>IF(M108="","",IF(N(J108)=0,1,J108))</f>
        <v/>
      </c>
    </row>
    <row r="109">
      <c r="A109" s="53" t="n">
        <v>89</v>
      </c>
      <c r="B109" s="67" t="n"/>
      <c r="C109" s="55" t="n"/>
      <c r="D109" s="68" t="n"/>
      <c r="E109" s="68" t="n"/>
      <c r="F109" s="59">
        <f>IF(OR(E109="",D109=""),"",MAX(E109-D109,0))</f>
        <v/>
      </c>
      <c r="G109" s="59">
        <f>IF(F109="","",IF(N(C109)=0,1,C109))</f>
        <v/>
      </c>
      <c r="H109" s="53" t="n">
        <v>89</v>
      </c>
      <c r="I109" s="67" t="n"/>
      <c r="J109" s="55" t="n"/>
      <c r="K109" s="68" t="n"/>
      <c r="L109" s="68" t="n"/>
      <c r="M109" s="59">
        <f>IF(OR(L109="",K109=""),"",MAX(L109-K109,0))</f>
        <v/>
      </c>
      <c r="N109" s="59">
        <f>IF(M109="","",IF(N(J109)=0,1,J109))</f>
        <v/>
      </c>
    </row>
    <row r="110">
      <c r="A110" s="53" t="n">
        <v>90</v>
      </c>
      <c r="B110" s="67" t="n"/>
      <c r="C110" s="55" t="n"/>
      <c r="D110" s="68" t="n"/>
      <c r="E110" s="68" t="n"/>
      <c r="F110" s="59">
        <f>IF(OR(E110="",D110=""),"",MAX(E110-D110,0))</f>
        <v/>
      </c>
      <c r="G110" s="59">
        <f>IF(F110="","",IF(N(C110)=0,1,C110))</f>
        <v/>
      </c>
      <c r="H110" s="53" t="n">
        <v>90</v>
      </c>
      <c r="I110" s="67" t="n"/>
      <c r="J110" s="55" t="n"/>
      <c r="K110" s="68" t="n"/>
      <c r="L110" s="68" t="n"/>
      <c r="M110" s="59">
        <f>IF(OR(L110="",K110=""),"",MAX(L110-K110,0))</f>
        <v/>
      </c>
      <c r="N110" s="59">
        <f>IF(M110="","",IF(N(J110)=0,1,J110))</f>
        <v/>
      </c>
    </row>
    <row r="111">
      <c r="A111" s="53" t="n">
        <v>91</v>
      </c>
      <c r="B111" s="67" t="n"/>
      <c r="C111" s="55" t="n"/>
      <c r="D111" s="68" t="n"/>
      <c r="E111" s="68" t="n"/>
      <c r="F111" s="59">
        <f>IF(OR(E111="",D111=""),"",MAX(E111-D111,0))</f>
        <v/>
      </c>
      <c r="G111" s="59">
        <f>IF(F111="","",IF(N(C111)=0,1,C111))</f>
        <v/>
      </c>
      <c r="H111" s="53" t="n">
        <v>91</v>
      </c>
      <c r="I111" s="67" t="n"/>
      <c r="J111" s="55" t="n"/>
      <c r="K111" s="68" t="n"/>
      <c r="L111" s="68" t="n"/>
      <c r="M111" s="59">
        <f>IF(OR(L111="",K111=""),"",MAX(L111-K111,0))</f>
        <v/>
      </c>
      <c r="N111" s="59">
        <f>IF(M111="","",IF(N(J111)=0,1,J111))</f>
        <v/>
      </c>
    </row>
    <row r="112">
      <c r="A112" s="53" t="n">
        <v>92</v>
      </c>
      <c r="B112" s="67" t="n"/>
      <c r="C112" s="55" t="n"/>
      <c r="D112" s="68" t="n"/>
      <c r="E112" s="68" t="n"/>
      <c r="F112" s="59">
        <f>IF(OR(E112="",D112=""),"",MAX(E112-D112,0))</f>
        <v/>
      </c>
      <c r="G112" s="59">
        <f>IF(F112="","",IF(N(C112)=0,1,C112))</f>
        <v/>
      </c>
      <c r="H112" s="53" t="n">
        <v>92</v>
      </c>
      <c r="I112" s="67" t="n"/>
      <c r="J112" s="55" t="n"/>
      <c r="K112" s="68" t="n"/>
      <c r="L112" s="68" t="n"/>
      <c r="M112" s="59">
        <f>IF(OR(L112="",K112=""),"",MAX(L112-K112,0))</f>
        <v/>
      </c>
      <c r="N112" s="59">
        <f>IF(M112="","",IF(N(J112)=0,1,J112))</f>
        <v/>
      </c>
    </row>
    <row r="113">
      <c r="A113" s="53" t="n">
        <v>93</v>
      </c>
      <c r="B113" s="67" t="n"/>
      <c r="C113" s="55" t="n"/>
      <c r="D113" s="68" t="n"/>
      <c r="E113" s="68" t="n"/>
      <c r="F113" s="59">
        <f>IF(OR(E113="",D113=""),"",MAX(E113-D113,0))</f>
        <v/>
      </c>
      <c r="G113" s="59">
        <f>IF(F113="","",IF(N(C113)=0,1,C113))</f>
        <v/>
      </c>
      <c r="H113" s="53" t="n">
        <v>93</v>
      </c>
      <c r="I113" s="67" t="n"/>
      <c r="J113" s="55" t="n"/>
      <c r="K113" s="68" t="n"/>
      <c r="L113" s="68" t="n"/>
      <c r="M113" s="59">
        <f>IF(OR(L113="",K113=""),"",MAX(L113-K113,0))</f>
        <v/>
      </c>
      <c r="N113" s="59">
        <f>IF(M113="","",IF(N(J113)=0,1,J113))</f>
        <v/>
      </c>
    </row>
    <row r="114">
      <c r="A114" s="53" t="n">
        <v>94</v>
      </c>
      <c r="B114" s="67" t="n"/>
      <c r="C114" s="55" t="n"/>
      <c r="D114" s="68" t="n"/>
      <c r="E114" s="68" t="n"/>
      <c r="F114" s="59">
        <f>IF(OR(E114="",D114=""),"",MAX(E114-D114,0))</f>
        <v/>
      </c>
      <c r="G114" s="59">
        <f>IF(F114="","",IF(N(C114)=0,1,C114))</f>
        <v/>
      </c>
      <c r="H114" s="53" t="n">
        <v>94</v>
      </c>
      <c r="I114" s="67" t="n"/>
      <c r="J114" s="55" t="n"/>
      <c r="K114" s="68" t="n"/>
      <c r="L114" s="68" t="n"/>
      <c r="M114" s="59">
        <f>IF(OR(L114="",K114=""),"",MAX(L114-K114,0))</f>
        <v/>
      </c>
      <c r="N114" s="59">
        <f>IF(M114="","",IF(N(J114)=0,1,J114))</f>
        <v/>
      </c>
    </row>
    <row r="115">
      <c r="A115" s="53" t="n">
        <v>95</v>
      </c>
      <c r="B115" s="67" t="n"/>
      <c r="C115" s="55" t="n"/>
      <c r="D115" s="68" t="n"/>
      <c r="E115" s="68" t="n"/>
      <c r="F115" s="59">
        <f>IF(OR(E115="",D115=""),"",MAX(E115-D115,0))</f>
        <v/>
      </c>
      <c r="G115" s="59">
        <f>IF(F115="","",IF(N(C115)=0,1,C115))</f>
        <v/>
      </c>
      <c r="H115" s="53" t="n">
        <v>95</v>
      </c>
      <c r="I115" s="67" t="n"/>
      <c r="J115" s="55" t="n"/>
      <c r="K115" s="68" t="n"/>
      <c r="L115" s="68" t="n"/>
      <c r="M115" s="59">
        <f>IF(OR(L115="",K115=""),"",MAX(L115-K115,0))</f>
        <v/>
      </c>
      <c r="N115" s="59">
        <f>IF(M115="","",IF(N(J115)=0,1,J115))</f>
        <v/>
      </c>
    </row>
    <row r="116">
      <c r="A116" s="53" t="n">
        <v>96</v>
      </c>
      <c r="B116" s="67" t="n"/>
      <c r="C116" s="55" t="n"/>
      <c r="D116" s="68" t="n"/>
      <c r="E116" s="68" t="n"/>
      <c r="F116" s="59">
        <f>IF(OR(E116="",D116=""),"",MAX(E116-D116,0))</f>
        <v/>
      </c>
      <c r="G116" s="59">
        <f>IF(F116="","",IF(N(C116)=0,1,C116))</f>
        <v/>
      </c>
      <c r="H116" s="53" t="n">
        <v>96</v>
      </c>
      <c r="I116" s="67" t="n"/>
      <c r="J116" s="55" t="n"/>
      <c r="K116" s="68" t="n"/>
      <c r="L116" s="68" t="n"/>
      <c r="M116" s="59">
        <f>IF(OR(L116="",K116=""),"",MAX(L116-K116,0))</f>
        <v/>
      </c>
      <c r="N116" s="59">
        <f>IF(M116="","",IF(N(J116)=0,1,J116))</f>
        <v/>
      </c>
    </row>
    <row r="117">
      <c r="A117" s="53" t="n">
        <v>97</v>
      </c>
      <c r="B117" s="67" t="n"/>
      <c r="C117" s="55" t="n"/>
      <c r="D117" s="68" t="n"/>
      <c r="E117" s="68" t="n"/>
      <c r="F117" s="59">
        <f>IF(OR(E117="",D117=""),"",MAX(E117-D117,0))</f>
        <v/>
      </c>
      <c r="G117" s="59">
        <f>IF(F117="","",IF(N(C117)=0,1,C117))</f>
        <v/>
      </c>
      <c r="H117" s="53" t="n">
        <v>97</v>
      </c>
      <c r="I117" s="67" t="n"/>
      <c r="J117" s="55" t="n"/>
      <c r="K117" s="68" t="n"/>
      <c r="L117" s="68" t="n"/>
      <c r="M117" s="59">
        <f>IF(OR(L117="",K117=""),"",MAX(L117-K117,0))</f>
        <v/>
      </c>
      <c r="N117" s="59">
        <f>IF(M117="","",IF(N(J117)=0,1,J117))</f>
        <v/>
      </c>
    </row>
    <row r="118">
      <c r="A118" s="53" t="n">
        <v>98</v>
      </c>
      <c r="B118" s="67" t="n"/>
      <c r="C118" s="55" t="n"/>
      <c r="D118" s="68" t="n"/>
      <c r="E118" s="68" t="n"/>
      <c r="F118" s="59">
        <f>IF(OR(E118="",D118=""),"",MAX(E118-D118,0))</f>
        <v/>
      </c>
      <c r="G118" s="59">
        <f>IF(F118="","",IF(N(C118)=0,1,C118))</f>
        <v/>
      </c>
      <c r="H118" s="53" t="n">
        <v>98</v>
      </c>
      <c r="I118" s="67" t="n"/>
      <c r="J118" s="55" t="n"/>
      <c r="K118" s="68" t="n"/>
      <c r="L118" s="68" t="n"/>
      <c r="M118" s="59">
        <f>IF(OR(L118="",K118=""),"",MAX(L118-K118,0))</f>
        <v/>
      </c>
      <c r="N118" s="59">
        <f>IF(M118="","",IF(N(J118)=0,1,J118))</f>
        <v/>
      </c>
    </row>
    <row r="119">
      <c r="A119" s="53" t="n">
        <v>99</v>
      </c>
      <c r="B119" s="67" t="n"/>
      <c r="C119" s="55" t="n"/>
      <c r="D119" s="68" t="n"/>
      <c r="E119" s="68" t="n"/>
      <c r="F119" s="59">
        <f>IF(OR(E119="",D119=""),"",MAX(E119-D119,0))</f>
        <v/>
      </c>
      <c r="G119" s="59">
        <f>IF(F119="","",IF(N(C119)=0,1,C119))</f>
        <v/>
      </c>
      <c r="H119" s="53" t="n">
        <v>99</v>
      </c>
      <c r="I119" s="67" t="n"/>
      <c r="J119" s="55" t="n"/>
      <c r="K119" s="68" t="n"/>
      <c r="L119" s="68" t="n"/>
      <c r="M119" s="59">
        <f>IF(OR(L119="",K119=""),"",MAX(L119-K119,0))</f>
        <v/>
      </c>
      <c r="N119" s="59">
        <f>IF(M119="","",IF(N(J119)=0,1,J119))</f>
        <v/>
      </c>
    </row>
    <row r="120">
      <c r="A120" s="53" t="n">
        <v>100</v>
      </c>
      <c r="B120" s="67" t="n"/>
      <c r="C120" s="55" t="n"/>
      <c r="D120" s="68" t="n"/>
      <c r="E120" s="68" t="n"/>
      <c r="F120" s="59">
        <f>IF(OR(E120="",D120=""),"",MAX(E120-D120,0))</f>
        <v/>
      </c>
      <c r="G120" s="59">
        <f>IF(F120="","",IF(N(C120)=0,1,C120))</f>
        <v/>
      </c>
      <c r="H120" s="53" t="n">
        <v>100</v>
      </c>
      <c r="I120" s="67" t="n"/>
      <c r="J120" s="55" t="n"/>
      <c r="K120" s="68" t="n"/>
      <c r="L120" s="68" t="n"/>
      <c r="M120" s="59">
        <f>IF(OR(L120="",K120=""),"",MAX(L120-K120,0))</f>
        <v/>
      </c>
      <c r="N120" s="59">
        <f>IF(M120="","",IF(N(J120)=0,1,J120))</f>
        <v/>
      </c>
    </row>
    <row r="121">
      <c r="A121" s="53" t="n">
        <v>101</v>
      </c>
      <c r="B121" s="67" t="n"/>
      <c r="C121" s="55" t="n"/>
      <c r="D121" s="68" t="n"/>
      <c r="E121" s="68" t="n"/>
      <c r="F121" s="59">
        <f>IF(OR(E121="",D121=""),"",MAX(E121-D121,0))</f>
        <v/>
      </c>
      <c r="G121" s="59">
        <f>IF(F121="","",IF(N(C121)=0,1,C121))</f>
        <v/>
      </c>
      <c r="H121" s="53" t="n">
        <v>101</v>
      </c>
      <c r="I121" s="67" t="n"/>
      <c r="J121" s="55" t="n"/>
      <c r="K121" s="68" t="n"/>
      <c r="L121" s="68" t="n"/>
      <c r="M121" s="59">
        <f>IF(OR(L121="",K121=""),"",MAX(L121-K121,0))</f>
        <v/>
      </c>
      <c r="N121" s="59">
        <f>IF(M121="","",IF(N(J121)=0,1,J121))</f>
        <v/>
      </c>
    </row>
    <row r="122">
      <c r="A122" s="53" t="n">
        <v>102</v>
      </c>
      <c r="B122" s="67" t="n"/>
      <c r="C122" s="55" t="n"/>
      <c r="D122" s="68" t="n"/>
      <c r="E122" s="68" t="n"/>
      <c r="F122" s="59">
        <f>IF(OR(E122="",D122=""),"",MAX(E122-D122,0))</f>
        <v/>
      </c>
      <c r="G122" s="59">
        <f>IF(F122="","",IF(N(C122)=0,1,C122))</f>
        <v/>
      </c>
      <c r="H122" s="53" t="n">
        <v>102</v>
      </c>
      <c r="I122" s="67" t="n"/>
      <c r="J122" s="55" t="n"/>
      <c r="K122" s="68" t="n"/>
      <c r="L122" s="68" t="n"/>
      <c r="M122" s="59">
        <f>IF(OR(L122="",K122=""),"",MAX(L122-K122,0))</f>
        <v/>
      </c>
      <c r="N122" s="59">
        <f>IF(M122="","",IF(N(J122)=0,1,J122))</f>
        <v/>
      </c>
    </row>
    <row r="123">
      <c r="A123" s="53" t="n">
        <v>103</v>
      </c>
      <c r="B123" s="67" t="n"/>
      <c r="C123" s="55" t="n"/>
      <c r="D123" s="68" t="n"/>
      <c r="E123" s="68" t="n"/>
      <c r="F123" s="59">
        <f>IF(OR(E123="",D123=""),"",MAX(E123-D123,0))</f>
        <v/>
      </c>
      <c r="G123" s="59">
        <f>IF(F123="","",IF(N(C123)=0,1,C123))</f>
        <v/>
      </c>
      <c r="H123" s="53" t="n">
        <v>103</v>
      </c>
      <c r="I123" s="67" t="n"/>
      <c r="J123" s="55" t="n"/>
      <c r="K123" s="68" t="n"/>
      <c r="L123" s="68" t="n"/>
      <c r="M123" s="59">
        <f>IF(OR(L123="",K123=""),"",MAX(L123-K123,0))</f>
        <v/>
      </c>
      <c r="N123" s="59">
        <f>IF(M123="","",IF(N(J123)=0,1,J123))</f>
        <v/>
      </c>
    </row>
    <row r="124">
      <c r="A124" s="53" t="n">
        <v>104</v>
      </c>
      <c r="B124" s="67" t="n"/>
      <c r="C124" s="55" t="n"/>
      <c r="D124" s="68" t="n"/>
      <c r="E124" s="68" t="n"/>
      <c r="F124" s="59">
        <f>IF(OR(E124="",D124=""),"",MAX(E124-D124,0))</f>
        <v/>
      </c>
      <c r="G124" s="59">
        <f>IF(F124="","",IF(N(C124)=0,1,C124))</f>
        <v/>
      </c>
      <c r="H124" s="53" t="n">
        <v>104</v>
      </c>
      <c r="I124" s="67" t="n"/>
      <c r="J124" s="55" t="n"/>
      <c r="K124" s="68" t="n"/>
      <c r="L124" s="68" t="n"/>
      <c r="M124" s="59">
        <f>IF(OR(L124="",K124=""),"",MAX(L124-K124,0))</f>
        <v/>
      </c>
      <c r="N124" s="59">
        <f>IF(M124="","",IF(N(J124)=0,1,J124))</f>
        <v/>
      </c>
    </row>
    <row r="125">
      <c r="A125" s="53" t="n">
        <v>105</v>
      </c>
      <c r="B125" s="67" t="n"/>
      <c r="C125" s="55" t="n"/>
      <c r="D125" s="68" t="n"/>
      <c r="E125" s="68" t="n"/>
      <c r="F125" s="59">
        <f>IF(OR(E125="",D125=""),"",MAX(E125-D125,0))</f>
        <v/>
      </c>
      <c r="G125" s="59">
        <f>IF(F125="","",IF(N(C125)=0,1,C125))</f>
        <v/>
      </c>
      <c r="H125" s="53" t="n">
        <v>105</v>
      </c>
      <c r="I125" s="67" t="n"/>
      <c r="J125" s="55" t="n"/>
      <c r="K125" s="68" t="n"/>
      <c r="L125" s="68" t="n"/>
      <c r="M125" s="59">
        <f>IF(OR(L125="",K125=""),"",MAX(L125-K125,0))</f>
        <v/>
      </c>
      <c r="N125" s="59">
        <f>IF(M125="","",IF(N(J125)=0,1,J125))</f>
        <v/>
      </c>
    </row>
    <row r="126">
      <c r="A126" s="53" t="n">
        <v>106</v>
      </c>
      <c r="B126" s="67" t="n"/>
      <c r="C126" s="55" t="n"/>
      <c r="D126" s="68" t="n"/>
      <c r="E126" s="68" t="n"/>
      <c r="F126" s="59">
        <f>IF(OR(E126="",D126=""),"",MAX(E126-D126,0))</f>
        <v/>
      </c>
      <c r="G126" s="59">
        <f>IF(F126="","",IF(N(C126)=0,1,C126))</f>
        <v/>
      </c>
      <c r="H126" s="53" t="n">
        <v>106</v>
      </c>
      <c r="I126" s="67" t="n"/>
      <c r="J126" s="55" t="n"/>
      <c r="K126" s="68" t="n"/>
      <c r="L126" s="68" t="n"/>
      <c r="M126" s="59">
        <f>IF(OR(L126="",K126=""),"",MAX(L126-K126,0))</f>
        <v/>
      </c>
      <c r="N126" s="59">
        <f>IF(M126="","",IF(N(J126)=0,1,J126))</f>
        <v/>
      </c>
    </row>
    <row r="127">
      <c r="A127" s="53" t="n">
        <v>107</v>
      </c>
      <c r="B127" s="67" t="n"/>
      <c r="C127" s="55" t="n"/>
      <c r="D127" s="68" t="n"/>
      <c r="E127" s="68" t="n"/>
      <c r="F127" s="59">
        <f>IF(OR(E127="",D127=""),"",MAX(E127-D127,0))</f>
        <v/>
      </c>
      <c r="G127" s="59">
        <f>IF(F127="","",IF(N(C127)=0,1,C127))</f>
        <v/>
      </c>
      <c r="H127" s="53" t="n">
        <v>107</v>
      </c>
      <c r="I127" s="67" t="n"/>
      <c r="J127" s="55" t="n"/>
      <c r="K127" s="68" t="n"/>
      <c r="L127" s="68" t="n"/>
      <c r="M127" s="59">
        <f>IF(OR(L127="",K127=""),"",MAX(L127-K127,0))</f>
        <v/>
      </c>
      <c r="N127" s="59">
        <f>IF(M127="","",IF(N(J127)=0,1,J127))</f>
        <v/>
      </c>
    </row>
    <row r="128">
      <c r="A128" s="53" t="n">
        <v>108</v>
      </c>
      <c r="B128" s="67" t="n"/>
      <c r="C128" s="55" t="n"/>
      <c r="D128" s="68" t="n"/>
      <c r="E128" s="68" t="n"/>
      <c r="F128" s="59">
        <f>IF(OR(E128="",D128=""),"",MAX(E128-D128,0))</f>
        <v/>
      </c>
      <c r="G128" s="59">
        <f>IF(F128="","",IF(N(C128)=0,1,C128))</f>
        <v/>
      </c>
      <c r="H128" s="53" t="n">
        <v>108</v>
      </c>
      <c r="I128" s="67" t="n"/>
      <c r="J128" s="55" t="n"/>
      <c r="K128" s="68" t="n"/>
      <c r="L128" s="68" t="n"/>
      <c r="M128" s="59">
        <f>IF(OR(L128="",K128=""),"",MAX(L128-K128,0))</f>
        <v/>
      </c>
      <c r="N128" s="59">
        <f>IF(M128="","",IF(N(J128)=0,1,J128))</f>
        <v/>
      </c>
    </row>
    <row r="129">
      <c r="A129" s="53" t="n">
        <v>109</v>
      </c>
      <c r="B129" s="67" t="n"/>
      <c r="C129" s="55" t="n"/>
      <c r="D129" s="68" t="n"/>
      <c r="E129" s="68" t="n"/>
      <c r="F129" s="59">
        <f>IF(OR(E129="",D129=""),"",MAX(E129-D129,0))</f>
        <v/>
      </c>
      <c r="G129" s="59">
        <f>IF(F129="","",IF(N(C129)=0,1,C129))</f>
        <v/>
      </c>
      <c r="H129" s="53" t="n">
        <v>109</v>
      </c>
      <c r="I129" s="67" t="n"/>
      <c r="J129" s="55" t="n"/>
      <c r="K129" s="68" t="n"/>
      <c r="L129" s="68" t="n"/>
      <c r="M129" s="59">
        <f>IF(OR(L129="",K129=""),"",MAX(L129-K129,0))</f>
        <v/>
      </c>
      <c r="N129" s="59">
        <f>IF(M129="","",IF(N(J129)=0,1,J129))</f>
        <v/>
      </c>
    </row>
    <row r="130">
      <c r="A130" s="53" t="n">
        <v>110</v>
      </c>
      <c r="B130" s="67" t="n"/>
      <c r="C130" s="55" t="n"/>
      <c r="D130" s="68" t="n"/>
      <c r="E130" s="68" t="n"/>
      <c r="F130" s="59">
        <f>IF(OR(E130="",D130=""),"",MAX(E130-D130,0))</f>
        <v/>
      </c>
      <c r="G130" s="59">
        <f>IF(F130="","",IF(N(C130)=0,1,C130))</f>
        <v/>
      </c>
      <c r="H130" s="53" t="n">
        <v>110</v>
      </c>
      <c r="I130" s="67" t="n"/>
      <c r="J130" s="55" t="n"/>
      <c r="K130" s="68" t="n"/>
      <c r="L130" s="68" t="n"/>
      <c r="M130" s="59">
        <f>IF(OR(L130="",K130=""),"",MAX(L130-K130,0))</f>
        <v/>
      </c>
      <c r="N130" s="59">
        <f>IF(M130="","",IF(N(J130)=0,1,J130))</f>
        <v/>
      </c>
    </row>
    <row r="131">
      <c r="A131" s="53" t="n">
        <v>111</v>
      </c>
      <c r="B131" s="67" t="n"/>
      <c r="C131" s="55" t="n"/>
      <c r="D131" s="68" t="n"/>
      <c r="E131" s="68" t="n"/>
      <c r="F131" s="59">
        <f>IF(OR(E131="",D131=""),"",MAX(E131-D131,0))</f>
        <v/>
      </c>
      <c r="G131" s="59">
        <f>IF(F131="","",IF(N(C131)=0,1,C131))</f>
        <v/>
      </c>
      <c r="H131" s="53" t="n">
        <v>111</v>
      </c>
      <c r="I131" s="67" t="n"/>
      <c r="J131" s="55" t="n"/>
      <c r="K131" s="68" t="n"/>
      <c r="L131" s="68" t="n"/>
      <c r="M131" s="59">
        <f>IF(OR(L131="",K131=""),"",MAX(L131-K131,0))</f>
        <v/>
      </c>
      <c r="N131" s="59">
        <f>IF(M131="","",IF(N(J131)=0,1,J131))</f>
        <v/>
      </c>
    </row>
    <row r="132">
      <c r="A132" s="53" t="n">
        <v>112</v>
      </c>
      <c r="B132" s="67" t="n"/>
      <c r="C132" s="55" t="n"/>
      <c r="D132" s="68" t="n"/>
      <c r="E132" s="68" t="n"/>
      <c r="F132" s="59">
        <f>IF(OR(E132="",D132=""),"",MAX(E132-D132,0))</f>
        <v/>
      </c>
      <c r="G132" s="59">
        <f>IF(F132="","",IF(N(C132)=0,1,C132))</f>
        <v/>
      </c>
      <c r="H132" s="53" t="n">
        <v>112</v>
      </c>
      <c r="I132" s="67" t="n"/>
      <c r="J132" s="55" t="n"/>
      <c r="K132" s="68" t="n"/>
      <c r="L132" s="68" t="n"/>
      <c r="M132" s="59">
        <f>IF(OR(L132="",K132=""),"",MAX(L132-K132,0))</f>
        <v/>
      </c>
      <c r="N132" s="59">
        <f>IF(M132="","",IF(N(J132)=0,1,J132))</f>
        <v/>
      </c>
    </row>
    <row r="133">
      <c r="A133" s="53" t="n">
        <v>113</v>
      </c>
      <c r="B133" s="67" t="n"/>
      <c r="C133" s="55" t="n"/>
      <c r="D133" s="68" t="n"/>
      <c r="E133" s="68" t="n"/>
      <c r="F133" s="59">
        <f>IF(OR(E133="",D133=""),"",MAX(E133-D133,0))</f>
        <v/>
      </c>
      <c r="G133" s="59">
        <f>IF(F133="","",IF(N(C133)=0,1,C133))</f>
        <v/>
      </c>
      <c r="H133" s="53" t="n">
        <v>113</v>
      </c>
      <c r="I133" s="67" t="n"/>
      <c r="J133" s="55" t="n"/>
      <c r="K133" s="68" t="n"/>
      <c r="L133" s="68" t="n"/>
      <c r="M133" s="59">
        <f>IF(OR(L133="",K133=""),"",MAX(L133-K133,0))</f>
        <v/>
      </c>
      <c r="N133" s="59">
        <f>IF(M133="","",IF(N(J133)=0,1,J133))</f>
        <v/>
      </c>
    </row>
    <row r="134">
      <c r="A134" s="53" t="n">
        <v>114</v>
      </c>
      <c r="B134" s="67" t="n"/>
      <c r="C134" s="55" t="n"/>
      <c r="D134" s="68" t="n"/>
      <c r="E134" s="68" t="n"/>
      <c r="F134" s="59">
        <f>IF(OR(E134="",D134=""),"",MAX(E134-D134,0))</f>
        <v/>
      </c>
      <c r="G134" s="59">
        <f>IF(F134="","",IF(N(C134)=0,1,C134))</f>
        <v/>
      </c>
      <c r="H134" s="53" t="n">
        <v>114</v>
      </c>
      <c r="I134" s="67" t="n"/>
      <c r="J134" s="55" t="n"/>
      <c r="K134" s="68" t="n"/>
      <c r="L134" s="68" t="n"/>
      <c r="M134" s="59">
        <f>IF(OR(L134="",K134=""),"",MAX(L134-K134,0))</f>
        <v/>
      </c>
      <c r="N134" s="59">
        <f>IF(M134="","",IF(N(J134)=0,1,J134))</f>
        <v/>
      </c>
    </row>
    <row r="135">
      <c r="A135" s="53" t="n">
        <v>115</v>
      </c>
      <c r="B135" s="67" t="n"/>
      <c r="C135" s="55" t="n"/>
      <c r="D135" s="68" t="n"/>
      <c r="E135" s="68" t="n"/>
      <c r="F135" s="59">
        <f>IF(OR(E135="",D135=""),"",MAX(E135-D135,0))</f>
        <v/>
      </c>
      <c r="G135" s="59">
        <f>IF(F135="","",IF(N(C135)=0,1,C135))</f>
        <v/>
      </c>
      <c r="H135" s="53" t="n">
        <v>115</v>
      </c>
      <c r="I135" s="67" t="n"/>
      <c r="J135" s="55" t="n"/>
      <c r="K135" s="68" t="n"/>
      <c r="L135" s="68" t="n"/>
      <c r="M135" s="59">
        <f>IF(OR(L135="",K135=""),"",MAX(L135-K135,0))</f>
        <v/>
      </c>
      <c r="N135" s="59">
        <f>IF(M135="","",IF(N(J135)=0,1,J135))</f>
        <v/>
      </c>
    </row>
    <row r="136">
      <c r="A136" s="53" t="n">
        <v>116</v>
      </c>
      <c r="B136" s="67" t="n"/>
      <c r="C136" s="55" t="n"/>
      <c r="D136" s="68" t="n"/>
      <c r="E136" s="68" t="n"/>
      <c r="F136" s="59">
        <f>IF(OR(E136="",D136=""),"",MAX(E136-D136,0))</f>
        <v/>
      </c>
      <c r="G136" s="59">
        <f>IF(F136="","",IF(N(C136)=0,1,C136))</f>
        <v/>
      </c>
      <c r="H136" s="53" t="n">
        <v>116</v>
      </c>
      <c r="I136" s="67" t="n"/>
      <c r="J136" s="55" t="n"/>
      <c r="K136" s="68" t="n"/>
      <c r="L136" s="68" t="n"/>
      <c r="M136" s="59">
        <f>IF(OR(L136="",K136=""),"",MAX(L136-K136,0))</f>
        <v/>
      </c>
      <c r="N136" s="59">
        <f>IF(M136="","",IF(N(J136)=0,1,J136))</f>
        <v/>
      </c>
    </row>
    <row r="137">
      <c r="A137" s="53" t="n">
        <v>117</v>
      </c>
      <c r="B137" s="67" t="n"/>
      <c r="C137" s="55" t="n"/>
      <c r="D137" s="68" t="n"/>
      <c r="E137" s="68" t="n"/>
      <c r="F137" s="59">
        <f>IF(OR(E137="",D137=""),"",MAX(E137-D137,0))</f>
        <v/>
      </c>
      <c r="G137" s="59">
        <f>IF(F137="","",IF(N(C137)=0,1,C137))</f>
        <v/>
      </c>
      <c r="H137" s="53" t="n">
        <v>117</v>
      </c>
      <c r="I137" s="67" t="n"/>
      <c r="J137" s="55" t="n"/>
      <c r="K137" s="68" t="n"/>
      <c r="L137" s="68" t="n"/>
      <c r="M137" s="59">
        <f>IF(OR(L137="",K137=""),"",MAX(L137-K137,0))</f>
        <v/>
      </c>
      <c r="N137" s="59">
        <f>IF(M137="","",IF(N(J137)=0,1,J137))</f>
        <v/>
      </c>
    </row>
    <row r="138">
      <c r="A138" s="53" t="n">
        <v>118</v>
      </c>
      <c r="B138" s="67" t="n"/>
      <c r="C138" s="55" t="n"/>
      <c r="D138" s="68" t="n"/>
      <c r="E138" s="68" t="n"/>
      <c r="F138" s="59">
        <f>IF(OR(E138="",D138=""),"",MAX(E138-D138,0))</f>
        <v/>
      </c>
      <c r="G138" s="59">
        <f>IF(F138="","",IF(N(C138)=0,1,C138))</f>
        <v/>
      </c>
      <c r="H138" s="53" t="n">
        <v>118</v>
      </c>
      <c r="I138" s="67" t="n"/>
      <c r="J138" s="55" t="n"/>
      <c r="K138" s="68" t="n"/>
      <c r="L138" s="68" t="n"/>
      <c r="M138" s="59">
        <f>IF(OR(L138="",K138=""),"",MAX(L138-K138,0))</f>
        <v/>
      </c>
      <c r="N138" s="59">
        <f>IF(M138="","",IF(N(J138)=0,1,J138))</f>
        <v/>
      </c>
    </row>
    <row r="139">
      <c r="A139" s="53" t="n">
        <v>119</v>
      </c>
      <c r="B139" s="67" t="n"/>
      <c r="C139" s="55" t="n"/>
      <c r="D139" s="68" t="n"/>
      <c r="E139" s="68" t="n"/>
      <c r="F139" s="59">
        <f>IF(OR(E139="",D139=""),"",MAX(E139-D139,0))</f>
        <v/>
      </c>
      <c r="G139" s="59">
        <f>IF(F139="","",IF(N(C139)=0,1,C139))</f>
        <v/>
      </c>
      <c r="H139" s="53" t="n">
        <v>119</v>
      </c>
      <c r="I139" s="67" t="n"/>
      <c r="J139" s="55" t="n"/>
      <c r="K139" s="68" t="n"/>
      <c r="L139" s="68" t="n"/>
      <c r="M139" s="59">
        <f>IF(OR(L139="",K139=""),"",MAX(L139-K139,0))</f>
        <v/>
      </c>
      <c r="N139" s="59">
        <f>IF(M139="","",IF(N(J139)=0,1,J139))</f>
        <v/>
      </c>
    </row>
    <row r="140">
      <c r="A140" s="53" t="n">
        <v>120</v>
      </c>
      <c r="B140" s="67" t="n"/>
      <c r="C140" s="55" t="n"/>
      <c r="D140" s="68" t="n"/>
      <c r="E140" s="68" t="n"/>
      <c r="F140" s="59">
        <f>IF(OR(E140="",D140=""),"",MAX(E140-D140,0))</f>
        <v/>
      </c>
      <c r="G140" s="59">
        <f>IF(F140="","",IF(N(C140)=0,1,C140))</f>
        <v/>
      </c>
      <c r="H140" s="53" t="n">
        <v>120</v>
      </c>
      <c r="I140" s="67" t="n"/>
      <c r="J140" s="55" t="n"/>
      <c r="K140" s="68" t="n"/>
      <c r="L140" s="68" t="n"/>
      <c r="M140" s="59">
        <f>IF(OR(L140="",K140=""),"",MAX(L140-K140,0))</f>
        <v/>
      </c>
      <c r="N140" s="59">
        <f>IF(M140="","",IF(N(J140)=0,1,J140))</f>
        <v/>
      </c>
    </row>
    <row r="141">
      <c r="A141" s="53" t="n">
        <v>121</v>
      </c>
      <c r="B141" s="67" t="n"/>
      <c r="C141" s="55" t="n"/>
      <c r="D141" s="68" t="n"/>
      <c r="E141" s="68" t="n"/>
      <c r="F141" s="59">
        <f>IF(OR(E141="",D141=""),"",MAX(E141-D141,0))</f>
        <v/>
      </c>
      <c r="G141" s="59">
        <f>IF(F141="","",IF(N(C141)=0,1,C141))</f>
        <v/>
      </c>
      <c r="H141" s="53" t="n">
        <v>121</v>
      </c>
      <c r="I141" s="67" t="n"/>
      <c r="J141" s="55" t="n"/>
      <c r="K141" s="68" t="n"/>
      <c r="L141" s="68" t="n"/>
      <c r="M141" s="59">
        <f>IF(OR(L141="",K141=""),"",MAX(L141-K141,0))</f>
        <v/>
      </c>
      <c r="N141" s="59">
        <f>IF(M141="","",IF(N(J141)=0,1,J141))</f>
        <v/>
      </c>
    </row>
    <row r="142">
      <c r="A142" s="53" t="n">
        <v>122</v>
      </c>
      <c r="B142" s="67" t="n"/>
      <c r="C142" s="55" t="n"/>
      <c r="D142" s="68" t="n"/>
      <c r="E142" s="68" t="n"/>
      <c r="F142" s="59">
        <f>IF(OR(E142="",D142=""),"",MAX(E142-D142,0))</f>
        <v/>
      </c>
      <c r="G142" s="59">
        <f>IF(F142="","",IF(N(C142)=0,1,C142))</f>
        <v/>
      </c>
      <c r="H142" s="53" t="n">
        <v>122</v>
      </c>
      <c r="I142" s="67" t="n"/>
      <c r="J142" s="55" t="n"/>
      <c r="K142" s="68" t="n"/>
      <c r="L142" s="68" t="n"/>
      <c r="M142" s="59">
        <f>IF(OR(L142="",K142=""),"",MAX(L142-K142,0))</f>
        <v/>
      </c>
      <c r="N142" s="59">
        <f>IF(M142="","",IF(N(J142)=0,1,J142))</f>
        <v/>
      </c>
    </row>
    <row r="143">
      <c r="A143" s="53" t="n">
        <v>123</v>
      </c>
      <c r="B143" s="67" t="n"/>
      <c r="C143" s="55" t="n"/>
      <c r="D143" s="68" t="n"/>
      <c r="E143" s="68" t="n"/>
      <c r="F143" s="59">
        <f>IF(OR(E143="",D143=""),"",MAX(E143-D143,0))</f>
        <v/>
      </c>
      <c r="G143" s="59">
        <f>IF(F143="","",IF(N(C143)=0,1,C143))</f>
        <v/>
      </c>
      <c r="H143" s="53" t="n">
        <v>123</v>
      </c>
      <c r="I143" s="67" t="n"/>
      <c r="J143" s="55" t="n"/>
      <c r="K143" s="68" t="n"/>
      <c r="L143" s="68" t="n"/>
      <c r="M143" s="59">
        <f>IF(OR(L143="",K143=""),"",MAX(L143-K143,0))</f>
        <v/>
      </c>
      <c r="N143" s="59">
        <f>IF(M143="","",IF(N(J143)=0,1,J143))</f>
        <v/>
      </c>
    </row>
    <row r="144">
      <c r="A144" s="53" t="n">
        <v>124</v>
      </c>
      <c r="B144" s="67" t="n"/>
      <c r="C144" s="55" t="n"/>
      <c r="D144" s="68" t="n"/>
      <c r="E144" s="68" t="n"/>
      <c r="F144" s="59">
        <f>IF(OR(E144="",D144=""),"",MAX(E144-D144,0))</f>
        <v/>
      </c>
      <c r="G144" s="59">
        <f>IF(F144="","",IF(N(C144)=0,1,C144))</f>
        <v/>
      </c>
      <c r="H144" s="53" t="n">
        <v>124</v>
      </c>
      <c r="I144" s="67" t="n"/>
      <c r="J144" s="55" t="n"/>
      <c r="K144" s="68" t="n"/>
      <c r="L144" s="68" t="n"/>
      <c r="M144" s="59">
        <f>IF(OR(L144="",K144=""),"",MAX(L144-K144,0))</f>
        <v/>
      </c>
      <c r="N144" s="59">
        <f>IF(M144="","",IF(N(J144)=0,1,J144))</f>
        <v/>
      </c>
    </row>
    <row r="145">
      <c r="A145" s="53" t="n">
        <v>125</v>
      </c>
      <c r="B145" s="67" t="n"/>
      <c r="C145" s="55" t="n"/>
      <c r="D145" s="68" t="n"/>
      <c r="E145" s="68" t="n"/>
      <c r="F145" s="59">
        <f>IF(OR(E145="",D145=""),"",MAX(E145-D145,0))</f>
        <v/>
      </c>
      <c r="G145" s="59">
        <f>IF(F145="","",IF(N(C145)=0,1,C145))</f>
        <v/>
      </c>
      <c r="H145" s="53" t="n">
        <v>125</v>
      </c>
      <c r="I145" s="67" t="n"/>
      <c r="J145" s="55" t="n"/>
      <c r="K145" s="68" t="n"/>
      <c r="L145" s="68" t="n"/>
      <c r="M145" s="59">
        <f>IF(OR(L145="",K145=""),"",MAX(L145-K145,0))</f>
        <v/>
      </c>
      <c r="N145" s="59">
        <f>IF(M145="","",IF(N(J145)=0,1,J145))</f>
        <v/>
      </c>
    </row>
    <row r="146">
      <c r="A146" s="53" t="n">
        <v>126</v>
      </c>
      <c r="B146" s="67" t="n"/>
      <c r="C146" s="55" t="n"/>
      <c r="D146" s="68" t="n"/>
      <c r="E146" s="68" t="n"/>
      <c r="F146" s="59">
        <f>IF(OR(E146="",D146=""),"",MAX(E146-D146,0))</f>
        <v/>
      </c>
      <c r="G146" s="59">
        <f>IF(F146="","",IF(N(C146)=0,1,C146))</f>
        <v/>
      </c>
      <c r="H146" s="53" t="n">
        <v>126</v>
      </c>
      <c r="I146" s="67" t="n"/>
      <c r="J146" s="55" t="n"/>
      <c r="K146" s="68" t="n"/>
      <c r="L146" s="68" t="n"/>
      <c r="M146" s="59">
        <f>IF(OR(L146="",K146=""),"",MAX(L146-K146,0))</f>
        <v/>
      </c>
      <c r="N146" s="59">
        <f>IF(M146="","",IF(N(J146)=0,1,J146))</f>
        <v/>
      </c>
    </row>
    <row r="147">
      <c r="A147" s="53" t="n">
        <v>127</v>
      </c>
      <c r="B147" s="67" t="n"/>
      <c r="C147" s="55" t="n"/>
      <c r="D147" s="68" t="n"/>
      <c r="E147" s="68" t="n"/>
      <c r="F147" s="59">
        <f>IF(OR(E147="",D147=""),"",MAX(E147-D147,0))</f>
        <v/>
      </c>
      <c r="G147" s="59">
        <f>IF(F147="","",IF(N(C147)=0,1,C147))</f>
        <v/>
      </c>
      <c r="H147" s="53" t="n">
        <v>127</v>
      </c>
      <c r="I147" s="67" t="n"/>
      <c r="J147" s="55" t="n"/>
      <c r="K147" s="68" t="n"/>
      <c r="L147" s="68" t="n"/>
      <c r="M147" s="59">
        <f>IF(OR(L147="",K147=""),"",MAX(L147-K147,0))</f>
        <v/>
      </c>
      <c r="N147" s="59">
        <f>IF(M147="","",IF(N(J147)=0,1,J147))</f>
        <v/>
      </c>
    </row>
    <row r="148">
      <c r="A148" s="53" t="n">
        <v>128</v>
      </c>
      <c r="B148" s="67" t="n"/>
      <c r="C148" s="55" t="n"/>
      <c r="D148" s="68" t="n"/>
      <c r="E148" s="68" t="n"/>
      <c r="F148" s="59">
        <f>IF(OR(E148="",D148=""),"",MAX(E148-D148,0))</f>
        <v/>
      </c>
      <c r="G148" s="59">
        <f>IF(F148="","",IF(N(C148)=0,1,C148))</f>
        <v/>
      </c>
      <c r="H148" s="53" t="n">
        <v>128</v>
      </c>
      <c r="I148" s="67" t="n"/>
      <c r="J148" s="55" t="n"/>
      <c r="K148" s="68" t="n"/>
      <c r="L148" s="68" t="n"/>
      <c r="M148" s="59">
        <f>IF(OR(L148="",K148=""),"",MAX(L148-K148,0))</f>
        <v/>
      </c>
      <c r="N148" s="59">
        <f>IF(M148="","",IF(N(J148)=0,1,J148))</f>
        <v/>
      </c>
    </row>
    <row r="149">
      <c r="A149" s="53" t="n">
        <v>129</v>
      </c>
      <c r="B149" s="67" t="n"/>
      <c r="C149" s="55" t="n"/>
      <c r="D149" s="68" t="n"/>
      <c r="E149" s="68" t="n"/>
      <c r="F149" s="59">
        <f>IF(OR(E149="",D149=""),"",MAX(E149-D149,0))</f>
        <v/>
      </c>
      <c r="G149" s="59">
        <f>IF(F149="","",IF(N(C149)=0,1,C149))</f>
        <v/>
      </c>
      <c r="H149" s="53" t="n">
        <v>129</v>
      </c>
      <c r="I149" s="67" t="n"/>
      <c r="J149" s="55" t="n"/>
      <c r="K149" s="68" t="n"/>
      <c r="L149" s="68" t="n"/>
      <c r="M149" s="59">
        <f>IF(OR(L149="",K149=""),"",MAX(L149-K149,0))</f>
        <v/>
      </c>
      <c r="N149" s="59">
        <f>IF(M149="","",IF(N(J149)=0,1,J149))</f>
        <v/>
      </c>
    </row>
    <row r="150">
      <c r="A150" s="53" t="n">
        <v>130</v>
      </c>
      <c r="B150" s="67" t="n"/>
      <c r="C150" s="55" t="n"/>
      <c r="D150" s="68" t="n"/>
      <c r="E150" s="68" t="n"/>
      <c r="F150" s="59">
        <f>IF(OR(E150="",D150=""),"",MAX(E150-D150,0))</f>
        <v/>
      </c>
      <c r="G150" s="59">
        <f>IF(F150="","",IF(N(C150)=0,1,C150))</f>
        <v/>
      </c>
      <c r="H150" s="53" t="n">
        <v>130</v>
      </c>
      <c r="I150" s="67" t="n"/>
      <c r="J150" s="55" t="n"/>
      <c r="K150" s="68" t="n"/>
      <c r="L150" s="68" t="n"/>
      <c r="M150" s="59">
        <f>IF(OR(L150="",K150=""),"",MAX(L150-K150,0))</f>
        <v/>
      </c>
      <c r="N150" s="59">
        <f>IF(M150="","",IF(N(J150)=0,1,J150))</f>
        <v/>
      </c>
    </row>
    <row r="151">
      <c r="A151" s="53" t="n">
        <v>131</v>
      </c>
      <c r="B151" s="67" t="n"/>
      <c r="C151" s="55" t="n"/>
      <c r="D151" s="68" t="n"/>
      <c r="E151" s="68" t="n"/>
      <c r="F151" s="59">
        <f>IF(OR(E151="",D151=""),"",MAX(E151-D151,0))</f>
        <v/>
      </c>
      <c r="G151" s="59">
        <f>IF(F151="","",IF(N(C151)=0,1,C151))</f>
        <v/>
      </c>
      <c r="H151" s="53" t="n">
        <v>131</v>
      </c>
      <c r="I151" s="67" t="n"/>
      <c r="J151" s="55" t="n"/>
      <c r="K151" s="68" t="n"/>
      <c r="L151" s="68" t="n"/>
      <c r="M151" s="59">
        <f>IF(OR(L151="",K151=""),"",MAX(L151-K151,0))</f>
        <v/>
      </c>
      <c r="N151" s="59">
        <f>IF(M151="","",IF(N(J151)=0,1,J151))</f>
        <v/>
      </c>
    </row>
    <row r="152">
      <c r="A152" s="53" t="n">
        <v>132</v>
      </c>
      <c r="B152" s="67" t="n"/>
      <c r="C152" s="55" t="n"/>
      <c r="D152" s="68" t="n"/>
      <c r="E152" s="68" t="n"/>
      <c r="F152" s="59">
        <f>IF(OR(E152="",D152=""),"",MAX(E152-D152,0))</f>
        <v/>
      </c>
      <c r="G152" s="59">
        <f>IF(F152="","",IF(N(C152)=0,1,C152))</f>
        <v/>
      </c>
      <c r="H152" s="53" t="n">
        <v>132</v>
      </c>
      <c r="I152" s="67" t="n"/>
      <c r="J152" s="55" t="n"/>
      <c r="K152" s="68" t="n"/>
      <c r="L152" s="68" t="n"/>
      <c r="M152" s="59">
        <f>IF(OR(L152="",K152=""),"",MAX(L152-K152,0))</f>
        <v/>
      </c>
      <c r="N152" s="59">
        <f>IF(M152="","",IF(N(J152)=0,1,J152))</f>
        <v/>
      </c>
    </row>
    <row r="153">
      <c r="A153" s="53" t="n">
        <v>133</v>
      </c>
      <c r="B153" s="67" t="n"/>
      <c r="C153" s="55" t="n"/>
      <c r="D153" s="68" t="n"/>
      <c r="E153" s="68" t="n"/>
      <c r="F153" s="59">
        <f>IF(OR(E153="",D153=""),"",MAX(E153-D153,0))</f>
        <v/>
      </c>
      <c r="G153" s="59">
        <f>IF(F153="","",IF(N(C153)=0,1,C153))</f>
        <v/>
      </c>
      <c r="H153" s="53" t="n">
        <v>133</v>
      </c>
      <c r="I153" s="67" t="n"/>
      <c r="J153" s="55" t="n"/>
      <c r="K153" s="68" t="n"/>
      <c r="L153" s="68" t="n"/>
      <c r="M153" s="59">
        <f>IF(OR(L153="",K153=""),"",MAX(L153-K153,0))</f>
        <v/>
      </c>
      <c r="N153" s="59">
        <f>IF(M153="","",IF(N(J153)=0,1,J153))</f>
        <v/>
      </c>
    </row>
    <row r="154">
      <c r="A154" s="53" t="n">
        <v>134</v>
      </c>
      <c r="B154" s="67" t="n"/>
      <c r="C154" s="55" t="n"/>
      <c r="D154" s="68" t="n"/>
      <c r="E154" s="68" t="n"/>
      <c r="F154" s="59">
        <f>IF(OR(E154="",D154=""),"",MAX(E154-D154,0))</f>
        <v/>
      </c>
      <c r="G154" s="59">
        <f>IF(F154="","",IF(N(C154)=0,1,C154))</f>
        <v/>
      </c>
      <c r="H154" s="53" t="n">
        <v>134</v>
      </c>
      <c r="I154" s="67" t="n"/>
      <c r="J154" s="55" t="n"/>
      <c r="K154" s="68" t="n"/>
      <c r="L154" s="68" t="n"/>
      <c r="M154" s="59">
        <f>IF(OR(L154="",K154=""),"",MAX(L154-K154,0))</f>
        <v/>
      </c>
      <c r="N154" s="59">
        <f>IF(M154="","",IF(N(J154)=0,1,J154))</f>
        <v/>
      </c>
    </row>
    <row r="155">
      <c r="A155" s="53" t="n">
        <v>135</v>
      </c>
      <c r="B155" s="67" t="n"/>
      <c r="C155" s="55" t="n"/>
      <c r="D155" s="68" t="n"/>
      <c r="E155" s="68" t="n"/>
      <c r="F155" s="59">
        <f>IF(OR(E155="",D155=""),"",MAX(E155-D155,0))</f>
        <v/>
      </c>
      <c r="G155" s="59">
        <f>IF(F155="","",IF(N(C155)=0,1,C155))</f>
        <v/>
      </c>
      <c r="H155" s="53" t="n">
        <v>135</v>
      </c>
      <c r="I155" s="67" t="n"/>
      <c r="J155" s="55" t="n"/>
      <c r="K155" s="68" t="n"/>
      <c r="L155" s="68" t="n"/>
      <c r="M155" s="59">
        <f>IF(OR(L155="",K155=""),"",MAX(L155-K155,0))</f>
        <v/>
      </c>
      <c r="N155" s="59">
        <f>IF(M155="","",IF(N(J155)=0,1,J155))</f>
        <v/>
      </c>
    </row>
    <row r="156">
      <c r="A156" s="53" t="n">
        <v>136</v>
      </c>
      <c r="B156" s="67" t="n"/>
      <c r="C156" s="55" t="n"/>
      <c r="D156" s="68" t="n"/>
      <c r="E156" s="68" t="n"/>
      <c r="F156" s="59">
        <f>IF(OR(E156="",D156=""),"",MAX(E156-D156,0))</f>
        <v/>
      </c>
      <c r="G156" s="59">
        <f>IF(F156="","",IF(N(C156)=0,1,C156))</f>
        <v/>
      </c>
      <c r="H156" s="53" t="n">
        <v>136</v>
      </c>
      <c r="I156" s="67" t="n"/>
      <c r="J156" s="55" t="n"/>
      <c r="K156" s="68" t="n"/>
      <c r="L156" s="68" t="n"/>
      <c r="M156" s="59">
        <f>IF(OR(L156="",K156=""),"",MAX(L156-K156,0))</f>
        <v/>
      </c>
      <c r="N156" s="59">
        <f>IF(M156="","",IF(N(J156)=0,1,J156))</f>
        <v/>
      </c>
    </row>
    <row r="157">
      <c r="A157" s="53" t="n">
        <v>137</v>
      </c>
      <c r="B157" s="67" t="n"/>
      <c r="C157" s="55" t="n"/>
      <c r="D157" s="68" t="n"/>
      <c r="E157" s="68" t="n"/>
      <c r="F157" s="59">
        <f>IF(OR(E157="",D157=""),"",MAX(E157-D157,0))</f>
        <v/>
      </c>
      <c r="G157" s="59">
        <f>IF(F157="","",IF(N(C157)=0,1,C157))</f>
        <v/>
      </c>
      <c r="H157" s="53" t="n">
        <v>137</v>
      </c>
      <c r="I157" s="67" t="n"/>
      <c r="J157" s="55" t="n"/>
      <c r="K157" s="68" t="n"/>
      <c r="L157" s="68" t="n"/>
      <c r="M157" s="59">
        <f>IF(OR(L157="",K157=""),"",MAX(L157-K157,0))</f>
        <v/>
      </c>
      <c r="N157" s="59">
        <f>IF(M157="","",IF(N(J157)=0,1,J157))</f>
        <v/>
      </c>
    </row>
    <row r="158">
      <c r="A158" s="53" t="n">
        <v>138</v>
      </c>
      <c r="B158" s="67" t="n"/>
      <c r="C158" s="55" t="n"/>
      <c r="D158" s="68" t="n"/>
      <c r="E158" s="68" t="n"/>
      <c r="F158" s="59">
        <f>IF(OR(E158="",D158=""),"",MAX(E158-D158,0))</f>
        <v/>
      </c>
      <c r="G158" s="59">
        <f>IF(F158="","",IF(N(C158)=0,1,C158))</f>
        <v/>
      </c>
      <c r="H158" s="53" t="n">
        <v>138</v>
      </c>
      <c r="I158" s="67" t="n"/>
      <c r="J158" s="55" t="n"/>
      <c r="K158" s="68" t="n"/>
      <c r="L158" s="68" t="n"/>
      <c r="M158" s="59">
        <f>IF(OR(L158="",K158=""),"",MAX(L158-K158,0))</f>
        <v/>
      </c>
      <c r="N158" s="59">
        <f>IF(M158="","",IF(N(J158)=0,1,J158))</f>
        <v/>
      </c>
    </row>
    <row r="159">
      <c r="A159" s="53" t="n">
        <v>139</v>
      </c>
      <c r="B159" s="67" t="n"/>
      <c r="C159" s="55" t="n"/>
      <c r="D159" s="68" t="n"/>
      <c r="E159" s="68" t="n"/>
      <c r="F159" s="59">
        <f>IF(OR(E159="",D159=""),"",MAX(E159-D159,0))</f>
        <v/>
      </c>
      <c r="G159" s="59">
        <f>IF(F159="","",IF(N(C159)=0,1,C159))</f>
        <v/>
      </c>
      <c r="H159" s="53" t="n">
        <v>139</v>
      </c>
      <c r="I159" s="67" t="n"/>
      <c r="J159" s="55" t="n"/>
      <c r="K159" s="68" t="n"/>
      <c r="L159" s="68" t="n"/>
      <c r="M159" s="59">
        <f>IF(OR(L159="",K159=""),"",MAX(L159-K159,0))</f>
        <v/>
      </c>
      <c r="N159" s="59">
        <f>IF(M159="","",IF(N(J159)=0,1,J159))</f>
        <v/>
      </c>
    </row>
    <row r="160">
      <c r="A160" s="53" t="n">
        <v>140</v>
      </c>
      <c r="B160" s="67" t="n"/>
      <c r="C160" s="55" t="n"/>
      <c r="D160" s="68" t="n"/>
      <c r="E160" s="68" t="n"/>
      <c r="F160" s="59">
        <f>IF(OR(E160="",D160=""),"",MAX(E160-D160,0))</f>
        <v/>
      </c>
      <c r="G160" s="59">
        <f>IF(F160="","",IF(N(C160)=0,1,C160))</f>
        <v/>
      </c>
      <c r="H160" s="53" t="n">
        <v>140</v>
      </c>
      <c r="I160" s="67" t="n"/>
      <c r="J160" s="55" t="n"/>
      <c r="K160" s="68" t="n"/>
      <c r="L160" s="68" t="n"/>
      <c r="M160" s="59">
        <f>IF(OR(L160="",K160=""),"",MAX(L160-K160,0))</f>
        <v/>
      </c>
      <c r="N160" s="59">
        <f>IF(M160="","",IF(N(J160)=0,1,J160))</f>
        <v/>
      </c>
    </row>
    <row r="161">
      <c r="A161" s="53" t="n">
        <v>141</v>
      </c>
      <c r="B161" s="67" t="n"/>
      <c r="C161" s="55" t="n"/>
      <c r="D161" s="68" t="n"/>
      <c r="E161" s="68" t="n"/>
      <c r="F161" s="59">
        <f>IF(OR(E161="",D161=""),"",MAX(E161-D161,0))</f>
        <v/>
      </c>
      <c r="G161" s="59">
        <f>IF(F161="","",IF(N(C161)=0,1,C161))</f>
        <v/>
      </c>
      <c r="H161" s="53" t="n">
        <v>141</v>
      </c>
      <c r="I161" s="67" t="n"/>
      <c r="J161" s="55" t="n"/>
      <c r="K161" s="68" t="n"/>
      <c r="L161" s="68" t="n"/>
      <c r="M161" s="59">
        <f>IF(OR(L161="",K161=""),"",MAX(L161-K161,0))</f>
        <v/>
      </c>
      <c r="N161" s="59">
        <f>IF(M161="","",IF(N(J161)=0,1,J161))</f>
        <v/>
      </c>
    </row>
    <row r="162">
      <c r="A162" s="53" t="n">
        <v>142</v>
      </c>
      <c r="B162" s="67" t="n"/>
      <c r="C162" s="55" t="n"/>
      <c r="D162" s="68" t="n"/>
      <c r="E162" s="68" t="n"/>
      <c r="F162" s="59">
        <f>IF(OR(E162="",D162=""),"",MAX(E162-D162,0))</f>
        <v/>
      </c>
      <c r="G162" s="59">
        <f>IF(F162="","",IF(N(C162)=0,1,C162))</f>
        <v/>
      </c>
      <c r="H162" s="53" t="n">
        <v>142</v>
      </c>
      <c r="I162" s="67" t="n"/>
      <c r="J162" s="55" t="n"/>
      <c r="K162" s="68" t="n"/>
      <c r="L162" s="68" t="n"/>
      <c r="M162" s="59">
        <f>IF(OR(L162="",K162=""),"",MAX(L162-K162,0))</f>
        <v/>
      </c>
      <c r="N162" s="59">
        <f>IF(M162="","",IF(N(J162)=0,1,J162))</f>
        <v/>
      </c>
    </row>
    <row r="163">
      <c r="A163" s="53" t="n">
        <v>143</v>
      </c>
      <c r="B163" s="67" t="n"/>
      <c r="C163" s="55" t="n"/>
      <c r="D163" s="68" t="n"/>
      <c r="E163" s="68" t="n"/>
      <c r="F163" s="59">
        <f>IF(OR(E163="",D163=""),"",MAX(E163-D163,0))</f>
        <v/>
      </c>
      <c r="G163" s="59">
        <f>IF(F163="","",IF(N(C163)=0,1,C163))</f>
        <v/>
      </c>
      <c r="H163" s="53" t="n">
        <v>143</v>
      </c>
      <c r="I163" s="67" t="n"/>
      <c r="J163" s="55" t="n"/>
      <c r="K163" s="68" t="n"/>
      <c r="L163" s="68" t="n"/>
      <c r="M163" s="59">
        <f>IF(OR(L163="",K163=""),"",MAX(L163-K163,0))</f>
        <v/>
      </c>
      <c r="N163" s="59">
        <f>IF(M163="","",IF(N(J163)=0,1,J163))</f>
        <v/>
      </c>
    </row>
    <row r="164">
      <c r="A164" s="53" t="n">
        <v>144</v>
      </c>
      <c r="B164" s="67" t="n"/>
      <c r="C164" s="55" t="n"/>
      <c r="D164" s="68" t="n"/>
      <c r="E164" s="68" t="n"/>
      <c r="F164" s="59">
        <f>IF(OR(E164="",D164=""),"",MAX(E164-D164,0))</f>
        <v/>
      </c>
      <c r="G164" s="59">
        <f>IF(F164="","",IF(N(C164)=0,1,C164))</f>
        <v/>
      </c>
      <c r="H164" s="53" t="n">
        <v>144</v>
      </c>
      <c r="I164" s="67" t="n"/>
      <c r="J164" s="55" t="n"/>
      <c r="K164" s="68" t="n"/>
      <c r="L164" s="68" t="n"/>
      <c r="M164" s="59">
        <f>IF(OR(L164="",K164=""),"",MAX(L164-K164,0))</f>
        <v/>
      </c>
      <c r="N164" s="59">
        <f>IF(M164="","",IF(N(J164)=0,1,J164))</f>
        <v/>
      </c>
    </row>
    <row r="165">
      <c r="A165" s="53" t="n">
        <v>145</v>
      </c>
      <c r="B165" s="67" t="n"/>
      <c r="C165" s="55" t="n"/>
      <c r="D165" s="68" t="n"/>
      <c r="E165" s="68" t="n"/>
      <c r="F165" s="59">
        <f>IF(OR(E165="",D165=""),"",MAX(E165-D165,0))</f>
        <v/>
      </c>
      <c r="G165" s="59">
        <f>IF(F165="","",IF(N(C165)=0,1,C165))</f>
        <v/>
      </c>
      <c r="H165" s="53" t="n">
        <v>145</v>
      </c>
      <c r="I165" s="67" t="n"/>
      <c r="J165" s="55" t="n"/>
      <c r="K165" s="68" t="n"/>
      <c r="L165" s="68" t="n"/>
      <c r="M165" s="59">
        <f>IF(OR(L165="",K165=""),"",MAX(L165-K165,0))</f>
        <v/>
      </c>
      <c r="N165" s="59">
        <f>IF(M165="","",IF(N(J165)=0,1,J165))</f>
        <v/>
      </c>
    </row>
    <row r="166">
      <c r="A166" s="53" t="n">
        <v>146</v>
      </c>
      <c r="B166" s="67" t="n"/>
      <c r="C166" s="55" t="n"/>
      <c r="D166" s="68" t="n"/>
      <c r="E166" s="68" t="n"/>
      <c r="F166" s="59">
        <f>IF(OR(E166="",D166=""),"",MAX(E166-D166,0))</f>
        <v/>
      </c>
      <c r="G166" s="59">
        <f>IF(F166="","",IF(N(C166)=0,1,C166))</f>
        <v/>
      </c>
      <c r="H166" s="53" t="n">
        <v>146</v>
      </c>
      <c r="I166" s="67" t="n"/>
      <c r="J166" s="55" t="n"/>
      <c r="K166" s="68" t="n"/>
      <c r="L166" s="68" t="n"/>
      <c r="M166" s="59">
        <f>IF(OR(L166="",K166=""),"",MAX(L166-K166,0))</f>
        <v/>
      </c>
      <c r="N166" s="59">
        <f>IF(M166="","",IF(N(J166)=0,1,J166))</f>
        <v/>
      </c>
    </row>
    <row r="167">
      <c r="A167" s="53" t="n">
        <v>147</v>
      </c>
      <c r="B167" s="67" t="n"/>
      <c r="C167" s="55" t="n"/>
      <c r="D167" s="68" t="n"/>
      <c r="E167" s="68" t="n"/>
      <c r="F167" s="59">
        <f>IF(OR(E167="",D167=""),"",MAX(E167-D167,0))</f>
        <v/>
      </c>
      <c r="G167" s="59">
        <f>IF(F167="","",IF(N(C167)=0,1,C167))</f>
        <v/>
      </c>
      <c r="H167" s="53" t="n">
        <v>147</v>
      </c>
      <c r="I167" s="67" t="n"/>
      <c r="J167" s="55" t="n"/>
      <c r="K167" s="68" t="n"/>
      <c r="L167" s="68" t="n"/>
      <c r="M167" s="59">
        <f>IF(OR(L167="",K167=""),"",MAX(L167-K167,0))</f>
        <v/>
      </c>
      <c r="N167" s="59">
        <f>IF(M167="","",IF(N(J167)=0,1,J167))</f>
        <v/>
      </c>
    </row>
    <row r="168">
      <c r="A168" s="53" t="n">
        <v>148</v>
      </c>
      <c r="B168" s="67" t="n"/>
      <c r="C168" s="55" t="n"/>
      <c r="D168" s="68" t="n"/>
      <c r="E168" s="68" t="n"/>
      <c r="F168" s="59">
        <f>IF(OR(E168="",D168=""),"",MAX(E168-D168,0))</f>
        <v/>
      </c>
      <c r="G168" s="59">
        <f>IF(F168="","",IF(N(C168)=0,1,C168))</f>
        <v/>
      </c>
      <c r="H168" s="53" t="n">
        <v>148</v>
      </c>
      <c r="I168" s="67" t="n"/>
      <c r="J168" s="55" t="n"/>
      <c r="K168" s="68" t="n"/>
      <c r="L168" s="68" t="n"/>
      <c r="M168" s="59">
        <f>IF(OR(L168="",K168=""),"",MAX(L168-K168,0))</f>
        <v/>
      </c>
      <c r="N168" s="59">
        <f>IF(M168="","",IF(N(J168)=0,1,J168))</f>
        <v/>
      </c>
    </row>
    <row r="169">
      <c r="A169" s="53" t="n">
        <v>149</v>
      </c>
      <c r="B169" s="67" t="n"/>
      <c r="C169" s="55" t="n"/>
      <c r="D169" s="68" t="n"/>
      <c r="E169" s="68" t="n"/>
      <c r="F169" s="59">
        <f>IF(OR(E169="",D169=""),"",MAX(E169-D169,0))</f>
        <v/>
      </c>
      <c r="G169" s="59">
        <f>IF(F169="","",IF(N(C169)=0,1,C169))</f>
        <v/>
      </c>
      <c r="H169" s="53" t="n">
        <v>149</v>
      </c>
      <c r="I169" s="67" t="n"/>
      <c r="J169" s="55" t="n"/>
      <c r="K169" s="68" t="n"/>
      <c r="L169" s="68" t="n"/>
      <c r="M169" s="59">
        <f>IF(OR(L169="",K169=""),"",MAX(L169-K169,0))</f>
        <v/>
      </c>
      <c r="N169" s="59">
        <f>IF(M169="","",IF(N(J169)=0,1,J169))</f>
        <v/>
      </c>
    </row>
    <row r="170">
      <c r="A170" s="53" t="n">
        <v>150</v>
      </c>
      <c r="B170" s="67" t="n"/>
      <c r="C170" s="55" t="n"/>
      <c r="D170" s="68" t="n"/>
      <c r="E170" s="68" t="n"/>
      <c r="F170" s="59">
        <f>IF(OR(E170="",D170=""),"",MAX(E170-D170,0))</f>
        <v/>
      </c>
      <c r="G170" s="59">
        <f>IF(F170="","",IF(N(C170)=0,1,C170))</f>
        <v/>
      </c>
      <c r="H170" s="53" t="n">
        <v>150</v>
      </c>
      <c r="I170" s="67" t="n"/>
      <c r="J170" s="55" t="n"/>
      <c r="K170" s="68" t="n"/>
      <c r="L170" s="68" t="n"/>
      <c r="M170" s="59">
        <f>IF(OR(L170="",K170=""),"",MAX(L170-K170,0))</f>
        <v/>
      </c>
      <c r="N170" s="59">
        <f>IF(M170="","",IF(N(J170)=0,1,J170))</f>
        <v/>
      </c>
    </row>
    <row r="171">
      <c r="A171" s="53" t="n">
        <v>151</v>
      </c>
      <c r="B171" s="67" t="n"/>
      <c r="C171" s="55" t="n"/>
      <c r="D171" s="68" t="n"/>
      <c r="E171" s="68" t="n"/>
      <c r="F171" s="59">
        <f>IF(OR(E171="",D171=""),"",MAX(E171-D171,0))</f>
        <v/>
      </c>
      <c r="G171" s="59">
        <f>IF(F171="","",IF(N(C171)=0,1,C171))</f>
        <v/>
      </c>
      <c r="H171" s="53" t="n">
        <v>151</v>
      </c>
      <c r="I171" s="67" t="n"/>
      <c r="J171" s="55" t="n"/>
      <c r="K171" s="68" t="n"/>
      <c r="L171" s="68" t="n"/>
      <c r="M171" s="59">
        <f>IF(OR(L171="",K171=""),"",MAX(L171-K171,0))</f>
        <v/>
      </c>
      <c r="N171" s="59">
        <f>IF(M171="","",IF(N(J171)=0,1,J171))</f>
        <v/>
      </c>
    </row>
    <row r="172">
      <c r="A172" s="53" t="n">
        <v>152</v>
      </c>
      <c r="B172" s="67" t="n"/>
      <c r="C172" s="55" t="n"/>
      <c r="D172" s="68" t="n"/>
      <c r="E172" s="68" t="n"/>
      <c r="F172" s="59">
        <f>IF(OR(E172="",D172=""),"",MAX(E172-D172,0))</f>
        <v/>
      </c>
      <c r="G172" s="59">
        <f>IF(F172="","",IF(N(C172)=0,1,C172))</f>
        <v/>
      </c>
      <c r="H172" s="53" t="n">
        <v>152</v>
      </c>
      <c r="I172" s="67" t="n"/>
      <c r="J172" s="55" t="n"/>
      <c r="K172" s="68" t="n"/>
      <c r="L172" s="68" t="n"/>
      <c r="M172" s="59">
        <f>IF(OR(L172="",K172=""),"",MAX(L172-K172,0))</f>
        <v/>
      </c>
      <c r="N172" s="59">
        <f>IF(M172="","",IF(N(J172)=0,1,J172))</f>
        <v/>
      </c>
    </row>
    <row r="173">
      <c r="A173" s="53" t="n">
        <v>153</v>
      </c>
      <c r="B173" s="67" t="n"/>
      <c r="C173" s="55" t="n"/>
      <c r="D173" s="68" t="n"/>
      <c r="E173" s="68" t="n"/>
      <c r="F173" s="59">
        <f>IF(OR(E173="",D173=""),"",MAX(E173-D173,0))</f>
        <v/>
      </c>
      <c r="G173" s="59">
        <f>IF(F173="","",IF(N(C173)=0,1,C173))</f>
        <v/>
      </c>
      <c r="H173" s="53" t="n">
        <v>153</v>
      </c>
      <c r="I173" s="67" t="n"/>
      <c r="J173" s="55" t="n"/>
      <c r="K173" s="68" t="n"/>
      <c r="L173" s="68" t="n"/>
      <c r="M173" s="59">
        <f>IF(OR(L173="",K173=""),"",MAX(L173-K173,0))</f>
        <v/>
      </c>
      <c r="N173" s="59">
        <f>IF(M173="","",IF(N(J173)=0,1,J173))</f>
        <v/>
      </c>
    </row>
    <row r="174">
      <c r="A174" s="53" t="n">
        <v>154</v>
      </c>
      <c r="B174" s="67" t="n"/>
      <c r="C174" s="55" t="n"/>
      <c r="D174" s="68" t="n"/>
      <c r="E174" s="68" t="n"/>
      <c r="F174" s="59">
        <f>IF(OR(E174="",D174=""),"",MAX(E174-D174,0))</f>
        <v/>
      </c>
      <c r="G174" s="59">
        <f>IF(F174="","",IF(N(C174)=0,1,C174))</f>
        <v/>
      </c>
      <c r="H174" s="53" t="n">
        <v>154</v>
      </c>
      <c r="I174" s="67" t="n"/>
      <c r="J174" s="55" t="n"/>
      <c r="K174" s="68" t="n"/>
      <c r="L174" s="68" t="n"/>
      <c r="M174" s="59">
        <f>IF(OR(L174="",K174=""),"",MAX(L174-K174,0))</f>
        <v/>
      </c>
      <c r="N174" s="59">
        <f>IF(M174="","",IF(N(J174)=0,1,J174))</f>
        <v/>
      </c>
    </row>
    <row r="175">
      <c r="A175" s="53" t="n">
        <v>155</v>
      </c>
      <c r="B175" s="67" t="n"/>
      <c r="C175" s="55" t="n"/>
      <c r="D175" s="68" t="n"/>
      <c r="E175" s="68" t="n"/>
      <c r="F175" s="59">
        <f>IF(OR(E175="",D175=""),"",MAX(E175-D175,0))</f>
        <v/>
      </c>
      <c r="G175" s="59">
        <f>IF(F175="","",IF(N(C175)=0,1,C175))</f>
        <v/>
      </c>
      <c r="H175" s="53" t="n">
        <v>155</v>
      </c>
      <c r="I175" s="67" t="n"/>
      <c r="J175" s="55" t="n"/>
      <c r="K175" s="68" t="n"/>
      <c r="L175" s="68" t="n"/>
      <c r="M175" s="59">
        <f>IF(OR(L175="",K175=""),"",MAX(L175-K175,0))</f>
        <v/>
      </c>
      <c r="N175" s="59">
        <f>IF(M175="","",IF(N(J175)=0,1,J175))</f>
        <v/>
      </c>
    </row>
    <row r="176">
      <c r="A176" s="53" t="n">
        <v>156</v>
      </c>
      <c r="B176" s="67" t="n"/>
      <c r="C176" s="55" t="n"/>
      <c r="D176" s="68" t="n"/>
      <c r="E176" s="68" t="n"/>
      <c r="F176" s="59">
        <f>IF(OR(E176="",D176=""),"",MAX(E176-D176,0))</f>
        <v/>
      </c>
      <c r="G176" s="59">
        <f>IF(F176="","",IF(N(C176)=0,1,C176))</f>
        <v/>
      </c>
      <c r="H176" s="53" t="n">
        <v>156</v>
      </c>
      <c r="I176" s="67" t="n"/>
      <c r="J176" s="55" t="n"/>
      <c r="K176" s="68" t="n"/>
      <c r="L176" s="68" t="n"/>
      <c r="M176" s="59">
        <f>IF(OR(L176="",K176=""),"",MAX(L176-K176,0))</f>
        <v/>
      </c>
      <c r="N176" s="59">
        <f>IF(M176="","",IF(N(J176)=0,1,J176))</f>
        <v/>
      </c>
    </row>
    <row r="177">
      <c r="A177" s="53" t="n">
        <v>157</v>
      </c>
      <c r="B177" s="67" t="n"/>
      <c r="C177" s="55" t="n"/>
      <c r="D177" s="68" t="n"/>
      <c r="E177" s="68" t="n"/>
      <c r="F177" s="59">
        <f>IF(OR(E177="",D177=""),"",MAX(E177-D177,0))</f>
        <v/>
      </c>
      <c r="G177" s="59">
        <f>IF(F177="","",IF(N(C177)=0,1,C177))</f>
        <v/>
      </c>
      <c r="H177" s="53" t="n">
        <v>157</v>
      </c>
      <c r="I177" s="67" t="n"/>
      <c r="J177" s="55" t="n"/>
      <c r="K177" s="68" t="n"/>
      <c r="L177" s="68" t="n"/>
      <c r="M177" s="59">
        <f>IF(OR(L177="",K177=""),"",MAX(L177-K177,0))</f>
        <v/>
      </c>
      <c r="N177" s="59">
        <f>IF(M177="","",IF(N(J177)=0,1,J177))</f>
        <v/>
      </c>
    </row>
    <row r="178">
      <c r="A178" s="53" t="n">
        <v>158</v>
      </c>
      <c r="B178" s="67" t="n"/>
      <c r="C178" s="55" t="n"/>
      <c r="D178" s="68" t="n"/>
      <c r="E178" s="68" t="n"/>
      <c r="F178" s="59">
        <f>IF(OR(E178="",D178=""),"",MAX(E178-D178,0))</f>
        <v/>
      </c>
      <c r="G178" s="59">
        <f>IF(F178="","",IF(N(C178)=0,1,C178))</f>
        <v/>
      </c>
      <c r="H178" s="53" t="n">
        <v>158</v>
      </c>
      <c r="I178" s="67" t="n"/>
      <c r="J178" s="55" t="n"/>
      <c r="K178" s="68" t="n"/>
      <c r="L178" s="68" t="n"/>
      <c r="M178" s="59">
        <f>IF(OR(L178="",K178=""),"",MAX(L178-K178,0))</f>
        <v/>
      </c>
      <c r="N178" s="59">
        <f>IF(M178="","",IF(N(J178)=0,1,J178))</f>
        <v/>
      </c>
    </row>
    <row r="179">
      <c r="A179" s="53" t="n">
        <v>159</v>
      </c>
      <c r="B179" s="67" t="n"/>
      <c r="C179" s="55" t="n"/>
      <c r="D179" s="68" t="n"/>
      <c r="E179" s="68" t="n"/>
      <c r="F179" s="59">
        <f>IF(OR(E179="",D179=""),"",MAX(E179-D179,0))</f>
        <v/>
      </c>
      <c r="G179" s="59">
        <f>IF(F179="","",IF(N(C179)=0,1,C179))</f>
        <v/>
      </c>
      <c r="H179" s="53" t="n">
        <v>159</v>
      </c>
      <c r="I179" s="67" t="n"/>
      <c r="J179" s="55" t="n"/>
      <c r="K179" s="68" t="n"/>
      <c r="L179" s="68" t="n"/>
      <c r="M179" s="59">
        <f>IF(OR(L179="",K179=""),"",MAX(L179-K179,0))</f>
        <v/>
      </c>
      <c r="N179" s="59">
        <f>IF(M179="","",IF(N(J179)=0,1,J179))</f>
        <v/>
      </c>
    </row>
    <row r="180">
      <c r="A180" s="53" t="n">
        <v>160</v>
      </c>
      <c r="B180" s="67" t="n"/>
      <c r="C180" s="55" t="n"/>
      <c r="D180" s="68" t="n"/>
      <c r="E180" s="68" t="n"/>
      <c r="F180" s="59">
        <f>IF(OR(E180="",D180=""),"",MAX(E180-D180,0))</f>
        <v/>
      </c>
      <c r="G180" s="59">
        <f>IF(F180="","",IF(N(C180)=0,1,C180))</f>
        <v/>
      </c>
      <c r="H180" s="53" t="n">
        <v>160</v>
      </c>
      <c r="I180" s="67" t="n"/>
      <c r="J180" s="55" t="n"/>
      <c r="K180" s="68" t="n"/>
      <c r="L180" s="68" t="n"/>
      <c r="M180" s="59">
        <f>IF(OR(L180="",K180=""),"",MAX(L180-K180,0))</f>
        <v/>
      </c>
      <c r="N180" s="59">
        <f>IF(M180="","",IF(N(J180)=0,1,J180))</f>
        <v/>
      </c>
    </row>
    <row r="181">
      <c r="A181" s="53" t="n">
        <v>161</v>
      </c>
      <c r="B181" s="67" t="n"/>
      <c r="C181" s="55" t="n"/>
      <c r="D181" s="68" t="n"/>
      <c r="E181" s="68" t="n"/>
      <c r="F181" s="59">
        <f>IF(OR(E181="",D181=""),"",MAX(E181-D181,0))</f>
        <v/>
      </c>
      <c r="G181" s="59">
        <f>IF(F181="","",IF(N(C181)=0,1,C181))</f>
        <v/>
      </c>
      <c r="H181" s="53" t="n">
        <v>161</v>
      </c>
      <c r="I181" s="67" t="n"/>
      <c r="J181" s="55" t="n"/>
      <c r="K181" s="68" t="n"/>
      <c r="L181" s="68" t="n"/>
      <c r="M181" s="59">
        <f>IF(OR(L181="",K181=""),"",MAX(L181-K181,0))</f>
        <v/>
      </c>
      <c r="N181" s="59">
        <f>IF(M181="","",IF(N(J181)=0,1,J181))</f>
        <v/>
      </c>
    </row>
    <row r="182">
      <c r="A182" s="53" t="n">
        <v>162</v>
      </c>
      <c r="B182" s="67" t="n"/>
      <c r="C182" s="55" t="n"/>
      <c r="D182" s="68" t="n"/>
      <c r="E182" s="68" t="n"/>
      <c r="F182" s="59">
        <f>IF(OR(E182="",D182=""),"",MAX(E182-D182,0))</f>
        <v/>
      </c>
      <c r="G182" s="59">
        <f>IF(F182="","",IF(N(C182)=0,1,C182))</f>
        <v/>
      </c>
      <c r="H182" s="53" t="n">
        <v>162</v>
      </c>
      <c r="I182" s="67" t="n"/>
      <c r="J182" s="55" t="n"/>
      <c r="K182" s="68" t="n"/>
      <c r="L182" s="68" t="n"/>
      <c r="M182" s="59">
        <f>IF(OR(L182="",K182=""),"",MAX(L182-K182,0))</f>
        <v/>
      </c>
      <c r="N182" s="59">
        <f>IF(M182="","",IF(N(J182)=0,1,J182))</f>
        <v/>
      </c>
    </row>
    <row r="183">
      <c r="A183" s="53" t="n">
        <v>163</v>
      </c>
      <c r="B183" s="67" t="n"/>
      <c r="C183" s="55" t="n"/>
      <c r="D183" s="68" t="n"/>
      <c r="E183" s="68" t="n"/>
      <c r="F183" s="59">
        <f>IF(OR(E183="",D183=""),"",MAX(E183-D183,0))</f>
        <v/>
      </c>
      <c r="G183" s="59">
        <f>IF(F183="","",IF(N(C183)=0,1,C183))</f>
        <v/>
      </c>
      <c r="H183" s="53" t="n">
        <v>163</v>
      </c>
      <c r="I183" s="67" t="n"/>
      <c r="J183" s="55" t="n"/>
      <c r="K183" s="68" t="n"/>
      <c r="L183" s="68" t="n"/>
      <c r="M183" s="59">
        <f>IF(OR(L183="",K183=""),"",MAX(L183-K183,0))</f>
        <v/>
      </c>
      <c r="N183" s="59">
        <f>IF(M183="","",IF(N(J183)=0,1,J183))</f>
        <v/>
      </c>
    </row>
    <row r="184">
      <c r="A184" s="53" t="n">
        <v>164</v>
      </c>
      <c r="B184" s="67" t="n"/>
      <c r="C184" s="55" t="n"/>
      <c r="D184" s="68" t="n"/>
      <c r="E184" s="68" t="n"/>
      <c r="F184" s="59">
        <f>IF(OR(E184="",D184=""),"",MAX(E184-D184,0))</f>
        <v/>
      </c>
      <c r="G184" s="59">
        <f>IF(F184="","",IF(N(C184)=0,1,C184))</f>
        <v/>
      </c>
      <c r="H184" s="53" t="n">
        <v>164</v>
      </c>
      <c r="I184" s="67" t="n"/>
      <c r="J184" s="55" t="n"/>
      <c r="K184" s="68" t="n"/>
      <c r="L184" s="68" t="n"/>
      <c r="M184" s="59">
        <f>IF(OR(L184="",K184=""),"",MAX(L184-K184,0))</f>
        <v/>
      </c>
      <c r="N184" s="59">
        <f>IF(M184="","",IF(N(J184)=0,1,J184))</f>
        <v/>
      </c>
    </row>
    <row r="185">
      <c r="A185" s="53" t="n">
        <v>165</v>
      </c>
      <c r="B185" s="67" t="n"/>
      <c r="C185" s="55" t="n"/>
      <c r="D185" s="68" t="n"/>
      <c r="E185" s="68" t="n"/>
      <c r="F185" s="59">
        <f>IF(OR(E185="",D185=""),"",MAX(E185-D185,0))</f>
        <v/>
      </c>
      <c r="G185" s="59">
        <f>IF(F185="","",IF(N(C185)=0,1,C185))</f>
        <v/>
      </c>
      <c r="H185" s="53" t="n">
        <v>165</v>
      </c>
      <c r="I185" s="67" t="n"/>
      <c r="J185" s="55" t="n"/>
      <c r="K185" s="68" t="n"/>
      <c r="L185" s="68" t="n"/>
      <c r="M185" s="59">
        <f>IF(OR(L185="",K185=""),"",MAX(L185-K185,0))</f>
        <v/>
      </c>
      <c r="N185" s="59">
        <f>IF(M185="","",IF(N(J185)=0,1,J185))</f>
        <v/>
      </c>
    </row>
    <row r="186">
      <c r="A186" s="53" t="n">
        <v>166</v>
      </c>
      <c r="B186" s="67" t="n"/>
      <c r="C186" s="55" t="n"/>
      <c r="D186" s="68" t="n"/>
      <c r="E186" s="68" t="n"/>
      <c r="F186" s="59">
        <f>IF(OR(E186="",D186=""),"",MAX(E186-D186,0))</f>
        <v/>
      </c>
      <c r="G186" s="59">
        <f>IF(F186="","",IF(N(C186)=0,1,C186))</f>
        <v/>
      </c>
      <c r="H186" s="53" t="n">
        <v>166</v>
      </c>
      <c r="I186" s="67" t="n"/>
      <c r="J186" s="55" t="n"/>
      <c r="K186" s="68" t="n"/>
      <c r="L186" s="68" t="n"/>
      <c r="M186" s="59">
        <f>IF(OR(L186="",K186=""),"",MAX(L186-K186,0))</f>
        <v/>
      </c>
      <c r="N186" s="59">
        <f>IF(M186="","",IF(N(J186)=0,1,J186))</f>
        <v/>
      </c>
    </row>
    <row r="187">
      <c r="A187" s="53" t="n">
        <v>167</v>
      </c>
      <c r="B187" s="67" t="n"/>
      <c r="C187" s="55" t="n"/>
      <c r="D187" s="68" t="n"/>
      <c r="E187" s="68" t="n"/>
      <c r="F187" s="59">
        <f>IF(OR(E187="",D187=""),"",MAX(E187-D187,0))</f>
        <v/>
      </c>
      <c r="G187" s="59">
        <f>IF(F187="","",IF(N(C187)=0,1,C187))</f>
        <v/>
      </c>
      <c r="H187" s="53" t="n">
        <v>167</v>
      </c>
      <c r="I187" s="67" t="n"/>
      <c r="J187" s="55" t="n"/>
      <c r="K187" s="68" t="n"/>
      <c r="L187" s="68" t="n"/>
      <c r="M187" s="59">
        <f>IF(OR(L187="",K187=""),"",MAX(L187-K187,0))</f>
        <v/>
      </c>
      <c r="N187" s="59">
        <f>IF(M187="","",IF(N(J187)=0,1,J187))</f>
        <v/>
      </c>
    </row>
    <row r="188">
      <c r="A188" s="53" t="n">
        <v>168</v>
      </c>
      <c r="B188" s="67" t="n"/>
      <c r="C188" s="55" t="n"/>
      <c r="D188" s="68" t="n"/>
      <c r="E188" s="68" t="n"/>
      <c r="F188" s="59">
        <f>IF(OR(E188="",D188=""),"",MAX(E188-D188,0))</f>
        <v/>
      </c>
      <c r="G188" s="59">
        <f>IF(F188="","",IF(N(C188)=0,1,C188))</f>
        <v/>
      </c>
      <c r="H188" s="53" t="n">
        <v>168</v>
      </c>
      <c r="I188" s="67" t="n"/>
      <c r="J188" s="55" t="n"/>
      <c r="K188" s="68" t="n"/>
      <c r="L188" s="68" t="n"/>
      <c r="M188" s="59">
        <f>IF(OR(L188="",K188=""),"",MAX(L188-K188,0))</f>
        <v/>
      </c>
      <c r="N188" s="59">
        <f>IF(M188="","",IF(N(J188)=0,1,J188))</f>
        <v/>
      </c>
    </row>
    <row r="189">
      <c r="A189" s="53" t="n">
        <v>169</v>
      </c>
      <c r="B189" s="67" t="n"/>
      <c r="C189" s="55" t="n"/>
      <c r="D189" s="68" t="n"/>
      <c r="E189" s="68" t="n"/>
      <c r="F189" s="59">
        <f>IF(OR(E189="",D189=""),"",MAX(E189-D189,0))</f>
        <v/>
      </c>
      <c r="G189" s="59">
        <f>IF(F189="","",IF(N(C189)=0,1,C189))</f>
        <v/>
      </c>
      <c r="H189" s="53" t="n">
        <v>169</v>
      </c>
      <c r="I189" s="67" t="n"/>
      <c r="J189" s="55" t="n"/>
      <c r="K189" s="68" t="n"/>
      <c r="L189" s="68" t="n"/>
      <c r="M189" s="59">
        <f>IF(OR(L189="",K189=""),"",MAX(L189-K189,0))</f>
        <v/>
      </c>
      <c r="N189" s="59">
        <f>IF(M189="","",IF(N(J189)=0,1,J189))</f>
        <v/>
      </c>
    </row>
    <row r="190">
      <c r="A190" s="53" t="n">
        <v>170</v>
      </c>
      <c r="B190" s="67" t="n"/>
      <c r="C190" s="55" t="n"/>
      <c r="D190" s="68" t="n"/>
      <c r="E190" s="68" t="n"/>
      <c r="F190" s="59">
        <f>IF(OR(E190="",D190=""),"",MAX(E190-D190,0))</f>
        <v/>
      </c>
      <c r="G190" s="59">
        <f>IF(F190="","",IF(N(C190)=0,1,C190))</f>
        <v/>
      </c>
      <c r="H190" s="53" t="n">
        <v>170</v>
      </c>
      <c r="I190" s="67" t="n"/>
      <c r="J190" s="55" t="n"/>
      <c r="K190" s="68" t="n"/>
      <c r="L190" s="68" t="n"/>
      <c r="M190" s="59">
        <f>IF(OR(L190="",K190=""),"",MAX(L190-K190,0))</f>
        <v/>
      </c>
      <c r="N190" s="59">
        <f>IF(M190="","",IF(N(J190)=0,1,J190))</f>
        <v/>
      </c>
    </row>
    <row r="191">
      <c r="A191" s="53" t="n">
        <v>171</v>
      </c>
      <c r="B191" s="67" t="n"/>
      <c r="C191" s="55" t="n"/>
      <c r="D191" s="68" t="n"/>
      <c r="E191" s="68" t="n"/>
      <c r="F191" s="59">
        <f>IF(OR(E191="",D191=""),"",MAX(E191-D191,0))</f>
        <v/>
      </c>
      <c r="G191" s="59">
        <f>IF(F191="","",IF(N(C191)=0,1,C191))</f>
        <v/>
      </c>
      <c r="H191" s="53" t="n">
        <v>171</v>
      </c>
      <c r="I191" s="67" t="n"/>
      <c r="J191" s="55" t="n"/>
      <c r="K191" s="68" t="n"/>
      <c r="L191" s="68" t="n"/>
      <c r="M191" s="59">
        <f>IF(OR(L191="",K191=""),"",MAX(L191-K191,0))</f>
        <v/>
      </c>
      <c r="N191" s="59">
        <f>IF(M191="","",IF(N(J191)=0,1,J191))</f>
        <v/>
      </c>
    </row>
    <row r="192">
      <c r="A192" s="53" t="n">
        <v>172</v>
      </c>
      <c r="B192" s="67" t="n"/>
      <c r="C192" s="55" t="n"/>
      <c r="D192" s="68" t="n"/>
      <c r="E192" s="68" t="n"/>
      <c r="F192" s="59">
        <f>IF(OR(E192="",D192=""),"",MAX(E192-D192,0))</f>
        <v/>
      </c>
      <c r="G192" s="59">
        <f>IF(F192="","",IF(N(C192)=0,1,C192))</f>
        <v/>
      </c>
      <c r="H192" s="53" t="n">
        <v>172</v>
      </c>
      <c r="I192" s="67" t="n"/>
      <c r="J192" s="55" t="n"/>
      <c r="K192" s="68" t="n"/>
      <c r="L192" s="68" t="n"/>
      <c r="M192" s="59">
        <f>IF(OR(L192="",K192=""),"",MAX(L192-K192,0))</f>
        <v/>
      </c>
      <c r="N192" s="59">
        <f>IF(M192="","",IF(N(J192)=0,1,J192))</f>
        <v/>
      </c>
    </row>
    <row r="193">
      <c r="A193" s="53" t="n">
        <v>173</v>
      </c>
      <c r="B193" s="67" t="n"/>
      <c r="C193" s="55" t="n"/>
      <c r="D193" s="68" t="n"/>
      <c r="E193" s="68" t="n"/>
      <c r="F193" s="59">
        <f>IF(OR(E193="",D193=""),"",MAX(E193-D193,0))</f>
        <v/>
      </c>
      <c r="G193" s="59">
        <f>IF(F193="","",IF(N(C193)=0,1,C193))</f>
        <v/>
      </c>
      <c r="H193" s="53" t="n">
        <v>173</v>
      </c>
      <c r="I193" s="67" t="n"/>
      <c r="J193" s="55" t="n"/>
      <c r="K193" s="68" t="n"/>
      <c r="L193" s="68" t="n"/>
      <c r="M193" s="59">
        <f>IF(OR(L193="",K193=""),"",MAX(L193-K193,0))</f>
        <v/>
      </c>
      <c r="N193" s="59">
        <f>IF(M193="","",IF(N(J193)=0,1,J193))</f>
        <v/>
      </c>
    </row>
    <row r="194">
      <c r="A194" s="53" t="n">
        <v>174</v>
      </c>
      <c r="B194" s="67" t="n"/>
      <c r="C194" s="55" t="n"/>
      <c r="D194" s="68" t="n"/>
      <c r="E194" s="68" t="n"/>
      <c r="F194" s="59">
        <f>IF(OR(E194="",D194=""),"",MAX(E194-D194,0))</f>
        <v/>
      </c>
      <c r="G194" s="59">
        <f>IF(F194="","",IF(N(C194)=0,1,C194))</f>
        <v/>
      </c>
      <c r="H194" s="53" t="n">
        <v>174</v>
      </c>
      <c r="I194" s="67" t="n"/>
      <c r="J194" s="55" t="n"/>
      <c r="K194" s="68" t="n"/>
      <c r="L194" s="68" t="n"/>
      <c r="M194" s="59">
        <f>IF(OR(L194="",K194=""),"",MAX(L194-K194,0))</f>
        <v/>
      </c>
      <c r="N194" s="59">
        <f>IF(M194="","",IF(N(J194)=0,1,J194))</f>
        <v/>
      </c>
    </row>
    <row r="195">
      <c r="A195" s="53" t="n">
        <v>175</v>
      </c>
      <c r="B195" s="67" t="n"/>
      <c r="C195" s="55" t="n"/>
      <c r="D195" s="68" t="n"/>
      <c r="E195" s="68" t="n"/>
      <c r="F195" s="59">
        <f>IF(OR(E195="",D195=""),"",MAX(E195-D195,0))</f>
        <v/>
      </c>
      <c r="G195" s="59">
        <f>IF(F195="","",IF(N(C195)=0,1,C195))</f>
        <v/>
      </c>
      <c r="H195" s="53" t="n">
        <v>175</v>
      </c>
      <c r="I195" s="67" t="n"/>
      <c r="J195" s="55" t="n"/>
      <c r="K195" s="68" t="n"/>
      <c r="L195" s="68" t="n"/>
      <c r="M195" s="59">
        <f>IF(OR(L195="",K195=""),"",MAX(L195-K195,0))</f>
        <v/>
      </c>
      <c r="N195" s="59">
        <f>IF(M195="","",IF(N(J195)=0,1,J195))</f>
        <v/>
      </c>
    </row>
    <row r="196">
      <c r="A196" s="53" t="n">
        <v>176</v>
      </c>
      <c r="B196" s="67" t="n"/>
      <c r="C196" s="55" t="n"/>
      <c r="D196" s="68" t="n"/>
      <c r="E196" s="68" t="n"/>
      <c r="F196" s="59">
        <f>IF(OR(E196="",D196=""),"",MAX(E196-D196,0))</f>
        <v/>
      </c>
      <c r="G196" s="59">
        <f>IF(F196="","",IF(N(C196)=0,1,C196))</f>
        <v/>
      </c>
      <c r="H196" s="53" t="n">
        <v>176</v>
      </c>
      <c r="I196" s="67" t="n"/>
      <c r="J196" s="55" t="n"/>
      <c r="K196" s="68" t="n"/>
      <c r="L196" s="68" t="n"/>
      <c r="M196" s="59">
        <f>IF(OR(L196="",K196=""),"",MAX(L196-K196,0))</f>
        <v/>
      </c>
      <c r="N196" s="59">
        <f>IF(M196="","",IF(N(J196)=0,1,J196))</f>
        <v/>
      </c>
    </row>
    <row r="197">
      <c r="A197" s="53" t="n">
        <v>177</v>
      </c>
      <c r="B197" s="67" t="n"/>
      <c r="C197" s="55" t="n"/>
      <c r="D197" s="68" t="n"/>
      <c r="E197" s="68" t="n"/>
      <c r="F197" s="59">
        <f>IF(OR(E197="",D197=""),"",MAX(E197-D197,0))</f>
        <v/>
      </c>
      <c r="G197" s="59">
        <f>IF(F197="","",IF(N(C197)=0,1,C197))</f>
        <v/>
      </c>
      <c r="H197" s="53" t="n">
        <v>177</v>
      </c>
      <c r="I197" s="67" t="n"/>
      <c r="J197" s="55" t="n"/>
      <c r="K197" s="68" t="n"/>
      <c r="L197" s="68" t="n"/>
      <c r="M197" s="59">
        <f>IF(OR(L197="",K197=""),"",MAX(L197-K197,0))</f>
        <v/>
      </c>
      <c r="N197" s="59">
        <f>IF(M197="","",IF(N(J197)=0,1,J197))</f>
        <v/>
      </c>
    </row>
    <row r="198">
      <c r="A198" s="53" t="n">
        <v>178</v>
      </c>
      <c r="B198" s="67" t="n"/>
      <c r="C198" s="55" t="n"/>
      <c r="D198" s="68" t="n"/>
      <c r="E198" s="68" t="n"/>
      <c r="F198" s="59">
        <f>IF(OR(E198="",D198=""),"",MAX(E198-D198,0))</f>
        <v/>
      </c>
      <c r="G198" s="59">
        <f>IF(F198="","",IF(N(C198)=0,1,C198))</f>
        <v/>
      </c>
      <c r="H198" s="53" t="n">
        <v>178</v>
      </c>
      <c r="I198" s="67" t="n"/>
      <c r="J198" s="55" t="n"/>
      <c r="K198" s="68" t="n"/>
      <c r="L198" s="68" t="n"/>
      <c r="M198" s="59">
        <f>IF(OR(L198="",K198=""),"",MAX(L198-K198,0))</f>
        <v/>
      </c>
      <c r="N198" s="59">
        <f>IF(M198="","",IF(N(J198)=0,1,J198))</f>
        <v/>
      </c>
    </row>
    <row r="199">
      <c r="A199" s="53" t="n">
        <v>179</v>
      </c>
      <c r="B199" s="67" t="n"/>
      <c r="C199" s="55" t="n"/>
      <c r="D199" s="68" t="n"/>
      <c r="E199" s="68" t="n"/>
      <c r="F199" s="59">
        <f>IF(OR(E199="",D199=""),"",MAX(E199-D199,0))</f>
        <v/>
      </c>
      <c r="G199" s="59">
        <f>IF(F199="","",IF(N(C199)=0,1,C199))</f>
        <v/>
      </c>
      <c r="H199" s="53" t="n">
        <v>179</v>
      </c>
      <c r="I199" s="67" t="n"/>
      <c r="J199" s="55" t="n"/>
      <c r="K199" s="68" t="n"/>
      <c r="L199" s="68" t="n"/>
      <c r="M199" s="59">
        <f>IF(OR(L199="",K199=""),"",MAX(L199-K199,0))</f>
        <v/>
      </c>
      <c r="N199" s="59">
        <f>IF(M199="","",IF(N(J199)=0,1,J199))</f>
        <v/>
      </c>
    </row>
    <row r="200">
      <c r="A200" s="53" t="n">
        <v>180</v>
      </c>
      <c r="B200" s="67" t="n"/>
      <c r="C200" s="55" t="n"/>
      <c r="D200" s="68" t="n"/>
      <c r="E200" s="68" t="n"/>
      <c r="F200" s="59">
        <f>IF(OR(E200="",D200=""),"",MAX(E200-D200,0))</f>
        <v/>
      </c>
      <c r="G200" s="59">
        <f>IF(F200="","",IF(N(C200)=0,1,C200))</f>
        <v/>
      </c>
      <c r="H200" s="53" t="n">
        <v>180</v>
      </c>
      <c r="I200" s="67" t="n"/>
      <c r="J200" s="55" t="n"/>
      <c r="K200" s="68" t="n"/>
      <c r="L200" s="68" t="n"/>
      <c r="M200" s="59">
        <f>IF(OR(L200="",K200=""),"",MAX(L200-K200,0))</f>
        <v/>
      </c>
      <c r="N200" s="59">
        <f>IF(M200="","",IF(N(J200)=0,1,J200))</f>
        <v/>
      </c>
    </row>
    <row r="201">
      <c r="A201" s="53" t="n">
        <v>181</v>
      </c>
      <c r="B201" s="67" t="n"/>
      <c r="C201" s="55" t="n"/>
      <c r="D201" s="68" t="n"/>
      <c r="E201" s="68" t="n"/>
      <c r="F201" s="59">
        <f>IF(OR(E201="",D201=""),"",MAX(E201-D201,0))</f>
        <v/>
      </c>
      <c r="G201" s="59">
        <f>IF(F201="","",IF(N(C201)=0,1,C201))</f>
        <v/>
      </c>
      <c r="H201" s="53" t="n">
        <v>181</v>
      </c>
      <c r="I201" s="67" t="n"/>
      <c r="J201" s="55" t="n"/>
      <c r="K201" s="68" t="n"/>
      <c r="L201" s="68" t="n"/>
      <c r="M201" s="59">
        <f>IF(OR(L201="",K201=""),"",MAX(L201-K201,0))</f>
        <v/>
      </c>
      <c r="N201" s="59">
        <f>IF(M201="","",IF(N(J201)=0,1,J201))</f>
        <v/>
      </c>
    </row>
    <row r="202">
      <c r="A202" s="53" t="n">
        <v>182</v>
      </c>
      <c r="B202" s="67" t="n"/>
      <c r="C202" s="55" t="n"/>
      <c r="D202" s="68" t="n"/>
      <c r="E202" s="68" t="n"/>
      <c r="F202" s="59">
        <f>IF(OR(E202="",D202=""),"",MAX(E202-D202,0))</f>
        <v/>
      </c>
      <c r="G202" s="59">
        <f>IF(F202="","",IF(N(C202)=0,1,C202))</f>
        <v/>
      </c>
      <c r="H202" s="53" t="n">
        <v>182</v>
      </c>
      <c r="I202" s="67" t="n"/>
      <c r="J202" s="55" t="n"/>
      <c r="K202" s="68" t="n"/>
      <c r="L202" s="68" t="n"/>
      <c r="M202" s="59">
        <f>IF(OR(L202="",K202=""),"",MAX(L202-K202,0))</f>
        <v/>
      </c>
      <c r="N202" s="59">
        <f>IF(M202="","",IF(N(J202)=0,1,J202))</f>
        <v/>
      </c>
    </row>
    <row r="203">
      <c r="A203" s="53" t="n">
        <v>183</v>
      </c>
      <c r="B203" s="67" t="n"/>
      <c r="C203" s="55" t="n"/>
      <c r="D203" s="68" t="n"/>
      <c r="E203" s="68" t="n"/>
      <c r="F203" s="59">
        <f>IF(OR(E203="",D203=""),"",MAX(E203-D203,0))</f>
        <v/>
      </c>
      <c r="G203" s="59">
        <f>IF(F203="","",IF(N(C203)=0,1,C203))</f>
        <v/>
      </c>
      <c r="H203" s="53" t="n">
        <v>183</v>
      </c>
      <c r="I203" s="67" t="n"/>
      <c r="J203" s="55" t="n"/>
      <c r="K203" s="68" t="n"/>
      <c r="L203" s="68" t="n"/>
      <c r="M203" s="59">
        <f>IF(OR(L203="",K203=""),"",MAX(L203-K203,0))</f>
        <v/>
      </c>
      <c r="N203" s="59">
        <f>IF(M203="","",IF(N(J203)=0,1,J203))</f>
        <v/>
      </c>
    </row>
    <row r="204">
      <c r="A204" s="53" t="n">
        <v>184</v>
      </c>
      <c r="B204" s="67" t="n"/>
      <c r="C204" s="55" t="n"/>
      <c r="D204" s="68" t="n"/>
      <c r="E204" s="68" t="n"/>
      <c r="F204" s="59">
        <f>IF(OR(E204="",D204=""),"",MAX(E204-D204,0))</f>
        <v/>
      </c>
      <c r="G204" s="59">
        <f>IF(F204="","",IF(N(C204)=0,1,C204))</f>
        <v/>
      </c>
      <c r="H204" s="53" t="n">
        <v>184</v>
      </c>
      <c r="I204" s="67" t="n"/>
      <c r="J204" s="55" t="n"/>
      <c r="K204" s="68" t="n"/>
      <c r="L204" s="68" t="n"/>
      <c r="M204" s="59">
        <f>IF(OR(L204="",K204=""),"",MAX(L204-K204,0))</f>
        <v/>
      </c>
      <c r="N204" s="59">
        <f>IF(M204="","",IF(N(J204)=0,1,J204))</f>
        <v/>
      </c>
    </row>
    <row r="205">
      <c r="A205" s="53" t="n">
        <v>185</v>
      </c>
      <c r="B205" s="67" t="n"/>
      <c r="C205" s="55" t="n"/>
      <c r="D205" s="68" t="n"/>
      <c r="E205" s="68" t="n"/>
      <c r="F205" s="59">
        <f>IF(OR(E205="",D205=""),"",MAX(E205-D205,0))</f>
        <v/>
      </c>
      <c r="G205" s="59">
        <f>IF(F205="","",IF(N(C205)=0,1,C205))</f>
        <v/>
      </c>
      <c r="H205" s="53" t="n">
        <v>185</v>
      </c>
      <c r="I205" s="67" t="n"/>
      <c r="J205" s="55" t="n"/>
      <c r="K205" s="68" t="n"/>
      <c r="L205" s="68" t="n"/>
      <c r="M205" s="59">
        <f>IF(OR(L205="",K205=""),"",MAX(L205-K205,0))</f>
        <v/>
      </c>
      <c r="N205" s="59">
        <f>IF(M205="","",IF(N(J205)=0,1,J205))</f>
        <v/>
      </c>
    </row>
    <row r="206">
      <c r="A206" s="53" t="n">
        <v>186</v>
      </c>
      <c r="B206" s="67" t="n"/>
      <c r="C206" s="55" t="n"/>
      <c r="D206" s="68" t="n"/>
      <c r="E206" s="68" t="n"/>
      <c r="F206" s="59">
        <f>IF(OR(E206="",D206=""),"",MAX(E206-D206,0))</f>
        <v/>
      </c>
      <c r="G206" s="59">
        <f>IF(F206="","",IF(N(C206)=0,1,C206))</f>
        <v/>
      </c>
      <c r="H206" s="53" t="n">
        <v>186</v>
      </c>
      <c r="I206" s="67" t="n"/>
      <c r="J206" s="55" t="n"/>
      <c r="K206" s="68" t="n"/>
      <c r="L206" s="68" t="n"/>
      <c r="M206" s="59">
        <f>IF(OR(L206="",K206=""),"",MAX(L206-K206,0))</f>
        <v/>
      </c>
      <c r="N206" s="59">
        <f>IF(M206="","",IF(N(J206)=0,1,J206))</f>
        <v/>
      </c>
    </row>
    <row r="207">
      <c r="A207" s="53" t="n">
        <v>187</v>
      </c>
      <c r="B207" s="67" t="n"/>
      <c r="C207" s="55" t="n"/>
      <c r="D207" s="68" t="n"/>
      <c r="E207" s="68" t="n"/>
      <c r="F207" s="59">
        <f>IF(OR(E207="",D207=""),"",MAX(E207-D207,0))</f>
        <v/>
      </c>
      <c r="G207" s="59">
        <f>IF(F207="","",IF(N(C207)=0,1,C207))</f>
        <v/>
      </c>
      <c r="H207" s="53" t="n">
        <v>187</v>
      </c>
      <c r="I207" s="67" t="n"/>
      <c r="J207" s="55" t="n"/>
      <c r="K207" s="68" t="n"/>
      <c r="L207" s="68" t="n"/>
      <c r="M207" s="59">
        <f>IF(OR(L207="",K207=""),"",MAX(L207-K207,0))</f>
        <v/>
      </c>
      <c r="N207" s="59">
        <f>IF(M207="","",IF(N(J207)=0,1,J207))</f>
        <v/>
      </c>
    </row>
    <row r="208">
      <c r="A208" s="53" t="n">
        <v>188</v>
      </c>
      <c r="B208" s="67" t="n"/>
      <c r="C208" s="55" t="n"/>
      <c r="D208" s="68" t="n"/>
      <c r="E208" s="68" t="n"/>
      <c r="F208" s="59">
        <f>IF(OR(E208="",D208=""),"",MAX(E208-D208,0))</f>
        <v/>
      </c>
      <c r="G208" s="59">
        <f>IF(F208="","",IF(N(C208)=0,1,C208))</f>
        <v/>
      </c>
      <c r="H208" s="53" t="n">
        <v>188</v>
      </c>
      <c r="I208" s="67" t="n"/>
      <c r="J208" s="55" t="n"/>
      <c r="K208" s="68" t="n"/>
      <c r="L208" s="68" t="n"/>
      <c r="M208" s="59">
        <f>IF(OR(L208="",K208=""),"",MAX(L208-K208,0))</f>
        <v/>
      </c>
      <c r="N208" s="59">
        <f>IF(M208="","",IF(N(J208)=0,1,J208))</f>
        <v/>
      </c>
    </row>
    <row r="209">
      <c r="A209" s="53" t="n">
        <v>189</v>
      </c>
      <c r="B209" s="67" t="n"/>
      <c r="C209" s="55" t="n"/>
      <c r="D209" s="68" t="n"/>
      <c r="E209" s="68" t="n"/>
      <c r="F209" s="59">
        <f>IF(OR(E209="",D209=""),"",MAX(E209-D209,0))</f>
        <v/>
      </c>
      <c r="G209" s="59">
        <f>IF(F209="","",IF(N(C209)=0,1,C209))</f>
        <v/>
      </c>
      <c r="H209" s="53" t="n">
        <v>189</v>
      </c>
      <c r="I209" s="67" t="n"/>
      <c r="J209" s="55" t="n"/>
      <c r="K209" s="68" t="n"/>
      <c r="L209" s="68" t="n"/>
      <c r="M209" s="59">
        <f>IF(OR(L209="",K209=""),"",MAX(L209-K209,0))</f>
        <v/>
      </c>
      <c r="N209" s="59">
        <f>IF(M209="","",IF(N(J209)=0,1,J209))</f>
        <v/>
      </c>
    </row>
    <row r="210">
      <c r="A210" s="53" t="n">
        <v>190</v>
      </c>
      <c r="B210" s="67" t="n"/>
      <c r="C210" s="55" t="n"/>
      <c r="D210" s="68" t="n"/>
      <c r="E210" s="68" t="n"/>
      <c r="F210" s="59">
        <f>IF(OR(E210="",D210=""),"",MAX(E210-D210,0))</f>
        <v/>
      </c>
      <c r="G210" s="59">
        <f>IF(F210="","",IF(N(C210)=0,1,C210))</f>
        <v/>
      </c>
      <c r="H210" s="53" t="n">
        <v>190</v>
      </c>
      <c r="I210" s="67" t="n"/>
      <c r="J210" s="55" t="n"/>
      <c r="K210" s="68" t="n"/>
      <c r="L210" s="68" t="n"/>
      <c r="M210" s="59">
        <f>IF(OR(L210="",K210=""),"",MAX(L210-K210,0))</f>
        <v/>
      </c>
      <c r="N210" s="59">
        <f>IF(M210="","",IF(N(J210)=0,1,J210))</f>
        <v/>
      </c>
    </row>
    <row r="211">
      <c r="A211" s="53" t="n">
        <v>191</v>
      </c>
      <c r="B211" s="67" t="n"/>
      <c r="C211" s="55" t="n"/>
      <c r="D211" s="68" t="n"/>
      <c r="E211" s="68" t="n"/>
      <c r="F211" s="59">
        <f>IF(OR(E211="",D211=""),"",MAX(E211-D211,0))</f>
        <v/>
      </c>
      <c r="G211" s="59">
        <f>IF(F211="","",IF(N(C211)=0,1,C211))</f>
        <v/>
      </c>
      <c r="H211" s="53" t="n">
        <v>191</v>
      </c>
      <c r="I211" s="67" t="n"/>
      <c r="J211" s="55" t="n"/>
      <c r="K211" s="68" t="n"/>
      <c r="L211" s="68" t="n"/>
      <c r="M211" s="59">
        <f>IF(OR(L211="",K211=""),"",MAX(L211-K211,0))</f>
        <v/>
      </c>
      <c r="N211" s="59">
        <f>IF(M211="","",IF(N(J211)=0,1,J211))</f>
        <v/>
      </c>
    </row>
    <row r="212">
      <c r="A212" s="53" t="n">
        <v>192</v>
      </c>
      <c r="B212" s="67" t="n"/>
      <c r="C212" s="55" t="n"/>
      <c r="D212" s="68" t="n"/>
      <c r="E212" s="68" t="n"/>
      <c r="F212" s="59">
        <f>IF(OR(E212="",D212=""),"",MAX(E212-D212,0))</f>
        <v/>
      </c>
      <c r="G212" s="59">
        <f>IF(F212="","",IF(N(C212)=0,1,C212))</f>
        <v/>
      </c>
      <c r="H212" s="53" t="n">
        <v>192</v>
      </c>
      <c r="I212" s="67" t="n"/>
      <c r="J212" s="55" t="n"/>
      <c r="K212" s="68" t="n"/>
      <c r="L212" s="68" t="n"/>
      <c r="M212" s="59">
        <f>IF(OR(L212="",K212=""),"",MAX(L212-K212,0))</f>
        <v/>
      </c>
      <c r="N212" s="59">
        <f>IF(M212="","",IF(N(J212)=0,1,J212))</f>
        <v/>
      </c>
    </row>
    <row r="213">
      <c r="A213" s="53" t="n">
        <v>193</v>
      </c>
      <c r="B213" s="67" t="n"/>
      <c r="C213" s="55" t="n"/>
      <c r="D213" s="68" t="n"/>
      <c r="E213" s="68" t="n"/>
      <c r="F213" s="59">
        <f>IF(OR(E213="",D213=""),"",MAX(E213-D213,0))</f>
        <v/>
      </c>
      <c r="G213" s="59">
        <f>IF(F213="","",IF(N(C213)=0,1,C213))</f>
        <v/>
      </c>
      <c r="H213" s="53" t="n">
        <v>193</v>
      </c>
      <c r="I213" s="67" t="n"/>
      <c r="J213" s="55" t="n"/>
      <c r="K213" s="68" t="n"/>
      <c r="L213" s="68" t="n"/>
      <c r="M213" s="59">
        <f>IF(OR(L213="",K213=""),"",MAX(L213-K213,0))</f>
        <v/>
      </c>
      <c r="N213" s="59">
        <f>IF(M213="","",IF(N(J213)=0,1,J213))</f>
        <v/>
      </c>
    </row>
    <row r="214">
      <c r="A214" s="53" t="n">
        <v>194</v>
      </c>
      <c r="B214" s="67" t="n"/>
      <c r="C214" s="55" t="n"/>
      <c r="D214" s="68" t="n"/>
      <c r="E214" s="68" t="n"/>
      <c r="F214" s="59">
        <f>IF(OR(E214="",D214=""),"",MAX(E214-D214,0))</f>
        <v/>
      </c>
      <c r="G214" s="59">
        <f>IF(F214="","",IF(N(C214)=0,1,C214))</f>
        <v/>
      </c>
      <c r="H214" s="53" t="n">
        <v>194</v>
      </c>
      <c r="I214" s="67" t="n"/>
      <c r="J214" s="55" t="n"/>
      <c r="K214" s="68" t="n"/>
      <c r="L214" s="68" t="n"/>
      <c r="M214" s="59">
        <f>IF(OR(L214="",K214=""),"",MAX(L214-K214,0))</f>
        <v/>
      </c>
      <c r="N214" s="59">
        <f>IF(M214="","",IF(N(J214)=0,1,J214))</f>
        <v/>
      </c>
    </row>
    <row r="215">
      <c r="A215" s="53" t="n">
        <v>195</v>
      </c>
      <c r="B215" s="67" t="n"/>
      <c r="C215" s="55" t="n"/>
      <c r="D215" s="68" t="n"/>
      <c r="E215" s="68" t="n"/>
      <c r="F215" s="59">
        <f>IF(OR(E215="",D215=""),"",MAX(E215-D215,0))</f>
        <v/>
      </c>
      <c r="G215" s="59">
        <f>IF(F215="","",IF(N(C215)=0,1,C215))</f>
        <v/>
      </c>
      <c r="H215" s="53" t="n">
        <v>195</v>
      </c>
      <c r="I215" s="67" t="n"/>
      <c r="J215" s="55" t="n"/>
      <c r="K215" s="68" t="n"/>
      <c r="L215" s="68" t="n"/>
      <c r="M215" s="59">
        <f>IF(OR(L215="",K215=""),"",MAX(L215-K215,0))</f>
        <v/>
      </c>
      <c r="N215" s="59">
        <f>IF(M215="","",IF(N(J215)=0,1,J215))</f>
        <v/>
      </c>
    </row>
    <row r="216">
      <c r="A216" s="53" t="n">
        <v>196</v>
      </c>
      <c r="B216" s="67" t="n"/>
      <c r="C216" s="55" t="n"/>
      <c r="D216" s="68" t="n"/>
      <c r="E216" s="68" t="n"/>
      <c r="F216" s="59">
        <f>IF(OR(E216="",D216=""),"",MAX(E216-D216,0))</f>
        <v/>
      </c>
      <c r="G216" s="59">
        <f>IF(F216="","",IF(N(C216)=0,1,C216))</f>
        <v/>
      </c>
      <c r="H216" s="53" t="n">
        <v>196</v>
      </c>
      <c r="I216" s="67" t="n"/>
      <c r="J216" s="55" t="n"/>
      <c r="K216" s="68" t="n"/>
      <c r="L216" s="68" t="n"/>
      <c r="M216" s="59">
        <f>IF(OR(L216="",K216=""),"",MAX(L216-K216,0))</f>
        <v/>
      </c>
      <c r="N216" s="59">
        <f>IF(M216="","",IF(N(J216)=0,1,J216))</f>
        <v/>
      </c>
    </row>
    <row r="217">
      <c r="A217" s="53" t="n">
        <v>197</v>
      </c>
      <c r="B217" s="67" t="n"/>
      <c r="C217" s="55" t="n"/>
      <c r="D217" s="68" t="n"/>
      <c r="E217" s="68" t="n"/>
      <c r="F217" s="59">
        <f>IF(OR(E217="",D217=""),"",MAX(E217-D217,0))</f>
        <v/>
      </c>
      <c r="G217" s="59">
        <f>IF(F217="","",IF(N(C217)=0,1,C217))</f>
        <v/>
      </c>
      <c r="H217" s="53" t="n">
        <v>197</v>
      </c>
      <c r="I217" s="67" t="n"/>
      <c r="J217" s="55" t="n"/>
      <c r="K217" s="68" t="n"/>
      <c r="L217" s="68" t="n"/>
      <c r="M217" s="59">
        <f>IF(OR(L217="",K217=""),"",MAX(L217-K217,0))</f>
        <v/>
      </c>
      <c r="N217" s="59">
        <f>IF(M217="","",IF(N(J217)=0,1,J217))</f>
        <v/>
      </c>
    </row>
    <row r="218">
      <c r="A218" s="53" t="n">
        <v>198</v>
      </c>
      <c r="B218" s="67" t="n"/>
      <c r="C218" s="55" t="n"/>
      <c r="D218" s="68" t="n"/>
      <c r="E218" s="68" t="n"/>
      <c r="F218" s="59">
        <f>IF(OR(E218="",D218=""),"",MAX(E218-D218,0))</f>
        <v/>
      </c>
      <c r="G218" s="59">
        <f>IF(F218="","",IF(N(C218)=0,1,C218))</f>
        <v/>
      </c>
      <c r="H218" s="53" t="n">
        <v>198</v>
      </c>
      <c r="I218" s="67" t="n"/>
      <c r="J218" s="55" t="n"/>
      <c r="K218" s="68" t="n"/>
      <c r="L218" s="68" t="n"/>
      <c r="M218" s="59">
        <f>IF(OR(L218="",K218=""),"",MAX(L218-K218,0))</f>
        <v/>
      </c>
      <c r="N218" s="59">
        <f>IF(M218="","",IF(N(J218)=0,1,J218))</f>
        <v/>
      </c>
    </row>
    <row r="219">
      <c r="A219" s="53" t="n">
        <v>199</v>
      </c>
      <c r="B219" s="67" t="n"/>
      <c r="C219" s="55" t="n"/>
      <c r="D219" s="68" t="n"/>
      <c r="E219" s="68" t="n"/>
      <c r="F219" s="59">
        <f>IF(OR(E219="",D219=""),"",MAX(E219-D219,0))</f>
        <v/>
      </c>
      <c r="G219" s="59">
        <f>IF(F219="","",IF(N(C219)=0,1,C219))</f>
        <v/>
      </c>
      <c r="H219" s="53" t="n">
        <v>199</v>
      </c>
      <c r="I219" s="67" t="n"/>
      <c r="J219" s="55" t="n"/>
      <c r="K219" s="68" t="n"/>
      <c r="L219" s="68" t="n"/>
      <c r="M219" s="59">
        <f>IF(OR(L219="",K219=""),"",MAX(L219-K219,0))</f>
        <v/>
      </c>
      <c r="N219" s="59">
        <f>IF(M219="","",IF(N(J219)=0,1,J219))</f>
        <v/>
      </c>
    </row>
    <row r="220">
      <c r="A220" s="53" t="n">
        <v>200</v>
      </c>
      <c r="B220" s="67" t="n"/>
      <c r="C220" s="55" t="n"/>
      <c r="D220" s="68" t="n"/>
      <c r="E220" s="68" t="n"/>
      <c r="F220" s="59">
        <f>IF(OR(E220="",D220=""),"",MAX(E220-D220,0))</f>
        <v/>
      </c>
      <c r="G220" s="59">
        <f>IF(F220="","",IF(N(C220)=0,1,C220))</f>
        <v/>
      </c>
      <c r="H220" s="53" t="n">
        <v>200</v>
      </c>
      <c r="I220" s="67" t="n"/>
      <c r="J220" s="55" t="n"/>
      <c r="K220" s="68" t="n"/>
      <c r="L220" s="68" t="n"/>
      <c r="M220" s="59">
        <f>IF(OR(L220="",K220=""),"",MAX(L220-K220,0))</f>
        <v/>
      </c>
      <c r="N220" s="59">
        <f>IF(M220="","",IF(N(J220)=0,1,J220))</f>
        <v/>
      </c>
    </row>
    <row r="221">
      <c r="A221" s="53" t="n">
        <v>201</v>
      </c>
      <c r="B221" s="67" t="n"/>
      <c r="C221" s="55" t="n"/>
      <c r="D221" s="68" t="n"/>
      <c r="E221" s="68" t="n"/>
      <c r="F221" s="59">
        <f>IF(OR(E221="",D221=""),"",MAX(E221-D221,0))</f>
        <v/>
      </c>
      <c r="G221" s="59">
        <f>IF(F221="","",IF(N(C221)=0,1,C221))</f>
        <v/>
      </c>
      <c r="H221" s="53" t="n">
        <v>201</v>
      </c>
      <c r="I221" s="67" t="n"/>
      <c r="J221" s="55" t="n"/>
      <c r="K221" s="68" t="n"/>
      <c r="L221" s="68" t="n"/>
      <c r="M221" s="59">
        <f>IF(OR(L221="",K221=""),"",MAX(L221-K221,0))</f>
        <v/>
      </c>
      <c r="N221" s="59">
        <f>IF(M221="","",IF(N(J221)=0,1,J221))</f>
        <v/>
      </c>
    </row>
    <row r="222">
      <c r="A222" s="53" t="n">
        <v>202</v>
      </c>
      <c r="B222" s="67" t="n"/>
      <c r="C222" s="55" t="n"/>
      <c r="D222" s="68" t="n"/>
      <c r="E222" s="68" t="n"/>
      <c r="F222" s="59">
        <f>IF(OR(E222="",D222=""),"",MAX(E222-D222,0))</f>
        <v/>
      </c>
      <c r="G222" s="59">
        <f>IF(F222="","",IF(N(C222)=0,1,C222))</f>
        <v/>
      </c>
      <c r="H222" s="53" t="n">
        <v>202</v>
      </c>
      <c r="I222" s="67" t="n"/>
      <c r="J222" s="55" t="n"/>
      <c r="K222" s="68" t="n"/>
      <c r="L222" s="68" t="n"/>
      <c r="M222" s="59">
        <f>IF(OR(L222="",K222=""),"",MAX(L222-K222,0))</f>
        <v/>
      </c>
      <c r="N222" s="59">
        <f>IF(M222="","",IF(N(J222)=0,1,J222))</f>
        <v/>
      </c>
    </row>
    <row r="223">
      <c r="A223" s="53" t="n">
        <v>203</v>
      </c>
      <c r="B223" s="67" t="n"/>
      <c r="C223" s="55" t="n"/>
      <c r="D223" s="68" t="n"/>
      <c r="E223" s="68" t="n"/>
      <c r="F223" s="59">
        <f>IF(OR(E223="",D223=""),"",MAX(E223-D223,0))</f>
        <v/>
      </c>
      <c r="G223" s="59">
        <f>IF(F223="","",IF(N(C223)=0,1,C223))</f>
        <v/>
      </c>
      <c r="H223" s="53" t="n">
        <v>203</v>
      </c>
      <c r="I223" s="67" t="n"/>
      <c r="J223" s="55" t="n"/>
      <c r="K223" s="68" t="n"/>
      <c r="L223" s="68" t="n"/>
      <c r="M223" s="59">
        <f>IF(OR(L223="",K223=""),"",MAX(L223-K223,0))</f>
        <v/>
      </c>
      <c r="N223" s="59">
        <f>IF(M223="","",IF(N(J223)=0,1,J223))</f>
        <v/>
      </c>
    </row>
    <row r="224">
      <c r="A224" s="53" t="n">
        <v>204</v>
      </c>
      <c r="B224" s="67" t="n"/>
      <c r="C224" s="55" t="n"/>
      <c r="D224" s="68" t="n"/>
      <c r="E224" s="68" t="n"/>
      <c r="F224" s="59">
        <f>IF(OR(E224="",D224=""),"",MAX(E224-D224,0))</f>
        <v/>
      </c>
      <c r="G224" s="59">
        <f>IF(F224="","",IF(N(C224)=0,1,C224))</f>
        <v/>
      </c>
      <c r="H224" s="53" t="n">
        <v>204</v>
      </c>
      <c r="I224" s="67" t="n"/>
      <c r="J224" s="55" t="n"/>
      <c r="K224" s="68" t="n"/>
      <c r="L224" s="68" t="n"/>
      <c r="M224" s="59">
        <f>IF(OR(L224="",K224=""),"",MAX(L224-K224,0))</f>
        <v/>
      </c>
      <c r="N224" s="59">
        <f>IF(M224="","",IF(N(J224)=0,1,J224))</f>
        <v/>
      </c>
    </row>
    <row r="225">
      <c r="A225" s="53" t="n">
        <v>205</v>
      </c>
      <c r="B225" s="67" t="n"/>
      <c r="C225" s="55" t="n"/>
      <c r="D225" s="68" t="n"/>
      <c r="E225" s="68" t="n"/>
      <c r="F225" s="59">
        <f>IF(OR(E225="",D225=""),"",MAX(E225-D225,0))</f>
        <v/>
      </c>
      <c r="G225" s="59">
        <f>IF(F225="","",IF(N(C225)=0,1,C225))</f>
        <v/>
      </c>
      <c r="H225" s="53" t="n">
        <v>205</v>
      </c>
      <c r="I225" s="67" t="n"/>
      <c r="J225" s="55" t="n"/>
      <c r="K225" s="68" t="n"/>
      <c r="L225" s="68" t="n"/>
      <c r="M225" s="59">
        <f>IF(OR(L225="",K225=""),"",MAX(L225-K225,0))</f>
        <v/>
      </c>
      <c r="N225" s="59">
        <f>IF(M225="","",IF(N(J225)=0,1,J225))</f>
        <v/>
      </c>
    </row>
    <row r="226">
      <c r="A226" s="53" t="n">
        <v>206</v>
      </c>
      <c r="B226" s="67" t="n"/>
      <c r="C226" s="55" t="n"/>
      <c r="D226" s="68" t="n"/>
      <c r="E226" s="68" t="n"/>
      <c r="F226" s="59">
        <f>IF(OR(E226="",D226=""),"",MAX(E226-D226,0))</f>
        <v/>
      </c>
      <c r="G226" s="59">
        <f>IF(F226="","",IF(N(C226)=0,1,C226))</f>
        <v/>
      </c>
      <c r="H226" s="53" t="n">
        <v>206</v>
      </c>
      <c r="I226" s="67" t="n"/>
      <c r="J226" s="55" t="n"/>
      <c r="K226" s="68" t="n"/>
      <c r="L226" s="68" t="n"/>
      <c r="M226" s="59">
        <f>IF(OR(L226="",K226=""),"",MAX(L226-K226,0))</f>
        <v/>
      </c>
      <c r="N226" s="59">
        <f>IF(M226="","",IF(N(J226)=0,1,J226))</f>
        <v/>
      </c>
    </row>
    <row r="227">
      <c r="A227" s="53" t="n">
        <v>207</v>
      </c>
      <c r="B227" s="67" t="n"/>
      <c r="C227" s="55" t="n"/>
      <c r="D227" s="68" t="n"/>
      <c r="E227" s="68" t="n"/>
      <c r="F227" s="59">
        <f>IF(OR(E227="",D227=""),"",MAX(E227-D227,0))</f>
        <v/>
      </c>
      <c r="G227" s="59">
        <f>IF(F227="","",IF(N(C227)=0,1,C227))</f>
        <v/>
      </c>
      <c r="H227" s="53" t="n">
        <v>207</v>
      </c>
      <c r="I227" s="67" t="n"/>
      <c r="J227" s="55" t="n"/>
      <c r="K227" s="68" t="n"/>
      <c r="L227" s="68" t="n"/>
      <c r="M227" s="59">
        <f>IF(OR(L227="",K227=""),"",MAX(L227-K227,0))</f>
        <v/>
      </c>
      <c r="N227" s="59">
        <f>IF(M227="","",IF(N(J227)=0,1,J227))</f>
        <v/>
      </c>
    </row>
    <row r="228">
      <c r="A228" s="53" t="n">
        <v>208</v>
      </c>
      <c r="B228" s="67" t="n"/>
      <c r="C228" s="55" t="n"/>
      <c r="D228" s="68" t="n"/>
      <c r="E228" s="68" t="n"/>
      <c r="F228" s="59">
        <f>IF(OR(E228="",D228=""),"",MAX(E228-D228,0))</f>
        <v/>
      </c>
      <c r="G228" s="59">
        <f>IF(F228="","",IF(N(C228)=0,1,C228))</f>
        <v/>
      </c>
      <c r="H228" s="53" t="n">
        <v>208</v>
      </c>
      <c r="I228" s="67" t="n"/>
      <c r="J228" s="55" t="n"/>
      <c r="K228" s="68" t="n"/>
      <c r="L228" s="68" t="n"/>
      <c r="M228" s="59">
        <f>IF(OR(L228="",K228=""),"",MAX(L228-K228,0))</f>
        <v/>
      </c>
      <c r="N228" s="59">
        <f>IF(M228="","",IF(N(J228)=0,1,J228))</f>
        <v/>
      </c>
    </row>
    <row r="229">
      <c r="A229" s="53" t="n">
        <v>209</v>
      </c>
      <c r="B229" s="67" t="n"/>
      <c r="C229" s="55" t="n"/>
      <c r="D229" s="68" t="n"/>
      <c r="E229" s="68" t="n"/>
      <c r="F229" s="59">
        <f>IF(OR(E229="",D229=""),"",MAX(E229-D229,0))</f>
        <v/>
      </c>
      <c r="G229" s="59">
        <f>IF(F229="","",IF(N(C229)=0,1,C229))</f>
        <v/>
      </c>
      <c r="H229" s="53" t="n">
        <v>209</v>
      </c>
      <c r="I229" s="67" t="n"/>
      <c r="J229" s="55" t="n"/>
      <c r="K229" s="68" t="n"/>
      <c r="L229" s="68" t="n"/>
      <c r="M229" s="59">
        <f>IF(OR(L229="",K229=""),"",MAX(L229-K229,0))</f>
        <v/>
      </c>
      <c r="N229" s="59">
        <f>IF(M229="","",IF(N(J229)=0,1,J229))</f>
        <v/>
      </c>
    </row>
    <row r="230">
      <c r="A230" s="53" t="n">
        <v>210</v>
      </c>
      <c r="B230" s="67" t="n"/>
      <c r="C230" s="55" t="n"/>
      <c r="D230" s="68" t="n"/>
      <c r="E230" s="68" t="n"/>
      <c r="F230" s="59">
        <f>IF(OR(E230="",D230=""),"",MAX(E230-D230,0))</f>
        <v/>
      </c>
      <c r="G230" s="59">
        <f>IF(F230="","",IF(N(C230)=0,1,C230))</f>
        <v/>
      </c>
      <c r="H230" s="53" t="n">
        <v>210</v>
      </c>
      <c r="I230" s="67" t="n"/>
      <c r="J230" s="55" t="n"/>
      <c r="K230" s="68" t="n"/>
      <c r="L230" s="68" t="n"/>
      <c r="M230" s="59">
        <f>IF(OR(L230="",K230=""),"",MAX(L230-K230,0))</f>
        <v/>
      </c>
      <c r="N230" s="59">
        <f>IF(M230="","",IF(N(J230)=0,1,J230))</f>
        <v/>
      </c>
    </row>
    <row r="231">
      <c r="A231" s="53" t="n">
        <v>211</v>
      </c>
      <c r="B231" s="67" t="n"/>
      <c r="C231" s="55" t="n"/>
      <c r="D231" s="68" t="n"/>
      <c r="E231" s="68" t="n"/>
      <c r="F231" s="59">
        <f>IF(OR(E231="",D231=""),"",MAX(E231-D231,0))</f>
        <v/>
      </c>
      <c r="G231" s="59">
        <f>IF(F231="","",IF(N(C231)=0,1,C231))</f>
        <v/>
      </c>
      <c r="H231" s="53" t="n">
        <v>211</v>
      </c>
      <c r="I231" s="67" t="n"/>
      <c r="J231" s="55" t="n"/>
      <c r="K231" s="68" t="n"/>
      <c r="L231" s="68" t="n"/>
      <c r="M231" s="59">
        <f>IF(OR(L231="",K231=""),"",MAX(L231-K231,0))</f>
        <v/>
      </c>
      <c r="N231" s="59">
        <f>IF(M231="","",IF(N(J231)=0,1,J231))</f>
        <v/>
      </c>
    </row>
    <row r="232">
      <c r="A232" s="53" t="n">
        <v>212</v>
      </c>
      <c r="B232" s="67" t="n"/>
      <c r="C232" s="55" t="n"/>
      <c r="D232" s="68" t="n"/>
      <c r="E232" s="68" t="n"/>
      <c r="F232" s="59">
        <f>IF(OR(E232="",D232=""),"",MAX(E232-D232,0))</f>
        <v/>
      </c>
      <c r="G232" s="59">
        <f>IF(F232="","",IF(N(C232)=0,1,C232))</f>
        <v/>
      </c>
      <c r="H232" s="53" t="n">
        <v>212</v>
      </c>
      <c r="I232" s="67" t="n"/>
      <c r="J232" s="55" t="n"/>
      <c r="K232" s="68" t="n"/>
      <c r="L232" s="68" t="n"/>
      <c r="M232" s="59">
        <f>IF(OR(L232="",K232=""),"",MAX(L232-K232,0))</f>
        <v/>
      </c>
      <c r="N232" s="59">
        <f>IF(M232="","",IF(N(J232)=0,1,J232))</f>
        <v/>
      </c>
    </row>
    <row r="233">
      <c r="A233" s="53" t="n">
        <v>213</v>
      </c>
      <c r="B233" s="67" t="n"/>
      <c r="C233" s="55" t="n"/>
      <c r="D233" s="68" t="n"/>
      <c r="E233" s="68" t="n"/>
      <c r="F233" s="59">
        <f>IF(OR(E233="",D233=""),"",MAX(E233-D233,0))</f>
        <v/>
      </c>
      <c r="G233" s="59">
        <f>IF(F233="","",IF(N(C233)=0,1,C233))</f>
        <v/>
      </c>
      <c r="H233" s="53" t="n">
        <v>213</v>
      </c>
      <c r="I233" s="67" t="n"/>
      <c r="J233" s="55" t="n"/>
      <c r="K233" s="68" t="n"/>
      <c r="L233" s="68" t="n"/>
      <c r="M233" s="59">
        <f>IF(OR(L233="",K233=""),"",MAX(L233-K233,0))</f>
        <v/>
      </c>
      <c r="N233" s="59">
        <f>IF(M233="","",IF(N(J233)=0,1,J233))</f>
        <v/>
      </c>
    </row>
    <row r="234">
      <c r="A234" s="53" t="n">
        <v>214</v>
      </c>
      <c r="B234" s="67" t="n"/>
      <c r="C234" s="55" t="n"/>
      <c r="D234" s="68" t="n"/>
      <c r="E234" s="68" t="n"/>
      <c r="F234" s="59">
        <f>IF(OR(E234="",D234=""),"",MAX(E234-D234,0))</f>
        <v/>
      </c>
      <c r="G234" s="59">
        <f>IF(F234="","",IF(N(C234)=0,1,C234))</f>
        <v/>
      </c>
      <c r="H234" s="53" t="n">
        <v>214</v>
      </c>
      <c r="I234" s="67" t="n"/>
      <c r="J234" s="55" t="n"/>
      <c r="K234" s="68" t="n"/>
      <c r="L234" s="68" t="n"/>
      <c r="M234" s="59">
        <f>IF(OR(L234="",K234=""),"",MAX(L234-K234,0))</f>
        <v/>
      </c>
      <c r="N234" s="59">
        <f>IF(M234="","",IF(N(J234)=0,1,J234))</f>
        <v/>
      </c>
    </row>
    <row r="235">
      <c r="A235" s="53" t="n">
        <v>215</v>
      </c>
      <c r="B235" s="67" t="n"/>
      <c r="C235" s="55" t="n"/>
      <c r="D235" s="68" t="n"/>
      <c r="E235" s="68" t="n"/>
      <c r="F235" s="59">
        <f>IF(OR(E235="",D235=""),"",MAX(E235-D235,0))</f>
        <v/>
      </c>
      <c r="G235" s="59">
        <f>IF(F235="","",IF(N(C235)=0,1,C235))</f>
        <v/>
      </c>
      <c r="H235" s="53" t="n">
        <v>215</v>
      </c>
      <c r="I235" s="67" t="n"/>
      <c r="J235" s="55" t="n"/>
      <c r="K235" s="68" t="n"/>
      <c r="L235" s="68" t="n"/>
      <c r="M235" s="59">
        <f>IF(OR(L235="",K235=""),"",MAX(L235-K235,0))</f>
        <v/>
      </c>
      <c r="N235" s="59">
        <f>IF(M235="","",IF(N(J235)=0,1,J235))</f>
        <v/>
      </c>
    </row>
    <row r="236">
      <c r="A236" s="53" t="n">
        <v>216</v>
      </c>
      <c r="B236" s="67" t="n"/>
      <c r="C236" s="55" t="n"/>
      <c r="D236" s="68" t="n"/>
      <c r="E236" s="68" t="n"/>
      <c r="F236" s="59">
        <f>IF(OR(E236="",D236=""),"",MAX(E236-D236,0))</f>
        <v/>
      </c>
      <c r="G236" s="59">
        <f>IF(F236="","",IF(N(C236)=0,1,C236))</f>
        <v/>
      </c>
      <c r="H236" s="53" t="n">
        <v>216</v>
      </c>
      <c r="I236" s="67" t="n"/>
      <c r="J236" s="55" t="n"/>
      <c r="K236" s="68" t="n"/>
      <c r="L236" s="68" t="n"/>
      <c r="M236" s="59">
        <f>IF(OR(L236="",K236=""),"",MAX(L236-K236,0))</f>
        <v/>
      </c>
      <c r="N236" s="59">
        <f>IF(M236="","",IF(N(J236)=0,1,J236))</f>
        <v/>
      </c>
    </row>
    <row r="237">
      <c r="A237" s="53" t="n">
        <v>217</v>
      </c>
      <c r="B237" s="67" t="n"/>
      <c r="C237" s="55" t="n"/>
      <c r="D237" s="68" t="n"/>
      <c r="E237" s="68" t="n"/>
      <c r="F237" s="59">
        <f>IF(OR(E237="",D237=""),"",MAX(E237-D237,0))</f>
        <v/>
      </c>
      <c r="G237" s="59">
        <f>IF(F237="","",IF(N(C237)=0,1,C237))</f>
        <v/>
      </c>
      <c r="H237" s="53" t="n">
        <v>217</v>
      </c>
      <c r="I237" s="67" t="n"/>
      <c r="J237" s="55" t="n"/>
      <c r="K237" s="68" t="n"/>
      <c r="L237" s="68" t="n"/>
      <c r="M237" s="59">
        <f>IF(OR(L237="",K237=""),"",MAX(L237-K237,0))</f>
        <v/>
      </c>
      <c r="N237" s="59">
        <f>IF(M237="","",IF(N(J237)=0,1,J237))</f>
        <v/>
      </c>
    </row>
    <row r="238">
      <c r="A238" s="53" t="n">
        <v>218</v>
      </c>
      <c r="B238" s="67" t="n"/>
      <c r="C238" s="55" t="n"/>
      <c r="D238" s="68" t="n"/>
      <c r="E238" s="68" t="n"/>
      <c r="F238" s="59">
        <f>IF(OR(E238="",D238=""),"",MAX(E238-D238,0))</f>
        <v/>
      </c>
      <c r="G238" s="59">
        <f>IF(F238="","",IF(N(C238)=0,1,C238))</f>
        <v/>
      </c>
      <c r="H238" s="53" t="n">
        <v>218</v>
      </c>
      <c r="I238" s="67" t="n"/>
      <c r="J238" s="55" t="n"/>
      <c r="K238" s="68" t="n"/>
      <c r="L238" s="68" t="n"/>
      <c r="M238" s="59">
        <f>IF(OR(L238="",K238=""),"",MAX(L238-K238,0))</f>
        <v/>
      </c>
      <c r="N238" s="59">
        <f>IF(M238="","",IF(N(J238)=0,1,J238))</f>
        <v/>
      </c>
    </row>
    <row r="239">
      <c r="A239" s="53" t="n">
        <v>219</v>
      </c>
      <c r="B239" s="67" t="n"/>
      <c r="C239" s="55" t="n"/>
      <c r="D239" s="68" t="n"/>
      <c r="E239" s="68" t="n"/>
      <c r="F239" s="59">
        <f>IF(OR(E239="",D239=""),"",MAX(E239-D239,0))</f>
        <v/>
      </c>
      <c r="G239" s="59">
        <f>IF(F239="","",IF(N(C239)=0,1,C239))</f>
        <v/>
      </c>
      <c r="H239" s="53" t="n">
        <v>219</v>
      </c>
      <c r="I239" s="67" t="n"/>
      <c r="J239" s="55" t="n"/>
      <c r="K239" s="68" t="n"/>
      <c r="L239" s="68" t="n"/>
      <c r="M239" s="59">
        <f>IF(OR(L239="",K239=""),"",MAX(L239-K239,0))</f>
        <v/>
      </c>
      <c r="N239" s="59">
        <f>IF(M239="","",IF(N(J239)=0,1,J239))</f>
        <v/>
      </c>
    </row>
    <row r="240">
      <c r="A240" s="53" t="n">
        <v>220</v>
      </c>
      <c r="B240" s="67" t="n"/>
      <c r="C240" s="55" t="n"/>
      <c r="D240" s="68" t="n"/>
      <c r="E240" s="68" t="n"/>
      <c r="F240" s="59">
        <f>IF(OR(E240="",D240=""),"",MAX(E240-D240,0))</f>
        <v/>
      </c>
      <c r="G240" s="59">
        <f>IF(F240="","",IF(N(C240)=0,1,C240))</f>
        <v/>
      </c>
      <c r="H240" s="53" t="n">
        <v>220</v>
      </c>
      <c r="I240" s="67" t="n"/>
      <c r="J240" s="55" t="n"/>
      <c r="K240" s="68" t="n"/>
      <c r="L240" s="68" t="n"/>
      <c r="M240" s="59">
        <f>IF(OR(L240="",K240=""),"",MAX(L240-K240,0))</f>
        <v/>
      </c>
      <c r="N240" s="59">
        <f>IF(M240="","",IF(N(J240)=0,1,J240))</f>
        <v/>
      </c>
    </row>
    <row r="241">
      <c r="A241" s="53" t="n">
        <v>221</v>
      </c>
      <c r="B241" s="67" t="n"/>
      <c r="C241" s="55" t="n"/>
      <c r="D241" s="68" t="n"/>
      <c r="E241" s="68" t="n"/>
      <c r="F241" s="59">
        <f>IF(OR(E241="",D241=""),"",MAX(E241-D241,0))</f>
        <v/>
      </c>
      <c r="G241" s="59">
        <f>IF(F241="","",IF(N(C241)=0,1,C241))</f>
        <v/>
      </c>
      <c r="H241" s="53" t="n">
        <v>221</v>
      </c>
      <c r="I241" s="67" t="n"/>
      <c r="J241" s="55" t="n"/>
      <c r="K241" s="68" t="n"/>
      <c r="L241" s="68" t="n"/>
      <c r="M241" s="59">
        <f>IF(OR(L241="",K241=""),"",MAX(L241-K241,0))</f>
        <v/>
      </c>
      <c r="N241" s="59">
        <f>IF(M241="","",IF(N(J241)=0,1,J241))</f>
        <v/>
      </c>
    </row>
    <row r="242">
      <c r="A242" s="53" t="n">
        <v>222</v>
      </c>
      <c r="B242" s="67" t="n"/>
      <c r="C242" s="55" t="n"/>
      <c r="D242" s="68" t="n"/>
      <c r="E242" s="68" t="n"/>
      <c r="F242" s="59">
        <f>IF(OR(E242="",D242=""),"",MAX(E242-D242,0))</f>
        <v/>
      </c>
      <c r="G242" s="59">
        <f>IF(F242="","",IF(N(C242)=0,1,C242))</f>
        <v/>
      </c>
      <c r="H242" s="53" t="n">
        <v>222</v>
      </c>
      <c r="I242" s="67" t="n"/>
      <c r="J242" s="55" t="n"/>
      <c r="K242" s="68" t="n"/>
      <c r="L242" s="68" t="n"/>
      <c r="M242" s="59">
        <f>IF(OR(L242="",K242=""),"",MAX(L242-K242,0))</f>
        <v/>
      </c>
      <c r="N242" s="59">
        <f>IF(M242="","",IF(N(J242)=0,1,J242))</f>
        <v/>
      </c>
    </row>
    <row r="243">
      <c r="A243" s="53" t="n">
        <v>223</v>
      </c>
      <c r="B243" s="67" t="n"/>
      <c r="C243" s="55" t="n"/>
      <c r="D243" s="68" t="n"/>
      <c r="E243" s="68" t="n"/>
      <c r="F243" s="59">
        <f>IF(OR(E243="",D243=""),"",MAX(E243-D243,0))</f>
        <v/>
      </c>
      <c r="G243" s="59">
        <f>IF(F243="","",IF(N(C243)=0,1,C243))</f>
        <v/>
      </c>
      <c r="H243" s="53" t="n">
        <v>223</v>
      </c>
      <c r="I243" s="67" t="n"/>
      <c r="J243" s="55" t="n"/>
      <c r="K243" s="68" t="n"/>
      <c r="L243" s="68" t="n"/>
      <c r="M243" s="59">
        <f>IF(OR(L243="",K243=""),"",MAX(L243-K243,0))</f>
        <v/>
      </c>
      <c r="N243" s="59">
        <f>IF(M243="","",IF(N(J243)=0,1,J243))</f>
        <v/>
      </c>
    </row>
    <row r="244">
      <c r="A244" s="53" t="n">
        <v>224</v>
      </c>
      <c r="B244" s="67" t="n"/>
      <c r="C244" s="55" t="n"/>
      <c r="D244" s="68" t="n"/>
      <c r="E244" s="68" t="n"/>
      <c r="F244" s="59">
        <f>IF(OR(E244="",D244=""),"",MAX(E244-D244,0))</f>
        <v/>
      </c>
      <c r="G244" s="59">
        <f>IF(F244="","",IF(N(C244)=0,1,C244))</f>
        <v/>
      </c>
      <c r="H244" s="53" t="n">
        <v>224</v>
      </c>
      <c r="I244" s="67" t="n"/>
      <c r="J244" s="55" t="n"/>
      <c r="K244" s="68" t="n"/>
      <c r="L244" s="68" t="n"/>
      <c r="M244" s="59">
        <f>IF(OR(L244="",K244=""),"",MAX(L244-K244,0))</f>
        <v/>
      </c>
      <c r="N244" s="59">
        <f>IF(M244="","",IF(N(J244)=0,1,J244))</f>
        <v/>
      </c>
    </row>
    <row r="245">
      <c r="A245" s="53" t="n">
        <v>225</v>
      </c>
      <c r="B245" s="67" t="n"/>
      <c r="C245" s="55" t="n"/>
      <c r="D245" s="68" t="n"/>
      <c r="E245" s="68" t="n"/>
      <c r="F245" s="59">
        <f>IF(OR(E245="",D245=""),"",MAX(E245-D245,0))</f>
        <v/>
      </c>
      <c r="G245" s="59">
        <f>IF(F245="","",IF(N(C245)=0,1,C245))</f>
        <v/>
      </c>
      <c r="H245" s="53" t="n">
        <v>225</v>
      </c>
      <c r="I245" s="67" t="n"/>
      <c r="J245" s="55" t="n"/>
      <c r="K245" s="68" t="n"/>
      <c r="L245" s="68" t="n"/>
      <c r="M245" s="59">
        <f>IF(OR(L245="",K245=""),"",MAX(L245-K245,0))</f>
        <v/>
      </c>
      <c r="N245" s="59">
        <f>IF(M245="","",IF(N(J245)=0,1,J245))</f>
        <v/>
      </c>
    </row>
    <row r="246">
      <c r="A246" s="53" t="n">
        <v>226</v>
      </c>
      <c r="B246" s="67" t="n"/>
      <c r="C246" s="55" t="n"/>
      <c r="D246" s="68" t="n"/>
      <c r="E246" s="68" t="n"/>
      <c r="F246" s="59">
        <f>IF(OR(E246="",D246=""),"",MAX(E246-D246,0))</f>
        <v/>
      </c>
      <c r="G246" s="59">
        <f>IF(F246="","",IF(N(C246)=0,1,C246))</f>
        <v/>
      </c>
      <c r="H246" s="53" t="n">
        <v>226</v>
      </c>
      <c r="I246" s="67" t="n"/>
      <c r="J246" s="55" t="n"/>
      <c r="K246" s="68" t="n"/>
      <c r="L246" s="68" t="n"/>
      <c r="M246" s="59">
        <f>IF(OR(L246="",K246=""),"",MAX(L246-K246,0))</f>
        <v/>
      </c>
      <c r="N246" s="59">
        <f>IF(M246="","",IF(N(J246)=0,1,J246))</f>
        <v/>
      </c>
    </row>
    <row r="247">
      <c r="A247" s="53" t="n">
        <v>227</v>
      </c>
      <c r="B247" s="67" t="n"/>
      <c r="C247" s="55" t="n"/>
      <c r="D247" s="68" t="n"/>
      <c r="E247" s="68" t="n"/>
      <c r="F247" s="59">
        <f>IF(OR(E247="",D247=""),"",MAX(E247-D247,0))</f>
        <v/>
      </c>
      <c r="G247" s="59">
        <f>IF(F247="","",IF(N(C247)=0,1,C247))</f>
        <v/>
      </c>
      <c r="H247" s="53" t="n">
        <v>227</v>
      </c>
      <c r="I247" s="67" t="n"/>
      <c r="J247" s="55" t="n"/>
      <c r="K247" s="68" t="n"/>
      <c r="L247" s="68" t="n"/>
      <c r="M247" s="59">
        <f>IF(OR(L247="",K247=""),"",MAX(L247-K247,0))</f>
        <v/>
      </c>
      <c r="N247" s="59">
        <f>IF(M247="","",IF(N(J247)=0,1,J247))</f>
        <v/>
      </c>
    </row>
    <row r="248">
      <c r="A248" s="53" t="n">
        <v>228</v>
      </c>
      <c r="B248" s="67" t="n"/>
      <c r="C248" s="55" t="n"/>
      <c r="D248" s="68" t="n"/>
      <c r="E248" s="68" t="n"/>
      <c r="F248" s="59">
        <f>IF(OR(E248="",D248=""),"",MAX(E248-D248,0))</f>
        <v/>
      </c>
      <c r="G248" s="59">
        <f>IF(F248="","",IF(N(C248)=0,1,C248))</f>
        <v/>
      </c>
      <c r="H248" s="53" t="n">
        <v>228</v>
      </c>
      <c r="I248" s="67" t="n"/>
      <c r="J248" s="55" t="n"/>
      <c r="K248" s="68" t="n"/>
      <c r="L248" s="68" t="n"/>
      <c r="M248" s="59">
        <f>IF(OR(L248="",K248=""),"",MAX(L248-K248,0))</f>
        <v/>
      </c>
      <c r="N248" s="59">
        <f>IF(M248="","",IF(N(J248)=0,1,J248))</f>
        <v/>
      </c>
    </row>
    <row r="249">
      <c r="A249" s="53" t="n">
        <v>229</v>
      </c>
      <c r="B249" s="67" t="n"/>
      <c r="C249" s="55" t="n"/>
      <c r="D249" s="68" t="n"/>
      <c r="E249" s="68" t="n"/>
      <c r="F249" s="59">
        <f>IF(OR(E249="",D249=""),"",MAX(E249-D249,0))</f>
        <v/>
      </c>
      <c r="G249" s="59">
        <f>IF(F249="","",IF(N(C249)=0,1,C249))</f>
        <v/>
      </c>
      <c r="H249" s="53" t="n">
        <v>229</v>
      </c>
      <c r="I249" s="67" t="n"/>
      <c r="J249" s="55" t="n"/>
      <c r="K249" s="68" t="n"/>
      <c r="L249" s="68" t="n"/>
      <c r="M249" s="59">
        <f>IF(OR(L249="",K249=""),"",MAX(L249-K249,0))</f>
        <v/>
      </c>
      <c r="N249" s="59">
        <f>IF(M249="","",IF(N(J249)=0,1,J249))</f>
        <v/>
      </c>
    </row>
    <row r="250">
      <c r="A250" s="53" t="n">
        <v>230</v>
      </c>
      <c r="B250" s="67" t="n"/>
      <c r="C250" s="55" t="n"/>
      <c r="D250" s="68" t="n"/>
      <c r="E250" s="68" t="n"/>
      <c r="F250" s="59">
        <f>IF(OR(E250="",D250=""),"",MAX(E250-D250,0))</f>
        <v/>
      </c>
      <c r="G250" s="59">
        <f>IF(F250="","",IF(N(C250)=0,1,C250))</f>
        <v/>
      </c>
      <c r="H250" s="53" t="n">
        <v>230</v>
      </c>
      <c r="I250" s="67" t="n"/>
      <c r="J250" s="55" t="n"/>
      <c r="K250" s="68" t="n"/>
      <c r="L250" s="68" t="n"/>
      <c r="M250" s="59">
        <f>IF(OR(L250="",K250=""),"",MAX(L250-K250,0))</f>
        <v/>
      </c>
      <c r="N250" s="59">
        <f>IF(M250="","",IF(N(J250)=0,1,J250))</f>
        <v/>
      </c>
    </row>
    <row r="251">
      <c r="A251" s="53" t="n">
        <v>231</v>
      </c>
      <c r="B251" s="67" t="n"/>
      <c r="C251" s="55" t="n"/>
      <c r="D251" s="68" t="n"/>
      <c r="E251" s="68" t="n"/>
      <c r="F251" s="59">
        <f>IF(OR(E251="",D251=""),"",MAX(E251-D251,0))</f>
        <v/>
      </c>
      <c r="G251" s="59">
        <f>IF(F251="","",IF(N(C251)=0,1,C251))</f>
        <v/>
      </c>
      <c r="H251" s="53" t="n">
        <v>231</v>
      </c>
      <c r="I251" s="67" t="n"/>
      <c r="J251" s="55" t="n"/>
      <c r="K251" s="68" t="n"/>
      <c r="L251" s="68" t="n"/>
      <c r="M251" s="59">
        <f>IF(OR(L251="",K251=""),"",MAX(L251-K251,0))</f>
        <v/>
      </c>
      <c r="N251" s="59">
        <f>IF(M251="","",IF(N(J251)=0,1,J251))</f>
        <v/>
      </c>
    </row>
    <row r="252">
      <c r="A252" s="53" t="n">
        <v>232</v>
      </c>
      <c r="B252" s="67" t="n"/>
      <c r="C252" s="55" t="n"/>
      <c r="D252" s="68" t="n"/>
      <c r="E252" s="68" t="n"/>
      <c r="F252" s="59">
        <f>IF(OR(E252="",D252=""),"",MAX(E252-D252,0))</f>
        <v/>
      </c>
      <c r="G252" s="59">
        <f>IF(F252="","",IF(N(C252)=0,1,C252))</f>
        <v/>
      </c>
      <c r="H252" s="53" t="n">
        <v>232</v>
      </c>
      <c r="I252" s="67" t="n"/>
      <c r="J252" s="55" t="n"/>
      <c r="K252" s="68" t="n"/>
      <c r="L252" s="68" t="n"/>
      <c r="M252" s="59">
        <f>IF(OR(L252="",K252=""),"",MAX(L252-K252,0))</f>
        <v/>
      </c>
      <c r="N252" s="59">
        <f>IF(M252="","",IF(N(J252)=0,1,J252))</f>
        <v/>
      </c>
    </row>
    <row r="253">
      <c r="A253" s="53" t="n">
        <v>233</v>
      </c>
      <c r="B253" s="67" t="n"/>
      <c r="C253" s="55" t="n"/>
      <c r="D253" s="68" t="n"/>
      <c r="E253" s="68" t="n"/>
      <c r="F253" s="59">
        <f>IF(OR(E253="",D253=""),"",MAX(E253-D253,0))</f>
        <v/>
      </c>
      <c r="G253" s="59">
        <f>IF(F253="","",IF(N(C253)=0,1,C253))</f>
        <v/>
      </c>
      <c r="H253" s="53" t="n">
        <v>233</v>
      </c>
      <c r="I253" s="67" t="n"/>
      <c r="J253" s="55" t="n"/>
      <c r="K253" s="68" t="n"/>
      <c r="L253" s="68" t="n"/>
      <c r="M253" s="59">
        <f>IF(OR(L253="",K253=""),"",MAX(L253-K253,0))</f>
        <v/>
      </c>
      <c r="N253" s="59">
        <f>IF(M253="","",IF(N(J253)=0,1,J253))</f>
        <v/>
      </c>
    </row>
    <row r="254">
      <c r="A254" s="53" t="n">
        <v>234</v>
      </c>
      <c r="B254" s="67" t="n"/>
      <c r="C254" s="55" t="n"/>
      <c r="D254" s="68" t="n"/>
      <c r="E254" s="68" t="n"/>
      <c r="F254" s="59">
        <f>IF(OR(E254="",D254=""),"",MAX(E254-D254,0))</f>
        <v/>
      </c>
      <c r="G254" s="59">
        <f>IF(F254="","",IF(N(C254)=0,1,C254))</f>
        <v/>
      </c>
      <c r="H254" s="53" t="n">
        <v>234</v>
      </c>
      <c r="I254" s="67" t="n"/>
      <c r="J254" s="55" t="n"/>
      <c r="K254" s="68" t="n"/>
      <c r="L254" s="68" t="n"/>
      <c r="M254" s="59">
        <f>IF(OR(L254="",K254=""),"",MAX(L254-K254,0))</f>
        <v/>
      </c>
      <c r="N254" s="59">
        <f>IF(M254="","",IF(N(J254)=0,1,J254))</f>
        <v/>
      </c>
    </row>
    <row r="255">
      <c r="A255" s="53" t="n">
        <v>235</v>
      </c>
      <c r="B255" s="67" t="n"/>
      <c r="C255" s="55" t="n"/>
      <c r="D255" s="68" t="n"/>
      <c r="E255" s="68" t="n"/>
      <c r="F255" s="59">
        <f>IF(OR(E255="",D255=""),"",MAX(E255-D255,0))</f>
        <v/>
      </c>
      <c r="G255" s="59">
        <f>IF(F255="","",IF(N(C255)=0,1,C255))</f>
        <v/>
      </c>
      <c r="H255" s="53" t="n">
        <v>235</v>
      </c>
      <c r="I255" s="67" t="n"/>
      <c r="J255" s="55" t="n"/>
      <c r="K255" s="68" t="n"/>
      <c r="L255" s="68" t="n"/>
      <c r="M255" s="59">
        <f>IF(OR(L255="",K255=""),"",MAX(L255-K255,0))</f>
        <v/>
      </c>
      <c r="N255" s="59">
        <f>IF(M255="","",IF(N(J255)=0,1,J255))</f>
        <v/>
      </c>
    </row>
    <row r="256">
      <c r="A256" s="53" t="n">
        <v>236</v>
      </c>
      <c r="B256" s="67" t="n"/>
      <c r="C256" s="55" t="n"/>
      <c r="D256" s="68" t="n"/>
      <c r="E256" s="68" t="n"/>
      <c r="F256" s="59">
        <f>IF(OR(E256="",D256=""),"",MAX(E256-D256,0))</f>
        <v/>
      </c>
      <c r="G256" s="59">
        <f>IF(F256="","",IF(N(C256)=0,1,C256))</f>
        <v/>
      </c>
      <c r="H256" s="53" t="n">
        <v>236</v>
      </c>
      <c r="I256" s="67" t="n"/>
      <c r="J256" s="55" t="n"/>
      <c r="K256" s="68" t="n"/>
      <c r="L256" s="68" t="n"/>
      <c r="M256" s="59">
        <f>IF(OR(L256="",K256=""),"",MAX(L256-K256,0))</f>
        <v/>
      </c>
      <c r="N256" s="59">
        <f>IF(M256="","",IF(N(J256)=0,1,J256))</f>
        <v/>
      </c>
    </row>
    <row r="257">
      <c r="A257" s="53" t="n">
        <v>237</v>
      </c>
      <c r="B257" s="67" t="n"/>
      <c r="C257" s="55" t="n"/>
      <c r="D257" s="68" t="n"/>
      <c r="E257" s="68" t="n"/>
      <c r="F257" s="59">
        <f>IF(OR(E257="",D257=""),"",MAX(E257-D257,0))</f>
        <v/>
      </c>
      <c r="G257" s="59">
        <f>IF(F257="","",IF(N(C257)=0,1,C257))</f>
        <v/>
      </c>
      <c r="H257" s="53" t="n">
        <v>237</v>
      </c>
      <c r="I257" s="67" t="n"/>
      <c r="J257" s="55" t="n"/>
      <c r="K257" s="68" t="n"/>
      <c r="L257" s="68" t="n"/>
      <c r="M257" s="59">
        <f>IF(OR(L257="",K257=""),"",MAX(L257-K257,0))</f>
        <v/>
      </c>
      <c r="N257" s="59">
        <f>IF(M257="","",IF(N(J257)=0,1,J257))</f>
        <v/>
      </c>
    </row>
    <row r="258">
      <c r="A258" s="53" t="n">
        <v>238</v>
      </c>
      <c r="B258" s="67" t="n"/>
      <c r="C258" s="55" t="n"/>
      <c r="D258" s="68" t="n"/>
      <c r="E258" s="68" t="n"/>
      <c r="F258" s="59">
        <f>IF(OR(E258="",D258=""),"",MAX(E258-D258,0))</f>
        <v/>
      </c>
      <c r="G258" s="59">
        <f>IF(F258="","",IF(N(C258)=0,1,C258))</f>
        <v/>
      </c>
      <c r="H258" s="53" t="n">
        <v>238</v>
      </c>
      <c r="I258" s="67" t="n"/>
      <c r="J258" s="55" t="n"/>
      <c r="K258" s="68" t="n"/>
      <c r="L258" s="68" t="n"/>
      <c r="M258" s="59">
        <f>IF(OR(L258="",K258=""),"",MAX(L258-K258,0))</f>
        <v/>
      </c>
      <c r="N258" s="59">
        <f>IF(M258="","",IF(N(J258)=0,1,J258))</f>
        <v/>
      </c>
    </row>
    <row r="259">
      <c r="A259" s="53" t="n">
        <v>239</v>
      </c>
      <c r="B259" s="67" t="n"/>
      <c r="C259" s="55" t="n"/>
      <c r="D259" s="68" t="n"/>
      <c r="E259" s="68" t="n"/>
      <c r="F259" s="59">
        <f>IF(OR(E259="",D259=""),"",MAX(E259-D259,0))</f>
        <v/>
      </c>
      <c r="G259" s="59">
        <f>IF(F259="","",IF(N(C259)=0,1,C259))</f>
        <v/>
      </c>
      <c r="H259" s="53" t="n">
        <v>239</v>
      </c>
      <c r="I259" s="67" t="n"/>
      <c r="J259" s="55" t="n"/>
      <c r="K259" s="68" t="n"/>
      <c r="L259" s="68" t="n"/>
      <c r="M259" s="59">
        <f>IF(OR(L259="",K259=""),"",MAX(L259-K259,0))</f>
        <v/>
      </c>
      <c r="N259" s="59">
        <f>IF(M259="","",IF(N(J259)=0,1,J259))</f>
        <v/>
      </c>
    </row>
    <row r="260">
      <c r="A260" s="53" t="n">
        <v>240</v>
      </c>
      <c r="B260" s="67" t="n"/>
      <c r="C260" s="55" t="n"/>
      <c r="D260" s="68" t="n"/>
      <c r="E260" s="68" t="n"/>
      <c r="F260" s="59">
        <f>IF(OR(E260="",D260=""),"",MAX(E260-D260,0))</f>
        <v/>
      </c>
      <c r="G260" s="59">
        <f>IF(F260="","",IF(N(C260)=0,1,C260))</f>
        <v/>
      </c>
      <c r="H260" s="53" t="n">
        <v>240</v>
      </c>
      <c r="I260" s="67" t="n"/>
      <c r="J260" s="55" t="n"/>
      <c r="K260" s="68" t="n"/>
      <c r="L260" s="68" t="n"/>
      <c r="M260" s="59">
        <f>IF(OR(L260="",K260=""),"",MAX(L260-K260,0))</f>
        <v/>
      </c>
      <c r="N260" s="59">
        <f>IF(M260="","",IF(N(J260)=0,1,J260))</f>
        <v/>
      </c>
    </row>
    <row r="261">
      <c r="A261" s="53" t="n">
        <v>241</v>
      </c>
      <c r="B261" s="67" t="n"/>
      <c r="C261" s="55" t="n"/>
      <c r="D261" s="68" t="n"/>
      <c r="E261" s="68" t="n"/>
      <c r="F261" s="59">
        <f>IF(OR(E261="",D261=""),"",MAX(E261-D261,0))</f>
        <v/>
      </c>
      <c r="G261" s="59">
        <f>IF(F261="","",IF(N(C261)=0,1,C261))</f>
        <v/>
      </c>
      <c r="H261" s="53" t="n">
        <v>241</v>
      </c>
      <c r="I261" s="67" t="n"/>
      <c r="J261" s="55" t="n"/>
      <c r="K261" s="68" t="n"/>
      <c r="L261" s="68" t="n"/>
      <c r="M261" s="59">
        <f>IF(OR(L261="",K261=""),"",MAX(L261-K261,0))</f>
        <v/>
      </c>
      <c r="N261" s="59">
        <f>IF(M261="","",IF(N(J261)=0,1,J261))</f>
        <v/>
      </c>
    </row>
    <row r="262">
      <c r="A262" s="53" t="n">
        <v>242</v>
      </c>
      <c r="B262" s="67" t="n"/>
      <c r="C262" s="55" t="n"/>
      <c r="D262" s="68" t="n"/>
      <c r="E262" s="68" t="n"/>
      <c r="F262" s="59">
        <f>IF(OR(E262="",D262=""),"",MAX(E262-D262,0))</f>
        <v/>
      </c>
      <c r="G262" s="59">
        <f>IF(F262="","",IF(N(C262)=0,1,C262))</f>
        <v/>
      </c>
      <c r="H262" s="53" t="n">
        <v>242</v>
      </c>
      <c r="I262" s="67" t="n"/>
      <c r="J262" s="55" t="n"/>
      <c r="K262" s="68" t="n"/>
      <c r="L262" s="68" t="n"/>
      <c r="M262" s="59">
        <f>IF(OR(L262="",K262=""),"",MAX(L262-K262,0))</f>
        <v/>
      </c>
      <c r="N262" s="59">
        <f>IF(M262="","",IF(N(J262)=0,1,J262))</f>
        <v/>
      </c>
    </row>
    <row r="263">
      <c r="A263" s="53" t="n">
        <v>243</v>
      </c>
      <c r="B263" s="67" t="n"/>
      <c r="C263" s="55" t="n"/>
      <c r="D263" s="68" t="n"/>
      <c r="E263" s="68" t="n"/>
      <c r="F263" s="59">
        <f>IF(OR(E263="",D263=""),"",MAX(E263-D263,0))</f>
        <v/>
      </c>
      <c r="G263" s="59">
        <f>IF(F263="","",IF(N(C263)=0,1,C263))</f>
        <v/>
      </c>
      <c r="H263" s="53" t="n">
        <v>243</v>
      </c>
      <c r="I263" s="67" t="n"/>
      <c r="J263" s="55" t="n"/>
      <c r="K263" s="68" t="n"/>
      <c r="L263" s="68" t="n"/>
      <c r="M263" s="59">
        <f>IF(OR(L263="",K263=""),"",MAX(L263-K263,0))</f>
        <v/>
      </c>
      <c r="N263" s="59">
        <f>IF(M263="","",IF(N(J263)=0,1,J263))</f>
        <v/>
      </c>
    </row>
    <row r="264">
      <c r="A264" s="53" t="n">
        <v>244</v>
      </c>
      <c r="B264" s="67" t="n"/>
      <c r="C264" s="55" t="n"/>
      <c r="D264" s="68" t="n"/>
      <c r="E264" s="68" t="n"/>
      <c r="F264" s="59">
        <f>IF(OR(E264="",D264=""),"",MAX(E264-D264,0))</f>
        <v/>
      </c>
      <c r="G264" s="59">
        <f>IF(F264="","",IF(N(C264)=0,1,C264))</f>
        <v/>
      </c>
      <c r="H264" s="53" t="n">
        <v>244</v>
      </c>
      <c r="I264" s="67" t="n"/>
      <c r="J264" s="55" t="n"/>
      <c r="K264" s="68" t="n"/>
      <c r="L264" s="68" t="n"/>
      <c r="M264" s="59">
        <f>IF(OR(L264="",K264=""),"",MAX(L264-K264,0))</f>
        <v/>
      </c>
      <c r="N264" s="59">
        <f>IF(M264="","",IF(N(J264)=0,1,J264))</f>
        <v/>
      </c>
    </row>
    <row r="265">
      <c r="A265" s="53" t="n">
        <v>245</v>
      </c>
      <c r="B265" s="67" t="n"/>
      <c r="C265" s="55" t="n"/>
      <c r="D265" s="68" t="n"/>
      <c r="E265" s="68" t="n"/>
      <c r="F265" s="59">
        <f>IF(OR(E265="",D265=""),"",MAX(E265-D265,0))</f>
        <v/>
      </c>
      <c r="G265" s="59">
        <f>IF(F265="","",IF(N(C265)=0,1,C265))</f>
        <v/>
      </c>
      <c r="H265" s="53" t="n">
        <v>245</v>
      </c>
      <c r="I265" s="67" t="n"/>
      <c r="J265" s="55" t="n"/>
      <c r="K265" s="68" t="n"/>
      <c r="L265" s="68" t="n"/>
      <c r="M265" s="59">
        <f>IF(OR(L265="",K265=""),"",MAX(L265-K265,0))</f>
        <v/>
      </c>
      <c r="N265" s="59">
        <f>IF(M265="","",IF(N(J265)=0,1,J265))</f>
        <v/>
      </c>
    </row>
    <row r="266">
      <c r="A266" s="53" t="n">
        <v>246</v>
      </c>
      <c r="B266" s="67" t="n"/>
      <c r="C266" s="55" t="n"/>
      <c r="D266" s="68" t="n"/>
      <c r="E266" s="68" t="n"/>
      <c r="F266" s="59">
        <f>IF(OR(E266="",D266=""),"",MAX(E266-D266,0))</f>
        <v/>
      </c>
      <c r="G266" s="59">
        <f>IF(F266="","",IF(N(C266)=0,1,C266))</f>
        <v/>
      </c>
      <c r="H266" s="53" t="n">
        <v>246</v>
      </c>
      <c r="I266" s="67" t="n"/>
      <c r="J266" s="55" t="n"/>
      <c r="K266" s="68" t="n"/>
      <c r="L266" s="68" t="n"/>
      <c r="M266" s="59">
        <f>IF(OR(L266="",K266=""),"",MAX(L266-K266,0))</f>
        <v/>
      </c>
      <c r="N266" s="59">
        <f>IF(M266="","",IF(N(J266)=0,1,J266))</f>
        <v/>
      </c>
    </row>
    <row r="267">
      <c r="A267" s="53" t="n">
        <v>247</v>
      </c>
      <c r="B267" s="67" t="n"/>
      <c r="C267" s="55" t="n"/>
      <c r="D267" s="68" t="n"/>
      <c r="E267" s="68" t="n"/>
      <c r="F267" s="59">
        <f>IF(OR(E267="",D267=""),"",MAX(E267-D267,0))</f>
        <v/>
      </c>
      <c r="G267" s="59">
        <f>IF(F267="","",IF(N(C267)=0,1,C267))</f>
        <v/>
      </c>
      <c r="H267" s="53" t="n">
        <v>247</v>
      </c>
      <c r="I267" s="67" t="n"/>
      <c r="J267" s="55" t="n"/>
      <c r="K267" s="68" t="n"/>
      <c r="L267" s="68" t="n"/>
      <c r="M267" s="59">
        <f>IF(OR(L267="",K267=""),"",MAX(L267-K267,0))</f>
        <v/>
      </c>
      <c r="N267" s="59">
        <f>IF(M267="","",IF(N(J267)=0,1,J267))</f>
        <v/>
      </c>
    </row>
    <row r="268">
      <c r="A268" s="53" t="n">
        <v>248</v>
      </c>
      <c r="B268" s="67" t="n"/>
      <c r="C268" s="55" t="n"/>
      <c r="D268" s="68" t="n"/>
      <c r="E268" s="68" t="n"/>
      <c r="F268" s="59">
        <f>IF(OR(E268="",D268=""),"",MAX(E268-D268,0))</f>
        <v/>
      </c>
      <c r="G268" s="59">
        <f>IF(F268="","",IF(N(C268)=0,1,C268))</f>
        <v/>
      </c>
      <c r="H268" s="53" t="n">
        <v>248</v>
      </c>
      <c r="I268" s="67" t="n"/>
      <c r="J268" s="55" t="n"/>
      <c r="K268" s="68" t="n"/>
      <c r="L268" s="68" t="n"/>
      <c r="M268" s="59">
        <f>IF(OR(L268="",K268=""),"",MAX(L268-K268,0))</f>
        <v/>
      </c>
      <c r="N268" s="59">
        <f>IF(M268="","",IF(N(J268)=0,1,J268))</f>
        <v/>
      </c>
    </row>
    <row r="269">
      <c r="A269" s="53" t="n">
        <v>249</v>
      </c>
      <c r="B269" s="67" t="n"/>
      <c r="C269" s="55" t="n"/>
      <c r="D269" s="68" t="n"/>
      <c r="E269" s="68" t="n"/>
      <c r="F269" s="59">
        <f>IF(OR(E269="",D269=""),"",MAX(E269-D269,0))</f>
        <v/>
      </c>
      <c r="G269" s="59">
        <f>IF(F269="","",IF(N(C269)=0,1,C269))</f>
        <v/>
      </c>
      <c r="H269" s="53" t="n">
        <v>249</v>
      </c>
      <c r="I269" s="67" t="n"/>
      <c r="J269" s="55" t="n"/>
      <c r="K269" s="68" t="n"/>
      <c r="L269" s="68" t="n"/>
      <c r="M269" s="59">
        <f>IF(OR(L269="",K269=""),"",MAX(L269-K269,0))</f>
        <v/>
      </c>
      <c r="N269" s="59">
        <f>IF(M269="","",IF(N(J269)=0,1,J269))</f>
        <v/>
      </c>
    </row>
    <row r="270">
      <c r="A270" s="53" t="n">
        <v>250</v>
      </c>
      <c r="B270" s="67" t="n"/>
      <c r="C270" s="55" t="n"/>
      <c r="D270" s="68" t="n"/>
      <c r="E270" s="68" t="n"/>
      <c r="F270" s="59">
        <f>IF(OR(E270="",D270=""),"",MAX(E270-D270,0))</f>
        <v/>
      </c>
      <c r="G270" s="59">
        <f>IF(F270="","",IF(N(C270)=0,1,C270))</f>
        <v/>
      </c>
      <c r="H270" s="53" t="n">
        <v>250</v>
      </c>
      <c r="I270" s="67" t="n"/>
      <c r="J270" s="55" t="n"/>
      <c r="K270" s="68" t="n"/>
      <c r="L270" s="68" t="n"/>
      <c r="M270" s="59">
        <f>IF(OR(L270="",K270=""),"",MAX(L270-K270,0))</f>
        <v/>
      </c>
      <c r="N270" s="59">
        <f>IF(M270="","",IF(N(J270)=0,1,J270))</f>
        <v/>
      </c>
    </row>
    <row r="271">
      <c r="A271" s="53" t="n">
        <v>251</v>
      </c>
      <c r="B271" s="67" t="n"/>
      <c r="C271" s="55" t="n"/>
      <c r="D271" s="68" t="n"/>
      <c r="E271" s="68" t="n"/>
      <c r="F271" s="59">
        <f>IF(OR(E271="",D271=""),"",MAX(E271-D271,0))</f>
        <v/>
      </c>
      <c r="G271" s="59">
        <f>IF(F271="","",IF(N(C271)=0,1,C271))</f>
        <v/>
      </c>
      <c r="H271" s="53" t="n">
        <v>251</v>
      </c>
      <c r="I271" s="67" t="n"/>
      <c r="J271" s="55" t="n"/>
      <c r="K271" s="68" t="n"/>
      <c r="L271" s="68" t="n"/>
      <c r="M271" s="59">
        <f>IF(OR(L271="",K271=""),"",MAX(L271-K271,0))</f>
        <v/>
      </c>
      <c r="N271" s="59">
        <f>IF(M271="","",IF(N(J271)=0,1,J271))</f>
        <v/>
      </c>
    </row>
    <row r="272">
      <c r="A272" s="53" t="n">
        <v>252</v>
      </c>
      <c r="B272" s="67" t="n"/>
      <c r="C272" s="55" t="n"/>
      <c r="D272" s="68" t="n"/>
      <c r="E272" s="68" t="n"/>
      <c r="F272" s="59">
        <f>IF(OR(E272="",D272=""),"",MAX(E272-D272,0))</f>
        <v/>
      </c>
      <c r="G272" s="59">
        <f>IF(F272="","",IF(N(C272)=0,1,C272))</f>
        <v/>
      </c>
      <c r="H272" s="53" t="n">
        <v>252</v>
      </c>
      <c r="I272" s="67" t="n"/>
      <c r="J272" s="55" t="n"/>
      <c r="K272" s="68" t="n"/>
      <c r="L272" s="68" t="n"/>
      <c r="M272" s="59">
        <f>IF(OR(L272="",K272=""),"",MAX(L272-K272,0))</f>
        <v/>
      </c>
      <c r="N272" s="59">
        <f>IF(M272="","",IF(N(J272)=0,1,J272))</f>
        <v/>
      </c>
    </row>
    <row r="273">
      <c r="A273" s="53" t="n">
        <v>253</v>
      </c>
      <c r="B273" s="67" t="n"/>
      <c r="C273" s="55" t="n"/>
      <c r="D273" s="68" t="n"/>
      <c r="E273" s="68" t="n"/>
      <c r="F273" s="59">
        <f>IF(OR(E273="",D273=""),"",MAX(E273-D273,0))</f>
        <v/>
      </c>
      <c r="G273" s="59">
        <f>IF(F273="","",IF(N(C273)=0,1,C273))</f>
        <v/>
      </c>
      <c r="H273" s="53" t="n">
        <v>253</v>
      </c>
      <c r="I273" s="67" t="n"/>
      <c r="J273" s="55" t="n"/>
      <c r="K273" s="68" t="n"/>
      <c r="L273" s="68" t="n"/>
      <c r="M273" s="59">
        <f>IF(OR(L273="",K273=""),"",MAX(L273-K273,0))</f>
        <v/>
      </c>
      <c r="N273" s="59">
        <f>IF(M273="","",IF(N(J273)=0,1,J273))</f>
        <v/>
      </c>
    </row>
    <row r="274">
      <c r="A274" s="53" t="n">
        <v>254</v>
      </c>
      <c r="B274" s="67" t="n"/>
      <c r="C274" s="55" t="n"/>
      <c r="D274" s="68" t="n"/>
      <c r="E274" s="68" t="n"/>
      <c r="F274" s="59">
        <f>IF(OR(E274="",D274=""),"",MAX(E274-D274,0))</f>
        <v/>
      </c>
      <c r="G274" s="59">
        <f>IF(F274="","",IF(N(C274)=0,1,C274))</f>
        <v/>
      </c>
      <c r="H274" s="53" t="n">
        <v>254</v>
      </c>
      <c r="I274" s="67" t="n"/>
      <c r="J274" s="55" t="n"/>
      <c r="K274" s="68" t="n"/>
      <c r="L274" s="68" t="n"/>
      <c r="M274" s="59">
        <f>IF(OR(L274="",K274=""),"",MAX(L274-K274,0))</f>
        <v/>
      </c>
      <c r="N274" s="59">
        <f>IF(M274="","",IF(N(J274)=0,1,J274))</f>
        <v/>
      </c>
    </row>
    <row r="275">
      <c r="A275" s="53" t="n">
        <v>255</v>
      </c>
      <c r="B275" s="67" t="n"/>
      <c r="C275" s="55" t="n"/>
      <c r="D275" s="68" t="n"/>
      <c r="E275" s="68" t="n"/>
      <c r="F275" s="59">
        <f>IF(OR(E275="",D275=""),"",MAX(E275-D275,0))</f>
        <v/>
      </c>
      <c r="G275" s="59">
        <f>IF(F275="","",IF(N(C275)=0,1,C275))</f>
        <v/>
      </c>
      <c r="H275" s="53" t="n">
        <v>255</v>
      </c>
      <c r="I275" s="67" t="n"/>
      <c r="J275" s="55" t="n"/>
      <c r="K275" s="68" t="n"/>
      <c r="L275" s="68" t="n"/>
      <c r="M275" s="59">
        <f>IF(OR(L275="",K275=""),"",MAX(L275-K275,0))</f>
        <v/>
      </c>
      <c r="N275" s="59">
        <f>IF(M275="","",IF(N(J275)=0,1,J275))</f>
        <v/>
      </c>
    </row>
    <row r="276">
      <c r="A276" s="53" t="n">
        <v>256</v>
      </c>
      <c r="B276" s="67" t="n"/>
      <c r="C276" s="55" t="n"/>
      <c r="D276" s="68" t="n"/>
      <c r="E276" s="68" t="n"/>
      <c r="F276" s="59">
        <f>IF(OR(E276="",D276=""),"",MAX(E276-D276,0))</f>
        <v/>
      </c>
      <c r="G276" s="59">
        <f>IF(F276="","",IF(N(C276)=0,1,C276))</f>
        <v/>
      </c>
      <c r="H276" s="53" t="n">
        <v>256</v>
      </c>
      <c r="I276" s="67" t="n"/>
      <c r="J276" s="55" t="n"/>
      <c r="K276" s="68" t="n"/>
      <c r="L276" s="68" t="n"/>
      <c r="M276" s="59">
        <f>IF(OR(L276="",K276=""),"",MAX(L276-K276,0))</f>
        <v/>
      </c>
      <c r="N276" s="59">
        <f>IF(M276="","",IF(N(J276)=0,1,J276))</f>
        <v/>
      </c>
    </row>
    <row r="277">
      <c r="A277" s="53" t="n">
        <v>257</v>
      </c>
      <c r="B277" s="67" t="n"/>
      <c r="C277" s="55" t="n"/>
      <c r="D277" s="68" t="n"/>
      <c r="E277" s="68" t="n"/>
      <c r="F277" s="59">
        <f>IF(OR(E277="",D277=""),"",MAX(E277-D277,0))</f>
        <v/>
      </c>
      <c r="G277" s="59">
        <f>IF(F277="","",IF(N(C277)=0,1,C277))</f>
        <v/>
      </c>
      <c r="H277" s="53" t="n">
        <v>257</v>
      </c>
      <c r="I277" s="67" t="n"/>
      <c r="J277" s="55" t="n"/>
      <c r="K277" s="68" t="n"/>
      <c r="L277" s="68" t="n"/>
      <c r="M277" s="59">
        <f>IF(OR(L277="",K277=""),"",MAX(L277-K277,0))</f>
        <v/>
      </c>
      <c r="N277" s="59">
        <f>IF(M277="","",IF(N(J277)=0,1,J277))</f>
        <v/>
      </c>
    </row>
    <row r="278">
      <c r="A278" s="53" t="n">
        <v>258</v>
      </c>
      <c r="B278" s="67" t="n"/>
      <c r="C278" s="55" t="n"/>
      <c r="D278" s="68" t="n"/>
      <c r="E278" s="68" t="n"/>
      <c r="F278" s="59">
        <f>IF(OR(E278="",D278=""),"",MAX(E278-D278,0))</f>
        <v/>
      </c>
      <c r="G278" s="59">
        <f>IF(F278="","",IF(N(C278)=0,1,C278))</f>
        <v/>
      </c>
      <c r="H278" s="53" t="n">
        <v>258</v>
      </c>
      <c r="I278" s="67" t="n"/>
      <c r="J278" s="55" t="n"/>
      <c r="K278" s="68" t="n"/>
      <c r="L278" s="68" t="n"/>
      <c r="M278" s="59">
        <f>IF(OR(L278="",K278=""),"",MAX(L278-K278,0))</f>
        <v/>
      </c>
      <c r="N278" s="59">
        <f>IF(M278="","",IF(N(J278)=0,1,J278))</f>
        <v/>
      </c>
    </row>
    <row r="279">
      <c r="A279" s="53" t="n">
        <v>259</v>
      </c>
      <c r="B279" s="67" t="n"/>
      <c r="C279" s="55" t="n"/>
      <c r="D279" s="68" t="n"/>
      <c r="E279" s="68" t="n"/>
      <c r="F279" s="59">
        <f>IF(OR(E279="",D279=""),"",MAX(E279-D279,0))</f>
        <v/>
      </c>
      <c r="G279" s="59">
        <f>IF(F279="","",IF(N(C279)=0,1,C279))</f>
        <v/>
      </c>
      <c r="H279" s="53" t="n">
        <v>259</v>
      </c>
      <c r="I279" s="67" t="n"/>
      <c r="J279" s="55" t="n"/>
      <c r="K279" s="68" t="n"/>
      <c r="L279" s="68" t="n"/>
      <c r="M279" s="59">
        <f>IF(OR(L279="",K279=""),"",MAX(L279-K279,0))</f>
        <v/>
      </c>
      <c r="N279" s="59">
        <f>IF(M279="","",IF(N(J279)=0,1,J279))</f>
        <v/>
      </c>
    </row>
    <row r="280">
      <c r="A280" s="53" t="n">
        <v>260</v>
      </c>
      <c r="B280" s="67" t="n"/>
      <c r="C280" s="55" t="n"/>
      <c r="D280" s="68" t="n"/>
      <c r="E280" s="68" t="n"/>
      <c r="F280" s="59">
        <f>IF(OR(E280="",D280=""),"",MAX(E280-D280,0))</f>
        <v/>
      </c>
      <c r="G280" s="59">
        <f>IF(F280="","",IF(N(C280)=0,1,C280))</f>
        <v/>
      </c>
      <c r="H280" s="53" t="n">
        <v>260</v>
      </c>
      <c r="I280" s="67" t="n"/>
      <c r="J280" s="55" t="n"/>
      <c r="K280" s="68" t="n"/>
      <c r="L280" s="68" t="n"/>
      <c r="M280" s="59">
        <f>IF(OR(L280="",K280=""),"",MAX(L280-K280,0))</f>
        <v/>
      </c>
      <c r="N280" s="59">
        <f>IF(M280="","",IF(N(J280)=0,1,J280))</f>
        <v/>
      </c>
    </row>
    <row r="281">
      <c r="A281" s="53" t="n">
        <v>261</v>
      </c>
      <c r="B281" s="67" t="n"/>
      <c r="C281" s="55" t="n"/>
      <c r="D281" s="68" t="n"/>
      <c r="E281" s="68" t="n"/>
      <c r="F281" s="59">
        <f>IF(OR(E281="",D281=""),"",MAX(E281-D281,0))</f>
        <v/>
      </c>
      <c r="G281" s="59">
        <f>IF(F281="","",IF(N(C281)=0,1,C281))</f>
        <v/>
      </c>
      <c r="H281" s="53" t="n">
        <v>261</v>
      </c>
      <c r="I281" s="67" t="n"/>
      <c r="J281" s="55" t="n"/>
      <c r="K281" s="68" t="n"/>
      <c r="L281" s="68" t="n"/>
      <c r="M281" s="59">
        <f>IF(OR(L281="",K281=""),"",MAX(L281-K281,0))</f>
        <v/>
      </c>
      <c r="N281" s="59">
        <f>IF(M281="","",IF(N(J281)=0,1,J281))</f>
        <v/>
      </c>
    </row>
    <row r="282">
      <c r="A282" s="53" t="n">
        <v>262</v>
      </c>
      <c r="B282" s="67" t="n"/>
      <c r="C282" s="55" t="n"/>
      <c r="D282" s="68" t="n"/>
      <c r="E282" s="68" t="n"/>
      <c r="F282" s="59">
        <f>IF(OR(E282="",D282=""),"",MAX(E282-D282,0))</f>
        <v/>
      </c>
      <c r="G282" s="59">
        <f>IF(F282="","",IF(N(C282)=0,1,C282))</f>
        <v/>
      </c>
      <c r="H282" s="53" t="n">
        <v>262</v>
      </c>
      <c r="I282" s="67" t="n"/>
      <c r="J282" s="55" t="n"/>
      <c r="K282" s="68" t="n"/>
      <c r="L282" s="68" t="n"/>
      <c r="M282" s="59">
        <f>IF(OR(L282="",K282=""),"",MAX(L282-K282,0))</f>
        <v/>
      </c>
      <c r="N282" s="59">
        <f>IF(M282="","",IF(N(J282)=0,1,J282))</f>
        <v/>
      </c>
    </row>
    <row r="283">
      <c r="A283" s="53" t="n">
        <v>263</v>
      </c>
      <c r="B283" s="67" t="n"/>
      <c r="C283" s="55" t="n"/>
      <c r="D283" s="68" t="n"/>
      <c r="E283" s="68" t="n"/>
      <c r="F283" s="59">
        <f>IF(OR(E283="",D283=""),"",MAX(E283-D283,0))</f>
        <v/>
      </c>
      <c r="G283" s="59">
        <f>IF(F283="","",IF(N(C283)=0,1,C283))</f>
        <v/>
      </c>
      <c r="H283" s="53" t="n">
        <v>263</v>
      </c>
      <c r="I283" s="67" t="n"/>
      <c r="J283" s="55" t="n"/>
      <c r="K283" s="68" t="n"/>
      <c r="L283" s="68" t="n"/>
      <c r="M283" s="59">
        <f>IF(OR(L283="",K283=""),"",MAX(L283-K283,0))</f>
        <v/>
      </c>
      <c r="N283" s="59">
        <f>IF(M283="","",IF(N(J283)=0,1,J283))</f>
        <v/>
      </c>
    </row>
    <row r="284">
      <c r="A284" s="53" t="n">
        <v>264</v>
      </c>
      <c r="B284" s="67" t="n"/>
      <c r="C284" s="55" t="n"/>
      <c r="D284" s="68" t="n"/>
      <c r="E284" s="68" t="n"/>
      <c r="F284" s="59">
        <f>IF(OR(E284="",D284=""),"",MAX(E284-D284,0))</f>
        <v/>
      </c>
      <c r="G284" s="59">
        <f>IF(F284="","",IF(N(C284)=0,1,C284))</f>
        <v/>
      </c>
      <c r="H284" s="53" t="n">
        <v>264</v>
      </c>
      <c r="I284" s="67" t="n"/>
      <c r="J284" s="55" t="n"/>
      <c r="K284" s="68" t="n"/>
      <c r="L284" s="68" t="n"/>
      <c r="M284" s="59">
        <f>IF(OR(L284="",K284=""),"",MAX(L284-K284,0))</f>
        <v/>
      </c>
      <c r="N284" s="59">
        <f>IF(M284="","",IF(N(J284)=0,1,J284))</f>
        <v/>
      </c>
    </row>
    <row r="285">
      <c r="A285" s="53" t="n">
        <v>265</v>
      </c>
      <c r="B285" s="67" t="n"/>
      <c r="C285" s="55" t="n"/>
      <c r="D285" s="68" t="n"/>
      <c r="E285" s="68" t="n"/>
      <c r="F285" s="59">
        <f>IF(OR(E285="",D285=""),"",MAX(E285-D285,0))</f>
        <v/>
      </c>
      <c r="G285" s="59">
        <f>IF(F285="","",IF(N(C285)=0,1,C285))</f>
        <v/>
      </c>
      <c r="H285" s="53" t="n">
        <v>265</v>
      </c>
      <c r="I285" s="67" t="n"/>
      <c r="J285" s="55" t="n"/>
      <c r="K285" s="68" t="n"/>
      <c r="L285" s="68" t="n"/>
      <c r="M285" s="59">
        <f>IF(OR(L285="",K285=""),"",MAX(L285-K285,0))</f>
        <v/>
      </c>
      <c r="N285" s="59">
        <f>IF(M285="","",IF(N(J285)=0,1,J285))</f>
        <v/>
      </c>
    </row>
    <row r="286">
      <c r="A286" s="53" t="n">
        <v>266</v>
      </c>
      <c r="B286" s="67" t="n"/>
      <c r="C286" s="55" t="n"/>
      <c r="D286" s="68" t="n"/>
      <c r="E286" s="68" t="n"/>
      <c r="F286" s="59">
        <f>IF(OR(E286="",D286=""),"",MAX(E286-D286,0))</f>
        <v/>
      </c>
      <c r="G286" s="59">
        <f>IF(F286="","",IF(N(C286)=0,1,C286))</f>
        <v/>
      </c>
      <c r="H286" s="53" t="n">
        <v>266</v>
      </c>
      <c r="I286" s="67" t="n"/>
      <c r="J286" s="55" t="n"/>
      <c r="K286" s="68" t="n"/>
      <c r="L286" s="68" t="n"/>
      <c r="M286" s="59">
        <f>IF(OR(L286="",K286=""),"",MAX(L286-K286,0))</f>
        <v/>
      </c>
      <c r="N286" s="59">
        <f>IF(M286="","",IF(N(J286)=0,1,J286))</f>
        <v/>
      </c>
    </row>
    <row r="287">
      <c r="A287" s="53" t="n">
        <v>267</v>
      </c>
      <c r="B287" s="67" t="n"/>
      <c r="C287" s="55" t="n"/>
      <c r="D287" s="68" t="n"/>
      <c r="E287" s="68" t="n"/>
      <c r="F287" s="59">
        <f>IF(OR(E287="",D287=""),"",MAX(E287-D287,0))</f>
        <v/>
      </c>
      <c r="G287" s="59">
        <f>IF(F287="","",IF(N(C287)=0,1,C287))</f>
        <v/>
      </c>
      <c r="H287" s="53" t="n">
        <v>267</v>
      </c>
      <c r="I287" s="67" t="n"/>
      <c r="J287" s="55" t="n"/>
      <c r="K287" s="68" t="n"/>
      <c r="L287" s="68" t="n"/>
      <c r="M287" s="59">
        <f>IF(OR(L287="",K287=""),"",MAX(L287-K287,0))</f>
        <v/>
      </c>
      <c r="N287" s="59">
        <f>IF(M287="","",IF(N(J287)=0,1,J287))</f>
        <v/>
      </c>
    </row>
    <row r="288">
      <c r="A288" s="53" t="n">
        <v>268</v>
      </c>
      <c r="B288" s="67" t="n"/>
      <c r="C288" s="55" t="n"/>
      <c r="D288" s="68" t="n"/>
      <c r="E288" s="68" t="n"/>
      <c r="F288" s="59">
        <f>IF(OR(E288="",D288=""),"",MAX(E288-D288,0))</f>
        <v/>
      </c>
      <c r="G288" s="59">
        <f>IF(F288="","",IF(N(C288)=0,1,C288))</f>
        <v/>
      </c>
      <c r="H288" s="53" t="n">
        <v>268</v>
      </c>
      <c r="I288" s="67" t="n"/>
      <c r="J288" s="55" t="n"/>
      <c r="K288" s="68" t="n"/>
      <c r="L288" s="68" t="n"/>
      <c r="M288" s="59">
        <f>IF(OR(L288="",K288=""),"",MAX(L288-K288,0))</f>
        <v/>
      </c>
      <c r="N288" s="59">
        <f>IF(M288="","",IF(N(J288)=0,1,J288))</f>
        <v/>
      </c>
    </row>
    <row r="289">
      <c r="A289" s="53" t="n">
        <v>269</v>
      </c>
      <c r="B289" s="67" t="n"/>
      <c r="C289" s="55" t="n"/>
      <c r="D289" s="68" t="n"/>
      <c r="E289" s="68" t="n"/>
      <c r="F289" s="59">
        <f>IF(OR(E289="",D289=""),"",MAX(E289-D289,0))</f>
        <v/>
      </c>
      <c r="G289" s="59">
        <f>IF(F289="","",IF(N(C289)=0,1,C289))</f>
        <v/>
      </c>
      <c r="H289" s="53" t="n">
        <v>269</v>
      </c>
      <c r="I289" s="67" t="n"/>
      <c r="J289" s="55" t="n"/>
      <c r="K289" s="68" t="n"/>
      <c r="L289" s="68" t="n"/>
      <c r="M289" s="59">
        <f>IF(OR(L289="",K289=""),"",MAX(L289-K289,0))</f>
        <v/>
      </c>
      <c r="N289" s="59">
        <f>IF(M289="","",IF(N(J289)=0,1,J289))</f>
        <v/>
      </c>
    </row>
    <row r="290">
      <c r="A290" s="53" t="n">
        <v>270</v>
      </c>
      <c r="B290" s="67" t="n"/>
      <c r="C290" s="55" t="n"/>
      <c r="D290" s="68" t="n"/>
      <c r="E290" s="68" t="n"/>
      <c r="F290" s="59">
        <f>IF(OR(E290="",D290=""),"",MAX(E290-D290,0))</f>
        <v/>
      </c>
      <c r="G290" s="59">
        <f>IF(F290="","",IF(N(C290)=0,1,C290))</f>
        <v/>
      </c>
      <c r="H290" s="53" t="n">
        <v>270</v>
      </c>
      <c r="I290" s="67" t="n"/>
      <c r="J290" s="55" t="n"/>
      <c r="K290" s="68" t="n"/>
      <c r="L290" s="68" t="n"/>
      <c r="M290" s="59">
        <f>IF(OR(L290="",K290=""),"",MAX(L290-K290,0))</f>
        <v/>
      </c>
      <c r="N290" s="59">
        <f>IF(M290="","",IF(N(J290)=0,1,J290))</f>
        <v/>
      </c>
    </row>
    <row r="291">
      <c r="A291" s="53" t="n">
        <v>271</v>
      </c>
      <c r="B291" s="67" t="n"/>
      <c r="C291" s="55" t="n"/>
      <c r="D291" s="68" t="n"/>
      <c r="E291" s="68" t="n"/>
      <c r="F291" s="59">
        <f>IF(OR(E291="",D291=""),"",MAX(E291-D291,0))</f>
        <v/>
      </c>
      <c r="G291" s="59">
        <f>IF(F291="","",IF(N(C291)=0,1,C291))</f>
        <v/>
      </c>
      <c r="H291" s="53" t="n">
        <v>271</v>
      </c>
      <c r="I291" s="67" t="n"/>
      <c r="J291" s="55" t="n"/>
      <c r="K291" s="68" t="n"/>
      <c r="L291" s="68" t="n"/>
      <c r="M291" s="59">
        <f>IF(OR(L291="",K291=""),"",MAX(L291-K291,0))</f>
        <v/>
      </c>
      <c r="N291" s="59">
        <f>IF(M291="","",IF(N(J291)=0,1,J291))</f>
        <v/>
      </c>
    </row>
    <row r="292">
      <c r="A292" s="53" t="n">
        <v>272</v>
      </c>
      <c r="B292" s="67" t="n"/>
      <c r="C292" s="55" t="n"/>
      <c r="D292" s="68" t="n"/>
      <c r="E292" s="68" t="n"/>
      <c r="F292" s="59">
        <f>IF(OR(E292="",D292=""),"",MAX(E292-D292,0))</f>
        <v/>
      </c>
      <c r="G292" s="59">
        <f>IF(F292="","",IF(N(C292)=0,1,C292))</f>
        <v/>
      </c>
      <c r="H292" s="53" t="n">
        <v>272</v>
      </c>
      <c r="I292" s="67" t="n"/>
      <c r="J292" s="55" t="n"/>
      <c r="K292" s="68" t="n"/>
      <c r="L292" s="68" t="n"/>
      <c r="M292" s="59">
        <f>IF(OR(L292="",K292=""),"",MAX(L292-K292,0))</f>
        <v/>
      </c>
      <c r="N292" s="59">
        <f>IF(M292="","",IF(N(J292)=0,1,J292))</f>
        <v/>
      </c>
    </row>
    <row r="293">
      <c r="A293" s="53" t="n">
        <v>273</v>
      </c>
      <c r="B293" s="67" t="n"/>
      <c r="C293" s="55" t="n"/>
      <c r="D293" s="68" t="n"/>
      <c r="E293" s="68" t="n"/>
      <c r="F293" s="59">
        <f>IF(OR(E293="",D293=""),"",MAX(E293-D293,0))</f>
        <v/>
      </c>
      <c r="G293" s="59">
        <f>IF(F293="","",IF(N(C293)=0,1,C293))</f>
        <v/>
      </c>
      <c r="H293" s="53" t="n">
        <v>273</v>
      </c>
      <c r="I293" s="67" t="n"/>
      <c r="J293" s="55" t="n"/>
      <c r="K293" s="68" t="n"/>
      <c r="L293" s="68" t="n"/>
      <c r="M293" s="59">
        <f>IF(OR(L293="",K293=""),"",MAX(L293-K293,0))</f>
        <v/>
      </c>
      <c r="N293" s="59">
        <f>IF(M293="","",IF(N(J293)=0,1,J293))</f>
        <v/>
      </c>
    </row>
    <row r="294">
      <c r="A294" s="53" t="n">
        <v>274</v>
      </c>
      <c r="B294" s="67" t="n"/>
      <c r="C294" s="55" t="n"/>
      <c r="D294" s="68" t="n"/>
      <c r="E294" s="68" t="n"/>
      <c r="F294" s="59">
        <f>IF(OR(E294="",D294=""),"",MAX(E294-D294,0))</f>
        <v/>
      </c>
      <c r="G294" s="59">
        <f>IF(F294="","",IF(N(C294)=0,1,C294))</f>
        <v/>
      </c>
      <c r="H294" s="53" t="n">
        <v>274</v>
      </c>
      <c r="I294" s="67" t="n"/>
      <c r="J294" s="55" t="n"/>
      <c r="K294" s="68" t="n"/>
      <c r="L294" s="68" t="n"/>
      <c r="M294" s="59">
        <f>IF(OR(L294="",K294=""),"",MAX(L294-K294,0))</f>
        <v/>
      </c>
      <c r="N294" s="59">
        <f>IF(M294="","",IF(N(J294)=0,1,J294))</f>
        <v/>
      </c>
    </row>
    <row r="295">
      <c r="A295" s="53" t="n">
        <v>275</v>
      </c>
      <c r="B295" s="67" t="n"/>
      <c r="C295" s="55" t="n"/>
      <c r="D295" s="68" t="n"/>
      <c r="E295" s="68" t="n"/>
      <c r="F295" s="59">
        <f>IF(OR(E295="",D295=""),"",MAX(E295-D295,0))</f>
        <v/>
      </c>
      <c r="G295" s="59">
        <f>IF(F295="","",IF(N(C295)=0,1,C295))</f>
        <v/>
      </c>
      <c r="H295" s="53" t="n">
        <v>275</v>
      </c>
      <c r="I295" s="67" t="n"/>
      <c r="J295" s="55" t="n"/>
      <c r="K295" s="68" t="n"/>
      <c r="L295" s="68" t="n"/>
      <c r="M295" s="59">
        <f>IF(OR(L295="",K295=""),"",MAX(L295-K295,0))</f>
        <v/>
      </c>
      <c r="N295" s="59">
        <f>IF(M295="","",IF(N(J295)=0,1,J295))</f>
        <v/>
      </c>
    </row>
    <row r="296">
      <c r="A296" s="53" t="n">
        <v>276</v>
      </c>
      <c r="B296" s="67" t="n"/>
      <c r="C296" s="55" t="n"/>
      <c r="D296" s="68" t="n"/>
      <c r="E296" s="68" t="n"/>
      <c r="F296" s="59">
        <f>IF(OR(E296="",D296=""),"",MAX(E296-D296,0))</f>
        <v/>
      </c>
      <c r="G296" s="59">
        <f>IF(F296="","",IF(N(C296)=0,1,C296))</f>
        <v/>
      </c>
      <c r="H296" s="53" t="n">
        <v>276</v>
      </c>
      <c r="I296" s="67" t="n"/>
      <c r="J296" s="55" t="n"/>
      <c r="K296" s="68" t="n"/>
      <c r="L296" s="68" t="n"/>
      <c r="M296" s="59">
        <f>IF(OR(L296="",K296=""),"",MAX(L296-K296,0))</f>
        <v/>
      </c>
      <c r="N296" s="59">
        <f>IF(M296="","",IF(N(J296)=0,1,J296))</f>
        <v/>
      </c>
    </row>
    <row r="297">
      <c r="A297" s="53" t="n">
        <v>277</v>
      </c>
      <c r="B297" s="67" t="n"/>
      <c r="C297" s="55" t="n"/>
      <c r="D297" s="68" t="n"/>
      <c r="E297" s="68" t="n"/>
      <c r="F297" s="59">
        <f>IF(OR(E297="",D297=""),"",MAX(E297-D297,0))</f>
        <v/>
      </c>
      <c r="G297" s="59">
        <f>IF(F297="","",IF(N(C297)=0,1,C297))</f>
        <v/>
      </c>
      <c r="H297" s="53" t="n">
        <v>277</v>
      </c>
      <c r="I297" s="67" t="n"/>
      <c r="J297" s="55" t="n"/>
      <c r="K297" s="68" t="n"/>
      <c r="L297" s="68" t="n"/>
      <c r="M297" s="59">
        <f>IF(OR(L297="",K297=""),"",MAX(L297-K297,0))</f>
        <v/>
      </c>
      <c r="N297" s="59">
        <f>IF(M297="","",IF(N(J297)=0,1,J297))</f>
        <v/>
      </c>
    </row>
    <row r="298">
      <c r="A298" s="53" t="n">
        <v>278</v>
      </c>
      <c r="B298" s="67" t="n"/>
      <c r="C298" s="55" t="n"/>
      <c r="D298" s="68" t="n"/>
      <c r="E298" s="68" t="n"/>
      <c r="F298" s="59">
        <f>IF(OR(E298="",D298=""),"",MAX(E298-D298,0))</f>
        <v/>
      </c>
      <c r="G298" s="59">
        <f>IF(F298="","",IF(N(C298)=0,1,C298))</f>
        <v/>
      </c>
      <c r="H298" s="53" t="n">
        <v>278</v>
      </c>
      <c r="I298" s="67" t="n"/>
      <c r="J298" s="55" t="n"/>
      <c r="K298" s="68" t="n"/>
      <c r="L298" s="68" t="n"/>
      <c r="M298" s="59">
        <f>IF(OR(L298="",K298=""),"",MAX(L298-K298,0))</f>
        <v/>
      </c>
      <c r="N298" s="59">
        <f>IF(M298="","",IF(N(J298)=0,1,J298))</f>
        <v/>
      </c>
    </row>
    <row r="299">
      <c r="A299" s="53" t="n">
        <v>279</v>
      </c>
      <c r="B299" s="67" t="n"/>
      <c r="C299" s="55" t="n"/>
      <c r="D299" s="68" t="n"/>
      <c r="E299" s="68" t="n"/>
      <c r="F299" s="59">
        <f>IF(OR(E299="",D299=""),"",MAX(E299-D299,0))</f>
        <v/>
      </c>
      <c r="G299" s="59">
        <f>IF(F299="","",IF(N(C299)=0,1,C299))</f>
        <v/>
      </c>
      <c r="H299" s="53" t="n">
        <v>279</v>
      </c>
      <c r="I299" s="67" t="n"/>
      <c r="J299" s="55" t="n"/>
      <c r="K299" s="68" t="n"/>
      <c r="L299" s="68" t="n"/>
      <c r="M299" s="59">
        <f>IF(OR(L299="",K299=""),"",MAX(L299-K299,0))</f>
        <v/>
      </c>
      <c r="N299" s="59">
        <f>IF(M299="","",IF(N(J299)=0,1,J299))</f>
        <v/>
      </c>
    </row>
    <row r="300">
      <c r="A300" s="53" t="n">
        <v>280</v>
      </c>
      <c r="B300" s="67" t="n"/>
      <c r="C300" s="55" t="n"/>
      <c r="D300" s="68" t="n"/>
      <c r="E300" s="68" t="n"/>
      <c r="F300" s="59">
        <f>IF(OR(E300="",D300=""),"",MAX(E300-D300,0))</f>
        <v/>
      </c>
      <c r="G300" s="59">
        <f>IF(F300="","",IF(N(C300)=0,1,C300))</f>
        <v/>
      </c>
      <c r="H300" s="53" t="n">
        <v>280</v>
      </c>
      <c r="I300" s="67" t="n"/>
      <c r="J300" s="55" t="n"/>
      <c r="K300" s="68" t="n"/>
      <c r="L300" s="68" t="n"/>
      <c r="M300" s="59">
        <f>IF(OR(L300="",K300=""),"",MAX(L300-K300,0))</f>
        <v/>
      </c>
      <c r="N300" s="59">
        <f>IF(M300="","",IF(N(J300)=0,1,J300))</f>
        <v/>
      </c>
    </row>
    <row r="301">
      <c r="A301" s="53" t="n">
        <v>281</v>
      </c>
      <c r="B301" s="67" t="n"/>
      <c r="C301" s="55" t="n"/>
      <c r="D301" s="68" t="n"/>
      <c r="E301" s="68" t="n"/>
      <c r="F301" s="59">
        <f>IF(OR(E301="",D301=""),"",MAX(E301-D301,0))</f>
        <v/>
      </c>
      <c r="G301" s="59">
        <f>IF(F301="","",IF(N(C301)=0,1,C301))</f>
        <v/>
      </c>
      <c r="H301" s="53" t="n">
        <v>281</v>
      </c>
      <c r="I301" s="67" t="n"/>
      <c r="J301" s="55" t="n"/>
      <c r="K301" s="68" t="n"/>
      <c r="L301" s="68" t="n"/>
      <c r="M301" s="59">
        <f>IF(OR(L301="",K301=""),"",MAX(L301-K301,0))</f>
        <v/>
      </c>
      <c r="N301" s="59">
        <f>IF(M301="","",IF(N(J301)=0,1,J301))</f>
        <v/>
      </c>
    </row>
    <row r="302">
      <c r="A302" s="53" t="n">
        <v>282</v>
      </c>
      <c r="B302" s="67" t="n"/>
      <c r="C302" s="55" t="n"/>
      <c r="D302" s="68" t="n"/>
      <c r="E302" s="68" t="n"/>
      <c r="F302" s="59">
        <f>IF(OR(E302="",D302=""),"",MAX(E302-D302,0))</f>
        <v/>
      </c>
      <c r="G302" s="59">
        <f>IF(F302="","",IF(N(C302)=0,1,C302))</f>
        <v/>
      </c>
      <c r="H302" s="53" t="n">
        <v>282</v>
      </c>
      <c r="I302" s="67" t="n"/>
      <c r="J302" s="55" t="n"/>
      <c r="K302" s="68" t="n"/>
      <c r="L302" s="68" t="n"/>
      <c r="M302" s="59">
        <f>IF(OR(L302="",K302=""),"",MAX(L302-K302,0))</f>
        <v/>
      </c>
      <c r="N302" s="59">
        <f>IF(M302="","",IF(N(J302)=0,1,J302))</f>
        <v/>
      </c>
    </row>
    <row r="303">
      <c r="A303" s="53" t="n">
        <v>283</v>
      </c>
      <c r="B303" s="67" t="n"/>
      <c r="C303" s="55" t="n"/>
      <c r="D303" s="68" t="n"/>
      <c r="E303" s="68" t="n"/>
      <c r="F303" s="59">
        <f>IF(OR(E303="",D303=""),"",MAX(E303-D303,0))</f>
        <v/>
      </c>
      <c r="G303" s="59">
        <f>IF(F303="","",IF(N(C303)=0,1,C303))</f>
        <v/>
      </c>
      <c r="H303" s="53" t="n">
        <v>283</v>
      </c>
      <c r="I303" s="67" t="n"/>
      <c r="J303" s="55" t="n"/>
      <c r="K303" s="68" t="n"/>
      <c r="L303" s="68" t="n"/>
      <c r="M303" s="59">
        <f>IF(OR(L303="",K303=""),"",MAX(L303-K303,0))</f>
        <v/>
      </c>
      <c r="N303" s="59">
        <f>IF(M303="","",IF(N(J303)=0,1,J303))</f>
        <v/>
      </c>
    </row>
    <row r="304">
      <c r="A304" s="53" t="n">
        <v>284</v>
      </c>
      <c r="B304" s="67" t="n"/>
      <c r="C304" s="55" t="n"/>
      <c r="D304" s="68" t="n"/>
      <c r="E304" s="68" t="n"/>
      <c r="F304" s="59">
        <f>IF(OR(E304="",D304=""),"",MAX(E304-D304,0))</f>
        <v/>
      </c>
      <c r="G304" s="59">
        <f>IF(F304="","",IF(N(C304)=0,1,C304))</f>
        <v/>
      </c>
      <c r="H304" s="53" t="n">
        <v>284</v>
      </c>
      <c r="I304" s="67" t="n"/>
      <c r="J304" s="55" t="n"/>
      <c r="K304" s="68" t="n"/>
      <c r="L304" s="68" t="n"/>
      <c r="M304" s="59">
        <f>IF(OR(L304="",K304=""),"",MAX(L304-K304,0))</f>
        <v/>
      </c>
      <c r="N304" s="59">
        <f>IF(M304="","",IF(N(J304)=0,1,J304))</f>
        <v/>
      </c>
    </row>
    <row r="305">
      <c r="A305" s="53" t="n">
        <v>285</v>
      </c>
      <c r="B305" s="67" t="n"/>
      <c r="C305" s="55" t="n"/>
      <c r="D305" s="68" t="n"/>
      <c r="E305" s="68" t="n"/>
      <c r="F305" s="59">
        <f>IF(OR(E305="",D305=""),"",MAX(E305-D305,0))</f>
        <v/>
      </c>
      <c r="G305" s="59">
        <f>IF(F305="","",IF(N(C305)=0,1,C305))</f>
        <v/>
      </c>
      <c r="H305" s="53" t="n">
        <v>285</v>
      </c>
      <c r="I305" s="67" t="n"/>
      <c r="J305" s="55" t="n"/>
      <c r="K305" s="68" t="n"/>
      <c r="L305" s="68" t="n"/>
      <c r="M305" s="59">
        <f>IF(OR(L305="",K305=""),"",MAX(L305-K305,0))</f>
        <v/>
      </c>
      <c r="N305" s="59">
        <f>IF(M305="","",IF(N(J305)=0,1,J305))</f>
        <v/>
      </c>
    </row>
    <row r="306">
      <c r="A306" s="53" t="n">
        <v>286</v>
      </c>
      <c r="B306" s="67" t="n"/>
      <c r="C306" s="55" t="n"/>
      <c r="D306" s="68" t="n"/>
      <c r="E306" s="68" t="n"/>
      <c r="F306" s="59">
        <f>IF(OR(E306="",D306=""),"",MAX(E306-D306,0))</f>
        <v/>
      </c>
      <c r="G306" s="59">
        <f>IF(F306="","",IF(N(C306)=0,1,C306))</f>
        <v/>
      </c>
      <c r="H306" s="53" t="n">
        <v>286</v>
      </c>
      <c r="I306" s="67" t="n"/>
      <c r="J306" s="55" t="n"/>
      <c r="K306" s="68" t="n"/>
      <c r="L306" s="68" t="n"/>
      <c r="M306" s="59">
        <f>IF(OR(L306="",K306=""),"",MAX(L306-K306,0))</f>
        <v/>
      </c>
      <c r="N306" s="59">
        <f>IF(M306="","",IF(N(J306)=0,1,J306))</f>
        <v/>
      </c>
    </row>
    <row r="307">
      <c r="A307" s="53" t="n">
        <v>287</v>
      </c>
      <c r="B307" s="67" t="n"/>
      <c r="C307" s="55" t="n"/>
      <c r="D307" s="68" t="n"/>
      <c r="E307" s="68" t="n"/>
      <c r="F307" s="59">
        <f>IF(OR(E307="",D307=""),"",MAX(E307-D307,0))</f>
        <v/>
      </c>
      <c r="G307" s="59">
        <f>IF(F307="","",IF(N(C307)=0,1,C307))</f>
        <v/>
      </c>
      <c r="H307" s="53" t="n">
        <v>287</v>
      </c>
      <c r="I307" s="67" t="n"/>
      <c r="J307" s="55" t="n"/>
      <c r="K307" s="68" t="n"/>
      <c r="L307" s="68" t="n"/>
      <c r="M307" s="59">
        <f>IF(OR(L307="",K307=""),"",MAX(L307-K307,0))</f>
        <v/>
      </c>
      <c r="N307" s="59">
        <f>IF(M307="","",IF(N(J307)=0,1,J307))</f>
        <v/>
      </c>
    </row>
    <row r="308">
      <c r="A308" s="53" t="n">
        <v>288</v>
      </c>
      <c r="B308" s="67" t="n"/>
      <c r="C308" s="55" t="n"/>
      <c r="D308" s="68" t="n"/>
      <c r="E308" s="68" t="n"/>
      <c r="F308" s="59">
        <f>IF(OR(E308="",D308=""),"",MAX(E308-D308,0))</f>
        <v/>
      </c>
      <c r="G308" s="59">
        <f>IF(F308="","",IF(N(C308)=0,1,C308))</f>
        <v/>
      </c>
      <c r="H308" s="53" t="n">
        <v>288</v>
      </c>
      <c r="I308" s="67" t="n"/>
      <c r="J308" s="55" t="n"/>
      <c r="K308" s="68" t="n"/>
      <c r="L308" s="68" t="n"/>
      <c r="M308" s="59">
        <f>IF(OR(L308="",K308=""),"",MAX(L308-K308,0))</f>
        <v/>
      </c>
      <c r="N308" s="59">
        <f>IF(M308="","",IF(N(J308)=0,1,J308))</f>
        <v/>
      </c>
    </row>
    <row r="309">
      <c r="A309" s="53" t="n">
        <v>289</v>
      </c>
      <c r="B309" s="67" t="n"/>
      <c r="C309" s="55" t="n"/>
      <c r="D309" s="68" t="n"/>
      <c r="E309" s="68" t="n"/>
      <c r="F309" s="59">
        <f>IF(OR(E309="",D309=""),"",MAX(E309-D309,0))</f>
        <v/>
      </c>
      <c r="G309" s="59">
        <f>IF(F309="","",IF(N(C309)=0,1,C309))</f>
        <v/>
      </c>
      <c r="H309" s="53" t="n">
        <v>289</v>
      </c>
      <c r="I309" s="67" t="n"/>
      <c r="J309" s="55" t="n"/>
      <c r="K309" s="68" t="n"/>
      <c r="L309" s="68" t="n"/>
      <c r="M309" s="59">
        <f>IF(OR(L309="",K309=""),"",MAX(L309-K309,0))</f>
        <v/>
      </c>
      <c r="N309" s="59">
        <f>IF(M309="","",IF(N(J309)=0,1,J309))</f>
        <v/>
      </c>
    </row>
    <row r="310">
      <c r="A310" s="53" t="n">
        <v>290</v>
      </c>
      <c r="B310" s="67" t="n"/>
      <c r="C310" s="55" t="n"/>
      <c r="D310" s="68" t="n"/>
      <c r="E310" s="68" t="n"/>
      <c r="F310" s="59">
        <f>IF(OR(E310="",D310=""),"",MAX(E310-D310,0))</f>
        <v/>
      </c>
      <c r="G310" s="59">
        <f>IF(F310="","",IF(N(C310)=0,1,C310))</f>
        <v/>
      </c>
      <c r="H310" s="53" t="n">
        <v>290</v>
      </c>
      <c r="I310" s="67" t="n"/>
      <c r="J310" s="55" t="n"/>
      <c r="K310" s="68" t="n"/>
      <c r="L310" s="68" t="n"/>
      <c r="M310" s="59">
        <f>IF(OR(L310="",K310=""),"",MAX(L310-K310,0))</f>
        <v/>
      </c>
      <c r="N310" s="59">
        <f>IF(M310="","",IF(N(J310)=0,1,J310))</f>
        <v/>
      </c>
    </row>
    <row r="311">
      <c r="A311" s="53" t="n">
        <v>291</v>
      </c>
      <c r="B311" s="67" t="n"/>
      <c r="C311" s="55" t="n"/>
      <c r="D311" s="68" t="n"/>
      <c r="E311" s="68" t="n"/>
      <c r="F311" s="59">
        <f>IF(OR(E311="",D311=""),"",MAX(E311-D311,0))</f>
        <v/>
      </c>
      <c r="G311" s="59">
        <f>IF(F311="","",IF(N(C311)=0,1,C311))</f>
        <v/>
      </c>
      <c r="H311" s="53" t="n">
        <v>291</v>
      </c>
      <c r="I311" s="67" t="n"/>
      <c r="J311" s="55" t="n"/>
      <c r="K311" s="68" t="n"/>
      <c r="L311" s="68" t="n"/>
      <c r="M311" s="59">
        <f>IF(OR(L311="",K311=""),"",MAX(L311-K311,0))</f>
        <v/>
      </c>
      <c r="N311" s="59">
        <f>IF(M311="","",IF(N(J311)=0,1,J311))</f>
        <v/>
      </c>
    </row>
    <row r="312">
      <c r="A312" s="53" t="n">
        <v>292</v>
      </c>
      <c r="B312" s="67" t="n"/>
      <c r="C312" s="55" t="n"/>
      <c r="D312" s="68" t="n"/>
      <c r="E312" s="68" t="n"/>
      <c r="F312" s="59">
        <f>IF(OR(E312="",D312=""),"",MAX(E312-D312,0))</f>
        <v/>
      </c>
      <c r="G312" s="59">
        <f>IF(F312="","",IF(N(C312)=0,1,C312))</f>
        <v/>
      </c>
      <c r="H312" s="53" t="n">
        <v>292</v>
      </c>
      <c r="I312" s="67" t="n"/>
      <c r="J312" s="55" t="n"/>
      <c r="K312" s="68" t="n"/>
      <c r="L312" s="68" t="n"/>
      <c r="M312" s="59">
        <f>IF(OR(L312="",K312=""),"",MAX(L312-K312,0))</f>
        <v/>
      </c>
      <c r="N312" s="59">
        <f>IF(M312="","",IF(N(J312)=0,1,J312))</f>
        <v/>
      </c>
    </row>
    <row r="313">
      <c r="A313" s="53" t="n">
        <v>293</v>
      </c>
      <c r="B313" s="67" t="n"/>
      <c r="C313" s="55" t="n"/>
      <c r="D313" s="68" t="n"/>
      <c r="E313" s="68" t="n"/>
      <c r="F313" s="59">
        <f>IF(OR(E313="",D313=""),"",MAX(E313-D313,0))</f>
        <v/>
      </c>
      <c r="G313" s="59">
        <f>IF(F313="","",IF(N(C313)=0,1,C313))</f>
        <v/>
      </c>
      <c r="H313" s="53" t="n">
        <v>293</v>
      </c>
      <c r="I313" s="67" t="n"/>
      <c r="J313" s="55" t="n"/>
      <c r="K313" s="68" t="n"/>
      <c r="L313" s="68" t="n"/>
      <c r="M313" s="59">
        <f>IF(OR(L313="",K313=""),"",MAX(L313-K313,0))</f>
        <v/>
      </c>
      <c r="N313" s="59">
        <f>IF(M313="","",IF(N(J313)=0,1,J313))</f>
        <v/>
      </c>
    </row>
    <row r="314">
      <c r="A314" s="53" t="n">
        <v>294</v>
      </c>
      <c r="B314" s="67" t="n"/>
      <c r="C314" s="55" t="n"/>
      <c r="D314" s="68" t="n"/>
      <c r="E314" s="68" t="n"/>
      <c r="F314" s="59">
        <f>IF(OR(E314="",D314=""),"",MAX(E314-D314,0))</f>
        <v/>
      </c>
      <c r="G314" s="59">
        <f>IF(F314="","",IF(N(C314)=0,1,C314))</f>
        <v/>
      </c>
      <c r="H314" s="53" t="n">
        <v>294</v>
      </c>
      <c r="I314" s="67" t="n"/>
      <c r="J314" s="55" t="n"/>
      <c r="K314" s="68" t="n"/>
      <c r="L314" s="68" t="n"/>
      <c r="M314" s="59">
        <f>IF(OR(L314="",K314=""),"",MAX(L314-K314,0))</f>
        <v/>
      </c>
      <c r="N314" s="59">
        <f>IF(M314="","",IF(N(J314)=0,1,J314))</f>
        <v/>
      </c>
    </row>
    <row r="315">
      <c r="A315" s="53" t="n">
        <v>295</v>
      </c>
      <c r="B315" s="67" t="n"/>
      <c r="C315" s="55" t="n"/>
      <c r="D315" s="68" t="n"/>
      <c r="E315" s="68" t="n"/>
      <c r="F315" s="59">
        <f>IF(OR(E315="",D315=""),"",MAX(E315-D315,0))</f>
        <v/>
      </c>
      <c r="G315" s="59">
        <f>IF(F315="","",IF(N(C315)=0,1,C315))</f>
        <v/>
      </c>
      <c r="H315" s="53" t="n">
        <v>295</v>
      </c>
      <c r="I315" s="67" t="n"/>
      <c r="J315" s="55" t="n"/>
      <c r="K315" s="68" t="n"/>
      <c r="L315" s="68" t="n"/>
      <c r="M315" s="59">
        <f>IF(OR(L315="",K315=""),"",MAX(L315-K315,0))</f>
        <v/>
      </c>
      <c r="N315" s="59">
        <f>IF(M315="","",IF(N(J315)=0,1,J315))</f>
        <v/>
      </c>
    </row>
    <row r="316">
      <c r="A316" s="53" t="n">
        <v>296</v>
      </c>
      <c r="B316" s="67" t="n"/>
      <c r="C316" s="55" t="n"/>
      <c r="D316" s="68" t="n"/>
      <c r="E316" s="68" t="n"/>
      <c r="F316" s="59">
        <f>IF(OR(E316="",D316=""),"",MAX(E316-D316,0))</f>
        <v/>
      </c>
      <c r="G316" s="59">
        <f>IF(F316="","",IF(N(C316)=0,1,C316))</f>
        <v/>
      </c>
      <c r="H316" s="53" t="n">
        <v>296</v>
      </c>
      <c r="I316" s="67" t="n"/>
      <c r="J316" s="55" t="n"/>
      <c r="K316" s="68" t="n"/>
      <c r="L316" s="68" t="n"/>
      <c r="M316" s="59">
        <f>IF(OR(L316="",K316=""),"",MAX(L316-K316,0))</f>
        <v/>
      </c>
      <c r="N316" s="59">
        <f>IF(M316="","",IF(N(J316)=0,1,J316))</f>
        <v/>
      </c>
    </row>
    <row r="317">
      <c r="A317" s="53" t="n">
        <v>297</v>
      </c>
      <c r="B317" s="67" t="n"/>
      <c r="C317" s="55" t="n"/>
      <c r="D317" s="68" t="n"/>
      <c r="E317" s="68" t="n"/>
      <c r="F317" s="59">
        <f>IF(OR(E317="",D317=""),"",MAX(E317-D317,0))</f>
        <v/>
      </c>
      <c r="G317" s="59">
        <f>IF(F317="","",IF(N(C317)=0,1,C317))</f>
        <v/>
      </c>
      <c r="H317" s="53" t="n">
        <v>297</v>
      </c>
      <c r="I317" s="67" t="n"/>
      <c r="J317" s="55" t="n"/>
      <c r="K317" s="68" t="n"/>
      <c r="L317" s="68" t="n"/>
      <c r="M317" s="59">
        <f>IF(OR(L317="",K317=""),"",MAX(L317-K317,0))</f>
        <v/>
      </c>
      <c r="N317" s="59">
        <f>IF(M317="","",IF(N(J317)=0,1,J317))</f>
        <v/>
      </c>
    </row>
    <row r="318">
      <c r="A318" s="53" t="n">
        <v>298</v>
      </c>
      <c r="B318" s="67" t="n"/>
      <c r="C318" s="55" t="n"/>
      <c r="D318" s="68" t="n"/>
      <c r="E318" s="68" t="n"/>
      <c r="F318" s="59">
        <f>IF(OR(E318="",D318=""),"",MAX(E318-D318,0))</f>
        <v/>
      </c>
      <c r="G318" s="59">
        <f>IF(F318="","",IF(N(C318)=0,1,C318))</f>
        <v/>
      </c>
      <c r="H318" s="53" t="n">
        <v>298</v>
      </c>
      <c r="I318" s="67" t="n"/>
      <c r="J318" s="55" t="n"/>
      <c r="K318" s="68" t="n"/>
      <c r="L318" s="68" t="n"/>
      <c r="M318" s="59">
        <f>IF(OR(L318="",K318=""),"",MAX(L318-K318,0))</f>
        <v/>
      </c>
      <c r="N318" s="59">
        <f>IF(M318="","",IF(N(J318)=0,1,J318))</f>
        <v/>
      </c>
    </row>
    <row r="319">
      <c r="A319" s="53" t="n">
        <v>299</v>
      </c>
      <c r="B319" s="67" t="n"/>
      <c r="C319" s="55" t="n"/>
      <c r="D319" s="68" t="n"/>
      <c r="E319" s="68" t="n"/>
      <c r="F319" s="59">
        <f>IF(OR(E319="",D319=""),"",MAX(E319-D319,0))</f>
        <v/>
      </c>
      <c r="G319" s="59">
        <f>IF(F319="","",IF(N(C319)=0,1,C319))</f>
        <v/>
      </c>
      <c r="H319" s="53" t="n">
        <v>299</v>
      </c>
      <c r="I319" s="67" t="n"/>
      <c r="J319" s="55" t="n"/>
      <c r="K319" s="68" t="n"/>
      <c r="L319" s="68" t="n"/>
      <c r="M319" s="59">
        <f>IF(OR(L319="",K319=""),"",MAX(L319-K319,0))</f>
        <v/>
      </c>
      <c r="N319" s="59">
        <f>IF(M319="","",IF(N(J319)=0,1,J319))</f>
        <v/>
      </c>
    </row>
    <row r="320">
      <c r="A320" s="53" t="n">
        <v>300</v>
      </c>
      <c r="B320" s="67" t="n"/>
      <c r="C320" s="55" t="n"/>
      <c r="D320" s="68" t="n"/>
      <c r="E320" s="68" t="n"/>
      <c r="F320" s="59">
        <f>IF(OR(E320="",D320=""),"",MAX(E320-D320,0))</f>
        <v/>
      </c>
      <c r="G320" s="59">
        <f>IF(F320="","",IF(N(C320)=0,1,C320))</f>
        <v/>
      </c>
      <c r="H320" s="53" t="n">
        <v>300</v>
      </c>
      <c r="I320" s="67" t="n"/>
      <c r="J320" s="55" t="n"/>
      <c r="K320" s="68" t="n"/>
      <c r="L320" s="68" t="n"/>
      <c r="M320" s="59">
        <f>IF(OR(L320="",K320=""),"",MAX(L320-K320,0))</f>
        <v/>
      </c>
      <c r="N320" s="59">
        <f>IF(M320="","",IF(N(J320)=0,1,J320))</f>
        <v/>
      </c>
    </row>
    <row r="321">
      <c r="A321" s="60" t="n"/>
      <c r="B321" s="61" t="inlineStr">
        <is>
          <t>Total</t>
        </is>
      </c>
      <c r="C321" s="65">
        <f>SUM(C21:C320)</f>
        <v/>
      </c>
      <c r="D321" s="60" t="n"/>
      <c r="E321" s="60" t="n"/>
      <c r="F321" s="62">
        <f>IF(N(G321)=0,"",SUMPRODUCT(F21:F320,G21:G320)/G321)</f>
        <v/>
      </c>
      <c r="G321" s="65">
        <f>SUM(G21:G320)</f>
        <v/>
      </c>
      <c r="H321" s="60" t="n"/>
      <c r="I321" s="61" t="inlineStr">
        <is>
          <t>Total</t>
        </is>
      </c>
      <c r="J321" s="65">
        <f>SUM(J21:J320)</f>
        <v/>
      </c>
      <c r="K321" s="60" t="n"/>
      <c r="L321" s="60" t="n"/>
      <c r="M321" s="62">
        <f>IF(N(N321)=0,"",SUMPRODUCT(M21:M320,N21:N320)/N321)</f>
        <v/>
      </c>
      <c r="N321" s="65">
        <f>SUM(N21:N320)</f>
        <v/>
      </c>
    </row>
    <row r="322">
      <c r="B322" s="66" t="inlineStr">
        <is>
          <t>Insert rows above the Total row as necessary and copy the formulas of the 'Time to Hire' and 'Posts Filled' columns into the new rows. Blank 'No. of Posts' on a filled position counts as 1 post.</t>
        </is>
      </c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IK1mo3n2o9zLr8wGMYhctA==" formatRows="0" sort="1" spinCount="100000" hashValue="BxtlLJhy4LlRWdVEjwrO4taZuxvjBDAYtqNtPV4JxIOlFYuzAu35PaQ28q55hr5X/YUx3By7q0/tp1NhUSsxrA=="/>
  <mergeCells count="24">
    <mergeCell ref="Y2:AA2"/>
    <mergeCell ref="Y1:AA1"/>
    <mergeCell ref="A18:C18"/>
    <mergeCell ref="Q1:S1"/>
    <mergeCell ref="D18:E19"/>
    <mergeCell ref="O1:O2"/>
    <mergeCell ref="A2:C2"/>
    <mergeCell ref="D1:F2"/>
    <mergeCell ref="W1:W2"/>
    <mergeCell ref="M18:N19"/>
    <mergeCell ref="H19:J19"/>
    <mergeCell ref="I1:K1"/>
    <mergeCell ref="AB1:AD2"/>
    <mergeCell ref="AE1:AE2"/>
    <mergeCell ref="Q2:S2"/>
    <mergeCell ref="A19:C19"/>
    <mergeCell ref="H18:J18"/>
    <mergeCell ref="K18:L19"/>
    <mergeCell ref="G1:G2"/>
    <mergeCell ref="L1:N2"/>
    <mergeCell ref="I2:K2"/>
    <mergeCell ref="A1:C1"/>
    <mergeCell ref="T1:V2"/>
    <mergeCell ref="F18:G19"/>
  </mergeCells>
  <dataValidations count="5">
    <dataValidation sqref="D21:E32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C21:C320" showDropDown="0" showInputMessage="0" showErrorMessage="1" allowBlank="1" error="No. of Posts must be a whole number &gt;= 1." type="whole" operator="greaterThanOrEqual">
      <formula1>1</formula1>
    </dataValidation>
    <dataValidation sqref="K21:L32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J21:J320" showDropDown="0" showInputMessage="0" showErrorMessage="1" allowBlank="1" error="No. of Posts must be a whole number &gt;= 1." type="whole" operator="greaterThanOrEqual">
      <formula1>1</formula1>
    </dataValidation>
    <dataValidation sqref="D4:D15" showDropDown="0" showInputMessage="0" showErrorMessage="1" allowBlank="1" error="Working days must be between 0 and 31." type="whole" operator="between">
      <formula1>0</formula1>
      <formula2>31</formula2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62"/>
  <sheetViews>
    <sheetView showGridLines="0" zoomScale="80" workbookViewId="0">
      <selection activeCell="A1" sqref="A1"/>
    </sheetView>
  </sheetViews>
  <sheetFormatPr baseColWidth="8" defaultRowHeight="15"/>
  <cols>
    <col width="5.5" customWidth="1" min="1" max="1"/>
    <col width="16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5.5" customWidth="1" min="8" max="8"/>
    <col width="16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3" customWidth="1" min="15" max="15"/>
    <col width="3" customWidth="1" min="16" max="16"/>
    <col width="5.5" customWidth="1" min="17" max="17"/>
    <col width="16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3" customWidth="1" min="24" max="24"/>
    <col width="5.5" customWidth="1" min="25" max="25"/>
    <col width="1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4.75" customHeight="1">
      <c r="A1" s="40" t="inlineStr">
        <is>
          <t>GCG Food Guatemala</t>
        </is>
      </c>
      <c r="B1" s="41" t="n"/>
      <c r="C1" s="42" t="n"/>
      <c r="D1" s="40" t="inlineStr">
        <is>
          <t>ABSENCE RATE YTD</t>
        </is>
      </c>
      <c r="E1" s="43" t="n"/>
      <c r="F1" s="44" t="n"/>
      <c r="G1" s="45">
        <f>G16</f>
        <v/>
      </c>
      <c r="I1" s="40">
        <f>A1</f>
        <v/>
      </c>
      <c r="J1" s="41" t="n"/>
      <c r="K1" s="42" t="n"/>
      <c r="L1" s="40" t="inlineStr">
        <is>
          <t>ABSENCE RATE YTD</t>
        </is>
      </c>
      <c r="M1" s="43" t="n"/>
      <c r="N1" s="44" t="n"/>
      <c r="O1" s="45">
        <f>O16</f>
        <v/>
      </c>
      <c r="Q1" s="40">
        <f>A1</f>
        <v/>
      </c>
      <c r="R1" s="41" t="n"/>
      <c r="S1" s="42" t="n"/>
      <c r="T1" s="40" t="inlineStr">
        <is>
          <t>ABSENCE RATE YTD</t>
        </is>
      </c>
      <c r="U1" s="43" t="n"/>
      <c r="V1" s="44" t="n"/>
      <c r="W1" s="45">
        <f>W16</f>
        <v/>
      </c>
      <c r="Y1" s="40">
        <f>A1</f>
        <v/>
      </c>
      <c r="Z1" s="41" t="n"/>
      <c r="AA1" s="42" t="n"/>
      <c r="AB1" s="40" t="inlineStr">
        <is>
          <t>TIME TO HIRE YTD (Days)</t>
        </is>
      </c>
      <c r="AC1" s="43" t="n"/>
      <c r="AD1" s="44" t="n"/>
      <c r="AE1" s="46">
        <f>AE16</f>
        <v/>
      </c>
    </row>
    <row r="2" ht="18.75" customHeight="1">
      <c r="A2" s="47" t="inlineStr">
        <is>
          <t>NON-CERTIFIED</t>
        </is>
      </c>
      <c r="B2" s="41" t="n"/>
      <c r="C2" s="42" t="n"/>
      <c r="D2" s="48" t="n"/>
      <c r="E2" s="49" t="n"/>
      <c r="F2" s="50" t="n"/>
      <c r="G2" s="51" t="n"/>
      <c r="I2" s="47" t="inlineStr">
        <is>
          <t>CERTIFIED</t>
        </is>
      </c>
      <c r="J2" s="41" t="n"/>
      <c r="K2" s="42" t="n"/>
      <c r="L2" s="48" t="n"/>
      <c r="M2" s="49" t="n"/>
      <c r="N2" s="50" t="n"/>
      <c r="O2" s="51" t="n"/>
      <c r="Q2" s="47" t="inlineStr">
        <is>
          <t>TOTAL ABSENCES</t>
        </is>
      </c>
      <c r="R2" s="41" t="n"/>
      <c r="S2" s="42" t="n"/>
      <c r="T2" s="48" t="n"/>
      <c r="U2" s="49" t="n"/>
      <c r="V2" s="50" t="n"/>
      <c r="W2" s="51" t="n"/>
      <c r="Y2" s="47" t="inlineStr">
        <is>
          <t>TIME TO HIRE BY MONTH</t>
        </is>
      </c>
      <c r="Z2" s="41" t="n"/>
      <c r="AA2" s="42" t="n"/>
      <c r="AB2" s="48" t="n"/>
      <c r="AC2" s="49" t="n"/>
      <c r="AD2" s="50" t="n"/>
      <c r="AE2" s="51" t="n"/>
    </row>
    <row r="3" ht="55" customHeight="1">
      <c r="A3" s="52" t="inlineStr">
        <is>
          <t>No.</t>
        </is>
      </c>
      <c r="B3" s="52" t="inlineStr">
        <is>
          <t>Month</t>
        </is>
      </c>
      <c r="C3" s="52" t="inlineStr">
        <is>
          <t>Total Employees</t>
        </is>
      </c>
      <c r="D3" s="52" t="inlineStr">
        <is>
          <t>Working Days</t>
        </is>
      </c>
      <c r="E3" s="52" t="inlineStr">
        <is>
          <t>Total Days Lost</t>
        </is>
      </c>
      <c r="F3" s="52" t="inlineStr">
        <is>
          <t>Total Working Days</t>
        </is>
      </c>
      <c r="G3" s="52" t="inlineStr">
        <is>
          <t>Monthly Absence Rate</t>
        </is>
      </c>
      <c r="I3" s="52" t="inlineStr">
        <is>
          <t>No.</t>
        </is>
      </c>
      <c r="J3" s="52" t="inlineStr">
        <is>
          <t>Month</t>
        </is>
      </c>
      <c r="K3" s="52" t="inlineStr">
        <is>
          <t>Total Employees</t>
        </is>
      </c>
      <c r="L3" s="52" t="inlineStr">
        <is>
          <t>Working Days</t>
        </is>
      </c>
      <c r="M3" s="52" t="inlineStr">
        <is>
          <t>Total Days Lost</t>
        </is>
      </c>
      <c r="N3" s="52" t="inlineStr">
        <is>
          <t>Total Working Days</t>
        </is>
      </c>
      <c r="O3" s="52" t="inlineStr">
        <is>
          <t>Monthly Absence Rate</t>
        </is>
      </c>
      <c r="Q3" s="52" t="inlineStr">
        <is>
          <t>No.</t>
        </is>
      </c>
      <c r="R3" s="52" t="inlineStr">
        <is>
          <t>Month</t>
        </is>
      </c>
      <c r="S3" s="52" t="inlineStr">
        <is>
          <t>Total Employees</t>
        </is>
      </c>
      <c r="T3" s="52" t="inlineStr">
        <is>
          <t>Working Days</t>
        </is>
      </c>
      <c r="U3" s="52" t="inlineStr">
        <is>
          <t>Total Days Lost</t>
        </is>
      </c>
      <c r="V3" s="52" t="inlineStr">
        <is>
          <t>Total Working Days</t>
        </is>
      </c>
      <c r="W3" s="52" t="inlineStr">
        <is>
          <t>Monthly Absence Rate</t>
        </is>
      </c>
      <c r="Y3" s="52" t="inlineStr">
        <is>
          <t>No.</t>
        </is>
      </c>
      <c r="Z3" s="52" t="inlineStr">
        <is>
          <t>Month</t>
        </is>
      </c>
      <c r="AA3" s="52" t="inlineStr">
        <is>
          <t>Permanent Posts Filled YTD</t>
        </is>
      </c>
      <c r="AB3" s="52" t="inlineStr">
        <is>
          <t>Permanent Time to Hire YTD (Days)</t>
        </is>
      </c>
      <c r="AC3" s="52" t="inlineStr">
        <is>
          <t>Temporary Posts Filled YTD</t>
        </is>
      </c>
      <c r="AD3" s="52" t="inlineStr">
        <is>
          <t>Temporary Time to Hire YTD (Days)</t>
        </is>
      </c>
      <c r="AE3" s="52" t="inlineStr">
        <is>
          <t>Total Time to Hire YTD (Days)</t>
        </is>
      </c>
    </row>
    <row r="4" ht="18.75" customHeight="1">
      <c r="A4" s="53" t="n">
        <v>1</v>
      </c>
      <c r="B4" s="54" t="n">
        <v>46296</v>
      </c>
      <c r="C4" s="53">
        <f>IF(OCT!$D$5="","",OCT!$D$5)</f>
        <v/>
      </c>
      <c r="D4" s="55" t="n"/>
      <c r="E4" s="56">
        <f>IF(OCT!$D$43="","",OCT!$D$43)</f>
        <v/>
      </c>
      <c r="F4" s="57">
        <f>IF(OR(C4="",D4=""),"",C4*D4)</f>
        <v/>
      </c>
      <c r="G4" s="58">
        <f>IF(OR(E4="",N(F4)=0),"",E4/F4)</f>
        <v/>
      </c>
      <c r="I4" s="53" t="n">
        <v>1</v>
      </c>
      <c r="J4" s="54" t="n">
        <v>46296</v>
      </c>
      <c r="K4" s="53">
        <f>C4</f>
        <v/>
      </c>
      <c r="L4" s="59">
        <f>IF(D4="","",D4)</f>
        <v/>
      </c>
      <c r="M4" s="56">
        <f>IF(OCT!$D$44="","",OCT!$D$44)</f>
        <v/>
      </c>
      <c r="N4" s="57">
        <f>IF(OR(K4="",L4=""),"",K4*L4)</f>
        <v/>
      </c>
      <c r="O4" s="58">
        <f>IF(OR(M4="",N(N4)=0),"",M4/N4)</f>
        <v/>
      </c>
      <c r="Q4" s="53" t="n">
        <v>1</v>
      </c>
      <c r="R4" s="54" t="n">
        <v>46296</v>
      </c>
      <c r="S4" s="53">
        <f>C4</f>
        <v/>
      </c>
      <c r="T4" s="59">
        <f>IF(D4="","",D4)</f>
        <v/>
      </c>
      <c r="U4" s="56">
        <f>IF(COUNT(E4,M4)=0,"",SUM(E4,M4))</f>
        <v/>
      </c>
      <c r="V4" s="57">
        <f>IF(OR(S4="",T4=""),"",S4*T4)</f>
        <v/>
      </c>
      <c r="W4" s="58">
        <f>IF(OR(U4="",N(V4)=0),"",U4/V4)</f>
        <v/>
      </c>
      <c r="Y4" s="53" t="n">
        <v>1</v>
      </c>
      <c r="Z4" s="54" t="n">
        <v>46296</v>
      </c>
      <c r="AA4" s="59">
        <f>IF($C4="","",SUMPRODUCT(($E$21:$E$60&gt;=$Z$4)*($E$21:$E$60&lt;=EOMONTH($Z4,0)),$G$21:$G$60))</f>
        <v/>
      </c>
      <c r="AB4" s="56">
        <f>IF(N(AA4)=0,"",SUMPRODUCT(($E$21:$E$60&gt;=$Z$4)*($E$21:$E$60&lt;=EOMONTH($Z4,0)),$F$21:$F$60,$G$21:$G$60)/AA4)</f>
        <v/>
      </c>
      <c r="AC4" s="59">
        <f>IF($C4="","",SUMPRODUCT(($L$21:$L$60&gt;=$Z$4)*($L$21:$L$60&lt;=EOMONTH($Z4,0)),$N$21:$N$60))</f>
        <v/>
      </c>
      <c r="AD4" s="56">
        <f>IF(N(AC4)=0,"",SUMPRODUCT(($L$21:$L$60&gt;=$Z$4)*($L$21:$L$60&lt;=EOMONTH($Z4,0)),$M$21:$M$60,$N$21:$N$60)/AC4)</f>
        <v/>
      </c>
      <c r="AE4" s="56">
        <f>IF(N(AA4)+N(AC4)=0,"",(N(AB4)*N(AA4)+N(AD4)*N(AC4))/(N(AA4)+N(AC4)))</f>
        <v/>
      </c>
    </row>
    <row r="5" ht="18.75" customHeight="1">
      <c r="A5" s="53" t="n">
        <v>2</v>
      </c>
      <c r="B5" s="54" t="n">
        <v>46327</v>
      </c>
      <c r="C5" s="53">
        <f>IF(NOV!$D$5="","",NOV!$D$5)</f>
        <v/>
      </c>
      <c r="D5" s="55" t="n"/>
      <c r="E5" s="56">
        <f>IF(NOV!$D$43="","",NOV!$D$43)</f>
        <v/>
      </c>
      <c r="F5" s="57">
        <f>IF(OR(C5="",D5=""),"",C5*D5)</f>
        <v/>
      </c>
      <c r="G5" s="58">
        <f>IF(OR(E5="",N(F5)=0),"",E5/F5)</f>
        <v/>
      </c>
      <c r="I5" s="53" t="n">
        <v>2</v>
      </c>
      <c r="J5" s="54" t="n">
        <v>46327</v>
      </c>
      <c r="K5" s="53">
        <f>C5</f>
        <v/>
      </c>
      <c r="L5" s="59">
        <f>IF(D5="","",D5)</f>
        <v/>
      </c>
      <c r="M5" s="56">
        <f>IF(NOV!$D$44="","",NOV!$D$44)</f>
        <v/>
      </c>
      <c r="N5" s="57">
        <f>IF(OR(K5="",L5=""),"",K5*L5)</f>
        <v/>
      </c>
      <c r="O5" s="58">
        <f>IF(OR(M5="",N(N5)=0),"",M5/N5)</f>
        <v/>
      </c>
      <c r="Q5" s="53" t="n">
        <v>2</v>
      </c>
      <c r="R5" s="54" t="n">
        <v>46327</v>
      </c>
      <c r="S5" s="53">
        <f>C5</f>
        <v/>
      </c>
      <c r="T5" s="59">
        <f>IF(D5="","",D5)</f>
        <v/>
      </c>
      <c r="U5" s="56">
        <f>IF(COUNT(E5,M5)=0,"",SUM(E5,M5))</f>
        <v/>
      </c>
      <c r="V5" s="57">
        <f>IF(OR(S5="",T5=""),"",S5*T5)</f>
        <v/>
      </c>
      <c r="W5" s="58">
        <f>IF(OR(U5="",N(V5)=0),"",U5/V5)</f>
        <v/>
      </c>
      <c r="Y5" s="53" t="n">
        <v>2</v>
      </c>
      <c r="Z5" s="54" t="n">
        <v>46327</v>
      </c>
      <c r="AA5" s="59">
        <f>IF($C5="","",SUMPRODUCT(($E$21:$E$60&gt;=$Z$4)*($E$21:$E$60&lt;=EOMONTH($Z5,0)),$G$21:$G$60))</f>
        <v/>
      </c>
      <c r="AB5" s="56">
        <f>IF(N(AA5)=0,"",SUMPRODUCT(($E$21:$E$60&gt;=$Z$4)*($E$21:$E$60&lt;=EOMONTH($Z5,0)),$F$21:$F$60,$G$21:$G$60)/AA5)</f>
        <v/>
      </c>
      <c r="AC5" s="59">
        <f>IF($C5="","",SUMPRODUCT(($L$21:$L$60&gt;=$Z$4)*($L$21:$L$60&lt;=EOMONTH($Z5,0)),$N$21:$N$60))</f>
        <v/>
      </c>
      <c r="AD5" s="56">
        <f>IF(N(AC5)=0,"",SUMPRODUCT(($L$21:$L$60&gt;=$Z$4)*($L$21:$L$60&lt;=EOMONTH($Z5,0)),$M$21:$M$60,$N$21:$N$60)/AC5)</f>
        <v/>
      </c>
      <c r="AE5" s="56">
        <f>IF(N(AA5)+N(AC5)=0,"",(N(AB5)*N(AA5)+N(AD5)*N(AC5))/(N(AA5)+N(AC5)))</f>
        <v/>
      </c>
    </row>
    <row r="6" ht="18.75" customHeight="1">
      <c r="A6" s="53" t="n">
        <v>3</v>
      </c>
      <c r="B6" s="54" t="n">
        <v>46357</v>
      </c>
      <c r="C6" s="53">
        <f>IF(DEC!$D$5="","",DEC!$D$5)</f>
        <v/>
      </c>
      <c r="D6" s="55" t="n"/>
      <c r="E6" s="56">
        <f>IF(DEC!$D$43="","",DEC!$D$43)</f>
        <v/>
      </c>
      <c r="F6" s="57">
        <f>IF(OR(C6="",D6=""),"",C6*D6)</f>
        <v/>
      </c>
      <c r="G6" s="58">
        <f>IF(OR(E6="",N(F6)=0),"",E6/F6)</f>
        <v/>
      </c>
      <c r="I6" s="53" t="n">
        <v>3</v>
      </c>
      <c r="J6" s="54" t="n">
        <v>46357</v>
      </c>
      <c r="K6" s="53">
        <f>C6</f>
        <v/>
      </c>
      <c r="L6" s="59">
        <f>IF(D6="","",D6)</f>
        <v/>
      </c>
      <c r="M6" s="56">
        <f>IF(DEC!$D$44="","",DEC!$D$44)</f>
        <v/>
      </c>
      <c r="N6" s="57">
        <f>IF(OR(K6="",L6=""),"",K6*L6)</f>
        <v/>
      </c>
      <c r="O6" s="58">
        <f>IF(OR(M6="",N(N6)=0),"",M6/N6)</f>
        <v/>
      </c>
      <c r="Q6" s="53" t="n">
        <v>3</v>
      </c>
      <c r="R6" s="54" t="n">
        <v>46357</v>
      </c>
      <c r="S6" s="53">
        <f>C6</f>
        <v/>
      </c>
      <c r="T6" s="59">
        <f>IF(D6="","",D6)</f>
        <v/>
      </c>
      <c r="U6" s="56">
        <f>IF(COUNT(E6,M6)=0,"",SUM(E6,M6))</f>
        <v/>
      </c>
      <c r="V6" s="57">
        <f>IF(OR(S6="",T6=""),"",S6*T6)</f>
        <v/>
      </c>
      <c r="W6" s="58">
        <f>IF(OR(U6="",N(V6)=0),"",U6/V6)</f>
        <v/>
      </c>
      <c r="Y6" s="53" t="n">
        <v>3</v>
      </c>
      <c r="Z6" s="54" t="n">
        <v>46357</v>
      </c>
      <c r="AA6" s="59">
        <f>IF($C6="","",SUMPRODUCT(($E$21:$E$60&gt;=$Z$4)*($E$21:$E$60&lt;=EOMONTH($Z6,0)),$G$21:$G$60))</f>
        <v/>
      </c>
      <c r="AB6" s="56">
        <f>IF(N(AA6)=0,"",SUMPRODUCT(($E$21:$E$60&gt;=$Z$4)*($E$21:$E$60&lt;=EOMONTH($Z6,0)),$F$21:$F$60,$G$21:$G$60)/AA6)</f>
        <v/>
      </c>
      <c r="AC6" s="59">
        <f>IF($C6="","",SUMPRODUCT(($L$21:$L$60&gt;=$Z$4)*($L$21:$L$60&lt;=EOMONTH($Z6,0)),$N$21:$N$60))</f>
        <v/>
      </c>
      <c r="AD6" s="56">
        <f>IF(N(AC6)=0,"",SUMPRODUCT(($L$21:$L$60&gt;=$Z$4)*($L$21:$L$60&lt;=EOMONTH($Z6,0)),$M$21:$M$60,$N$21:$N$60)/AC6)</f>
        <v/>
      </c>
      <c r="AE6" s="56">
        <f>IF(N(AA6)+N(AC6)=0,"",(N(AB6)*N(AA6)+N(AD6)*N(AC6))/(N(AA6)+N(AC6)))</f>
        <v/>
      </c>
    </row>
    <row r="7" ht="18.75" customHeight="1">
      <c r="A7" s="53" t="n">
        <v>4</v>
      </c>
      <c r="B7" s="54" t="n">
        <v>46388</v>
      </c>
      <c r="C7" s="53">
        <f>IF(JAN!$D$5="","",JAN!$D$5)</f>
        <v/>
      </c>
      <c r="D7" s="55" t="n"/>
      <c r="E7" s="56">
        <f>IF(JAN!$D$43="","",JAN!$D$43)</f>
        <v/>
      </c>
      <c r="F7" s="57">
        <f>IF(OR(C7="",D7=""),"",C7*D7)</f>
        <v/>
      </c>
      <c r="G7" s="58">
        <f>IF(OR(E7="",N(F7)=0),"",E7/F7)</f>
        <v/>
      </c>
      <c r="I7" s="53" t="n">
        <v>4</v>
      </c>
      <c r="J7" s="54" t="n">
        <v>46388</v>
      </c>
      <c r="K7" s="53">
        <f>C7</f>
        <v/>
      </c>
      <c r="L7" s="59">
        <f>IF(D7="","",D7)</f>
        <v/>
      </c>
      <c r="M7" s="56">
        <f>IF(JAN!$D$44="","",JAN!$D$44)</f>
        <v/>
      </c>
      <c r="N7" s="57">
        <f>IF(OR(K7="",L7=""),"",K7*L7)</f>
        <v/>
      </c>
      <c r="O7" s="58">
        <f>IF(OR(M7="",N(N7)=0),"",M7/N7)</f>
        <v/>
      </c>
      <c r="Q7" s="53" t="n">
        <v>4</v>
      </c>
      <c r="R7" s="54" t="n">
        <v>46388</v>
      </c>
      <c r="S7" s="53">
        <f>C7</f>
        <v/>
      </c>
      <c r="T7" s="59">
        <f>IF(D7="","",D7)</f>
        <v/>
      </c>
      <c r="U7" s="56">
        <f>IF(COUNT(E7,M7)=0,"",SUM(E7,M7))</f>
        <v/>
      </c>
      <c r="V7" s="57">
        <f>IF(OR(S7="",T7=""),"",S7*T7)</f>
        <v/>
      </c>
      <c r="W7" s="58">
        <f>IF(OR(U7="",N(V7)=0),"",U7/V7)</f>
        <v/>
      </c>
      <c r="Y7" s="53" t="n">
        <v>4</v>
      </c>
      <c r="Z7" s="54" t="n">
        <v>46388</v>
      </c>
      <c r="AA7" s="59">
        <f>IF($C7="","",SUMPRODUCT(($E$21:$E$60&gt;=$Z$4)*($E$21:$E$60&lt;=EOMONTH($Z7,0)),$G$21:$G$60))</f>
        <v/>
      </c>
      <c r="AB7" s="56">
        <f>IF(N(AA7)=0,"",SUMPRODUCT(($E$21:$E$60&gt;=$Z$4)*($E$21:$E$60&lt;=EOMONTH($Z7,0)),$F$21:$F$60,$G$21:$G$60)/AA7)</f>
        <v/>
      </c>
      <c r="AC7" s="59">
        <f>IF($C7="","",SUMPRODUCT(($L$21:$L$60&gt;=$Z$4)*($L$21:$L$60&lt;=EOMONTH($Z7,0)),$N$21:$N$60))</f>
        <v/>
      </c>
      <c r="AD7" s="56">
        <f>IF(N(AC7)=0,"",SUMPRODUCT(($L$21:$L$60&gt;=$Z$4)*($L$21:$L$60&lt;=EOMONTH($Z7,0)),$M$21:$M$60,$N$21:$N$60)/AC7)</f>
        <v/>
      </c>
      <c r="AE7" s="56">
        <f>IF(N(AA7)+N(AC7)=0,"",(N(AB7)*N(AA7)+N(AD7)*N(AC7))/(N(AA7)+N(AC7)))</f>
        <v/>
      </c>
    </row>
    <row r="8" ht="18.75" customHeight="1">
      <c r="A8" s="53" t="n">
        <v>5</v>
      </c>
      <c r="B8" s="54" t="n">
        <v>46419</v>
      </c>
      <c r="C8" s="53">
        <f>IF(FEB!$D$5="","",FEB!$D$5)</f>
        <v/>
      </c>
      <c r="D8" s="55" t="n"/>
      <c r="E8" s="56">
        <f>IF(FEB!$D$43="","",FEB!$D$43)</f>
        <v/>
      </c>
      <c r="F8" s="57">
        <f>IF(OR(C8="",D8=""),"",C8*D8)</f>
        <v/>
      </c>
      <c r="G8" s="58">
        <f>IF(OR(E8="",N(F8)=0),"",E8/F8)</f>
        <v/>
      </c>
      <c r="I8" s="53" t="n">
        <v>5</v>
      </c>
      <c r="J8" s="54" t="n">
        <v>46419</v>
      </c>
      <c r="K8" s="53">
        <f>C8</f>
        <v/>
      </c>
      <c r="L8" s="59">
        <f>IF(D8="","",D8)</f>
        <v/>
      </c>
      <c r="M8" s="56">
        <f>IF(FEB!$D$44="","",FEB!$D$44)</f>
        <v/>
      </c>
      <c r="N8" s="57">
        <f>IF(OR(K8="",L8=""),"",K8*L8)</f>
        <v/>
      </c>
      <c r="O8" s="58">
        <f>IF(OR(M8="",N(N8)=0),"",M8/N8)</f>
        <v/>
      </c>
      <c r="Q8" s="53" t="n">
        <v>5</v>
      </c>
      <c r="R8" s="54" t="n">
        <v>46419</v>
      </c>
      <c r="S8" s="53">
        <f>C8</f>
        <v/>
      </c>
      <c r="T8" s="59">
        <f>IF(D8="","",D8)</f>
        <v/>
      </c>
      <c r="U8" s="56">
        <f>IF(COUNT(E8,M8)=0,"",SUM(E8,M8))</f>
        <v/>
      </c>
      <c r="V8" s="57">
        <f>IF(OR(S8="",T8=""),"",S8*T8)</f>
        <v/>
      </c>
      <c r="W8" s="58">
        <f>IF(OR(U8="",N(V8)=0),"",U8/V8)</f>
        <v/>
      </c>
      <c r="Y8" s="53" t="n">
        <v>5</v>
      </c>
      <c r="Z8" s="54" t="n">
        <v>46419</v>
      </c>
      <c r="AA8" s="59">
        <f>IF($C8="","",SUMPRODUCT(($E$21:$E$60&gt;=$Z$4)*($E$21:$E$60&lt;=EOMONTH($Z8,0)),$G$21:$G$60))</f>
        <v/>
      </c>
      <c r="AB8" s="56">
        <f>IF(N(AA8)=0,"",SUMPRODUCT(($E$21:$E$60&gt;=$Z$4)*($E$21:$E$60&lt;=EOMONTH($Z8,0)),$F$21:$F$60,$G$21:$G$60)/AA8)</f>
        <v/>
      </c>
      <c r="AC8" s="59">
        <f>IF($C8="","",SUMPRODUCT(($L$21:$L$60&gt;=$Z$4)*($L$21:$L$60&lt;=EOMONTH($Z8,0)),$N$21:$N$60))</f>
        <v/>
      </c>
      <c r="AD8" s="56">
        <f>IF(N(AC8)=0,"",SUMPRODUCT(($L$21:$L$60&gt;=$Z$4)*($L$21:$L$60&lt;=EOMONTH($Z8,0)),$M$21:$M$60,$N$21:$N$60)/AC8)</f>
        <v/>
      </c>
      <c r="AE8" s="56">
        <f>IF(N(AA8)+N(AC8)=0,"",(N(AB8)*N(AA8)+N(AD8)*N(AC8))/(N(AA8)+N(AC8)))</f>
        <v/>
      </c>
    </row>
    <row r="9" ht="18.75" customHeight="1">
      <c r="A9" s="53" t="n">
        <v>6</v>
      </c>
      <c r="B9" s="54" t="n">
        <v>46447</v>
      </c>
      <c r="C9" s="53">
        <f>IF(MAR!$D$5="","",MAR!$D$5)</f>
        <v/>
      </c>
      <c r="D9" s="55" t="n"/>
      <c r="E9" s="56">
        <f>IF(MAR!$D$43="","",MAR!$D$43)</f>
        <v/>
      </c>
      <c r="F9" s="57">
        <f>IF(OR(C9="",D9=""),"",C9*D9)</f>
        <v/>
      </c>
      <c r="G9" s="58">
        <f>IF(OR(E9="",N(F9)=0),"",E9/F9)</f>
        <v/>
      </c>
      <c r="I9" s="53" t="n">
        <v>6</v>
      </c>
      <c r="J9" s="54" t="n">
        <v>46447</v>
      </c>
      <c r="K9" s="53">
        <f>C9</f>
        <v/>
      </c>
      <c r="L9" s="59">
        <f>IF(D9="","",D9)</f>
        <v/>
      </c>
      <c r="M9" s="56">
        <f>IF(MAR!$D$44="","",MAR!$D$44)</f>
        <v/>
      </c>
      <c r="N9" s="57">
        <f>IF(OR(K9="",L9=""),"",K9*L9)</f>
        <v/>
      </c>
      <c r="O9" s="58">
        <f>IF(OR(M9="",N(N9)=0),"",M9/N9)</f>
        <v/>
      </c>
      <c r="Q9" s="53" t="n">
        <v>6</v>
      </c>
      <c r="R9" s="54" t="n">
        <v>46447</v>
      </c>
      <c r="S9" s="53">
        <f>C9</f>
        <v/>
      </c>
      <c r="T9" s="59">
        <f>IF(D9="","",D9)</f>
        <v/>
      </c>
      <c r="U9" s="56">
        <f>IF(COUNT(E9,M9)=0,"",SUM(E9,M9))</f>
        <v/>
      </c>
      <c r="V9" s="57">
        <f>IF(OR(S9="",T9=""),"",S9*T9)</f>
        <v/>
      </c>
      <c r="W9" s="58">
        <f>IF(OR(U9="",N(V9)=0),"",U9/V9)</f>
        <v/>
      </c>
      <c r="Y9" s="53" t="n">
        <v>6</v>
      </c>
      <c r="Z9" s="54" t="n">
        <v>46447</v>
      </c>
      <c r="AA9" s="59">
        <f>IF($C9="","",SUMPRODUCT(($E$21:$E$60&gt;=$Z$4)*($E$21:$E$60&lt;=EOMONTH($Z9,0)),$G$21:$G$60))</f>
        <v/>
      </c>
      <c r="AB9" s="56">
        <f>IF(N(AA9)=0,"",SUMPRODUCT(($E$21:$E$60&gt;=$Z$4)*($E$21:$E$60&lt;=EOMONTH($Z9,0)),$F$21:$F$60,$G$21:$G$60)/AA9)</f>
        <v/>
      </c>
      <c r="AC9" s="59">
        <f>IF($C9="","",SUMPRODUCT(($L$21:$L$60&gt;=$Z$4)*($L$21:$L$60&lt;=EOMONTH($Z9,0)),$N$21:$N$60))</f>
        <v/>
      </c>
      <c r="AD9" s="56">
        <f>IF(N(AC9)=0,"",SUMPRODUCT(($L$21:$L$60&gt;=$Z$4)*($L$21:$L$60&lt;=EOMONTH($Z9,0)),$M$21:$M$60,$N$21:$N$60)/AC9)</f>
        <v/>
      </c>
      <c r="AE9" s="56">
        <f>IF(N(AA9)+N(AC9)=0,"",(N(AB9)*N(AA9)+N(AD9)*N(AC9))/(N(AA9)+N(AC9)))</f>
        <v/>
      </c>
    </row>
    <row r="10" ht="18.75" customHeight="1">
      <c r="A10" s="53" t="n">
        <v>7</v>
      </c>
      <c r="B10" s="54" t="n">
        <v>46478</v>
      </c>
      <c r="C10" s="53">
        <f>IF(APR!$D$5="","",APR!$D$5)</f>
        <v/>
      </c>
      <c r="D10" s="55" t="n"/>
      <c r="E10" s="56">
        <f>IF(APR!$D$43="","",APR!$D$43)</f>
        <v/>
      </c>
      <c r="F10" s="57">
        <f>IF(OR(C10="",D10=""),"",C10*D10)</f>
        <v/>
      </c>
      <c r="G10" s="58">
        <f>IF(OR(E10="",N(F10)=0),"",E10/F10)</f>
        <v/>
      </c>
      <c r="I10" s="53" t="n">
        <v>7</v>
      </c>
      <c r="J10" s="54" t="n">
        <v>46478</v>
      </c>
      <c r="K10" s="53">
        <f>C10</f>
        <v/>
      </c>
      <c r="L10" s="59">
        <f>IF(D10="","",D10)</f>
        <v/>
      </c>
      <c r="M10" s="56">
        <f>IF(APR!$D$44="","",APR!$D$44)</f>
        <v/>
      </c>
      <c r="N10" s="57">
        <f>IF(OR(K10="",L10=""),"",K10*L10)</f>
        <v/>
      </c>
      <c r="O10" s="58">
        <f>IF(OR(M10="",N(N10)=0),"",M10/N10)</f>
        <v/>
      </c>
      <c r="Q10" s="53" t="n">
        <v>7</v>
      </c>
      <c r="R10" s="54" t="n">
        <v>46478</v>
      </c>
      <c r="S10" s="53">
        <f>C10</f>
        <v/>
      </c>
      <c r="T10" s="59">
        <f>IF(D10="","",D10)</f>
        <v/>
      </c>
      <c r="U10" s="56">
        <f>IF(COUNT(E10,M10)=0,"",SUM(E10,M10))</f>
        <v/>
      </c>
      <c r="V10" s="57">
        <f>IF(OR(S10="",T10=""),"",S10*T10)</f>
        <v/>
      </c>
      <c r="W10" s="58">
        <f>IF(OR(U10="",N(V10)=0),"",U10/V10)</f>
        <v/>
      </c>
      <c r="Y10" s="53" t="n">
        <v>7</v>
      </c>
      <c r="Z10" s="54" t="n">
        <v>46478</v>
      </c>
      <c r="AA10" s="59">
        <f>IF($C10="","",SUMPRODUCT(($E$21:$E$60&gt;=$Z$4)*($E$21:$E$60&lt;=EOMONTH($Z10,0)),$G$21:$G$60))</f>
        <v/>
      </c>
      <c r="AB10" s="56">
        <f>IF(N(AA10)=0,"",SUMPRODUCT(($E$21:$E$60&gt;=$Z$4)*($E$21:$E$60&lt;=EOMONTH($Z10,0)),$F$21:$F$60,$G$21:$G$60)/AA10)</f>
        <v/>
      </c>
      <c r="AC10" s="59">
        <f>IF($C10="","",SUMPRODUCT(($L$21:$L$60&gt;=$Z$4)*($L$21:$L$60&lt;=EOMONTH($Z10,0)),$N$21:$N$60))</f>
        <v/>
      </c>
      <c r="AD10" s="56">
        <f>IF(N(AC10)=0,"",SUMPRODUCT(($L$21:$L$60&gt;=$Z$4)*($L$21:$L$60&lt;=EOMONTH($Z10,0)),$M$21:$M$60,$N$21:$N$60)/AC10)</f>
        <v/>
      </c>
      <c r="AE10" s="56">
        <f>IF(N(AA10)+N(AC10)=0,"",(N(AB10)*N(AA10)+N(AD10)*N(AC10))/(N(AA10)+N(AC10)))</f>
        <v/>
      </c>
    </row>
    <row r="11" ht="18.75" customHeight="1">
      <c r="A11" s="53" t="n">
        <v>8</v>
      </c>
      <c r="B11" s="54" t="n">
        <v>46508</v>
      </c>
      <c r="C11" s="53">
        <f>IF(MAY!$D$5="","",MAY!$D$5)</f>
        <v/>
      </c>
      <c r="D11" s="55" t="n"/>
      <c r="E11" s="56">
        <f>IF(MAY!$D$43="","",MAY!$D$43)</f>
        <v/>
      </c>
      <c r="F11" s="57">
        <f>IF(OR(C11="",D11=""),"",C11*D11)</f>
        <v/>
      </c>
      <c r="G11" s="58">
        <f>IF(OR(E11="",N(F11)=0),"",E11/F11)</f>
        <v/>
      </c>
      <c r="I11" s="53" t="n">
        <v>8</v>
      </c>
      <c r="J11" s="54" t="n">
        <v>46508</v>
      </c>
      <c r="K11" s="53">
        <f>C11</f>
        <v/>
      </c>
      <c r="L11" s="59">
        <f>IF(D11="","",D11)</f>
        <v/>
      </c>
      <c r="M11" s="56">
        <f>IF(MAY!$D$44="","",MAY!$D$44)</f>
        <v/>
      </c>
      <c r="N11" s="57">
        <f>IF(OR(K11="",L11=""),"",K11*L11)</f>
        <v/>
      </c>
      <c r="O11" s="58">
        <f>IF(OR(M11="",N(N11)=0),"",M11/N11)</f>
        <v/>
      </c>
      <c r="Q11" s="53" t="n">
        <v>8</v>
      </c>
      <c r="R11" s="54" t="n">
        <v>46508</v>
      </c>
      <c r="S11" s="53">
        <f>C11</f>
        <v/>
      </c>
      <c r="T11" s="59">
        <f>IF(D11="","",D11)</f>
        <v/>
      </c>
      <c r="U11" s="56">
        <f>IF(COUNT(E11,M11)=0,"",SUM(E11,M11))</f>
        <v/>
      </c>
      <c r="V11" s="57">
        <f>IF(OR(S11="",T11=""),"",S11*T11)</f>
        <v/>
      </c>
      <c r="W11" s="58">
        <f>IF(OR(U11="",N(V11)=0),"",U11/V11)</f>
        <v/>
      </c>
      <c r="Y11" s="53" t="n">
        <v>8</v>
      </c>
      <c r="Z11" s="54" t="n">
        <v>46508</v>
      </c>
      <c r="AA11" s="59">
        <f>IF($C11="","",SUMPRODUCT(($E$21:$E$60&gt;=$Z$4)*($E$21:$E$60&lt;=EOMONTH($Z11,0)),$G$21:$G$60))</f>
        <v/>
      </c>
      <c r="AB11" s="56">
        <f>IF(N(AA11)=0,"",SUMPRODUCT(($E$21:$E$60&gt;=$Z$4)*($E$21:$E$60&lt;=EOMONTH($Z11,0)),$F$21:$F$60,$G$21:$G$60)/AA11)</f>
        <v/>
      </c>
      <c r="AC11" s="59">
        <f>IF($C11="","",SUMPRODUCT(($L$21:$L$60&gt;=$Z$4)*($L$21:$L$60&lt;=EOMONTH($Z11,0)),$N$21:$N$60))</f>
        <v/>
      </c>
      <c r="AD11" s="56">
        <f>IF(N(AC11)=0,"",SUMPRODUCT(($L$21:$L$60&gt;=$Z$4)*($L$21:$L$60&lt;=EOMONTH($Z11,0)),$M$21:$M$60,$N$21:$N$60)/AC11)</f>
        <v/>
      </c>
      <c r="AE11" s="56">
        <f>IF(N(AA11)+N(AC11)=0,"",(N(AB11)*N(AA11)+N(AD11)*N(AC11))/(N(AA11)+N(AC11)))</f>
        <v/>
      </c>
    </row>
    <row r="12" ht="18.75" customHeight="1">
      <c r="A12" s="53" t="n">
        <v>9</v>
      </c>
      <c r="B12" s="54" t="n">
        <v>46539</v>
      </c>
      <c r="C12" s="53">
        <f>IF(JUN!$D$5="","",JUN!$D$5)</f>
        <v/>
      </c>
      <c r="D12" s="55" t="n"/>
      <c r="E12" s="56">
        <f>IF(JUN!$D$43="","",JUN!$D$43)</f>
        <v/>
      </c>
      <c r="F12" s="57">
        <f>IF(OR(C12="",D12=""),"",C12*D12)</f>
        <v/>
      </c>
      <c r="G12" s="58">
        <f>IF(OR(E12="",N(F12)=0),"",E12/F12)</f>
        <v/>
      </c>
      <c r="I12" s="53" t="n">
        <v>9</v>
      </c>
      <c r="J12" s="54" t="n">
        <v>46539</v>
      </c>
      <c r="K12" s="53">
        <f>C12</f>
        <v/>
      </c>
      <c r="L12" s="59">
        <f>IF(D12="","",D12)</f>
        <v/>
      </c>
      <c r="M12" s="56">
        <f>IF(JUN!$D$44="","",JUN!$D$44)</f>
        <v/>
      </c>
      <c r="N12" s="57">
        <f>IF(OR(K12="",L12=""),"",K12*L12)</f>
        <v/>
      </c>
      <c r="O12" s="58">
        <f>IF(OR(M12="",N(N12)=0),"",M12/N12)</f>
        <v/>
      </c>
      <c r="Q12" s="53" t="n">
        <v>9</v>
      </c>
      <c r="R12" s="54" t="n">
        <v>46539</v>
      </c>
      <c r="S12" s="53">
        <f>C12</f>
        <v/>
      </c>
      <c r="T12" s="59">
        <f>IF(D12="","",D12)</f>
        <v/>
      </c>
      <c r="U12" s="56">
        <f>IF(COUNT(E12,M12)=0,"",SUM(E12,M12))</f>
        <v/>
      </c>
      <c r="V12" s="57">
        <f>IF(OR(S12="",T12=""),"",S12*T12)</f>
        <v/>
      </c>
      <c r="W12" s="58">
        <f>IF(OR(U12="",N(V12)=0),"",U12/V12)</f>
        <v/>
      </c>
      <c r="Y12" s="53" t="n">
        <v>9</v>
      </c>
      <c r="Z12" s="54" t="n">
        <v>46539</v>
      </c>
      <c r="AA12" s="59">
        <f>IF($C12="","",SUMPRODUCT(($E$21:$E$60&gt;=$Z$4)*($E$21:$E$60&lt;=EOMONTH($Z12,0)),$G$21:$G$60))</f>
        <v/>
      </c>
      <c r="AB12" s="56">
        <f>IF(N(AA12)=0,"",SUMPRODUCT(($E$21:$E$60&gt;=$Z$4)*($E$21:$E$60&lt;=EOMONTH($Z12,0)),$F$21:$F$60,$G$21:$G$60)/AA12)</f>
        <v/>
      </c>
      <c r="AC12" s="59">
        <f>IF($C12="","",SUMPRODUCT(($L$21:$L$60&gt;=$Z$4)*($L$21:$L$60&lt;=EOMONTH($Z12,0)),$N$21:$N$60))</f>
        <v/>
      </c>
      <c r="AD12" s="56">
        <f>IF(N(AC12)=0,"",SUMPRODUCT(($L$21:$L$60&gt;=$Z$4)*($L$21:$L$60&lt;=EOMONTH($Z12,0)),$M$21:$M$60,$N$21:$N$60)/AC12)</f>
        <v/>
      </c>
      <c r="AE12" s="56">
        <f>IF(N(AA12)+N(AC12)=0,"",(N(AB12)*N(AA12)+N(AD12)*N(AC12))/(N(AA12)+N(AC12)))</f>
        <v/>
      </c>
    </row>
    <row r="13" ht="18.75" customHeight="1">
      <c r="A13" s="53" t="n">
        <v>10</v>
      </c>
      <c r="B13" s="54" t="n">
        <v>46569</v>
      </c>
      <c r="C13" s="53">
        <f>IF(JUL!$D$5="","",JUL!$D$5)</f>
        <v/>
      </c>
      <c r="D13" s="55" t="n"/>
      <c r="E13" s="56">
        <f>IF(JUL!$D$43="","",JUL!$D$43)</f>
        <v/>
      </c>
      <c r="F13" s="57">
        <f>IF(OR(C13="",D13=""),"",C13*D13)</f>
        <v/>
      </c>
      <c r="G13" s="58">
        <f>IF(OR(E13="",N(F13)=0),"",E13/F13)</f>
        <v/>
      </c>
      <c r="I13" s="53" t="n">
        <v>10</v>
      </c>
      <c r="J13" s="54" t="n">
        <v>46569</v>
      </c>
      <c r="K13" s="53">
        <f>C13</f>
        <v/>
      </c>
      <c r="L13" s="59">
        <f>IF(D13="","",D13)</f>
        <v/>
      </c>
      <c r="M13" s="56">
        <f>IF(JUL!$D$44="","",JUL!$D$44)</f>
        <v/>
      </c>
      <c r="N13" s="57">
        <f>IF(OR(K13="",L13=""),"",K13*L13)</f>
        <v/>
      </c>
      <c r="O13" s="58">
        <f>IF(OR(M13="",N(N13)=0),"",M13/N13)</f>
        <v/>
      </c>
      <c r="Q13" s="53" t="n">
        <v>10</v>
      </c>
      <c r="R13" s="54" t="n">
        <v>46569</v>
      </c>
      <c r="S13" s="53">
        <f>C13</f>
        <v/>
      </c>
      <c r="T13" s="59">
        <f>IF(D13="","",D13)</f>
        <v/>
      </c>
      <c r="U13" s="56">
        <f>IF(COUNT(E13,M13)=0,"",SUM(E13,M13))</f>
        <v/>
      </c>
      <c r="V13" s="57">
        <f>IF(OR(S13="",T13=""),"",S13*T13)</f>
        <v/>
      </c>
      <c r="W13" s="58">
        <f>IF(OR(U13="",N(V13)=0),"",U13/V13)</f>
        <v/>
      </c>
      <c r="Y13" s="53" t="n">
        <v>10</v>
      </c>
      <c r="Z13" s="54" t="n">
        <v>46569</v>
      </c>
      <c r="AA13" s="59">
        <f>IF($C13="","",SUMPRODUCT(($E$21:$E$60&gt;=$Z$4)*($E$21:$E$60&lt;=EOMONTH($Z13,0)),$G$21:$G$60))</f>
        <v/>
      </c>
      <c r="AB13" s="56">
        <f>IF(N(AA13)=0,"",SUMPRODUCT(($E$21:$E$60&gt;=$Z$4)*($E$21:$E$60&lt;=EOMONTH($Z13,0)),$F$21:$F$60,$G$21:$G$60)/AA13)</f>
        <v/>
      </c>
      <c r="AC13" s="59">
        <f>IF($C13="","",SUMPRODUCT(($L$21:$L$60&gt;=$Z$4)*($L$21:$L$60&lt;=EOMONTH($Z13,0)),$N$21:$N$60))</f>
        <v/>
      </c>
      <c r="AD13" s="56">
        <f>IF(N(AC13)=0,"",SUMPRODUCT(($L$21:$L$60&gt;=$Z$4)*($L$21:$L$60&lt;=EOMONTH($Z13,0)),$M$21:$M$60,$N$21:$N$60)/AC13)</f>
        <v/>
      </c>
      <c r="AE13" s="56">
        <f>IF(N(AA13)+N(AC13)=0,"",(N(AB13)*N(AA13)+N(AD13)*N(AC13))/(N(AA13)+N(AC13)))</f>
        <v/>
      </c>
    </row>
    <row r="14" ht="18.75" customHeight="1">
      <c r="A14" s="53" t="n">
        <v>11</v>
      </c>
      <c r="B14" s="54" t="n">
        <v>46600</v>
      </c>
      <c r="C14" s="53">
        <f>IF(AUG!$D$5="","",AUG!$D$5)</f>
        <v/>
      </c>
      <c r="D14" s="55" t="n"/>
      <c r="E14" s="56">
        <f>IF(AUG!$D$43="","",AUG!$D$43)</f>
        <v/>
      </c>
      <c r="F14" s="57">
        <f>IF(OR(C14="",D14=""),"",C14*D14)</f>
        <v/>
      </c>
      <c r="G14" s="58">
        <f>IF(OR(E14="",N(F14)=0),"",E14/F14)</f>
        <v/>
      </c>
      <c r="I14" s="53" t="n">
        <v>11</v>
      </c>
      <c r="J14" s="54" t="n">
        <v>46600</v>
      </c>
      <c r="K14" s="53">
        <f>C14</f>
        <v/>
      </c>
      <c r="L14" s="59">
        <f>IF(D14="","",D14)</f>
        <v/>
      </c>
      <c r="M14" s="56">
        <f>IF(AUG!$D$44="","",AUG!$D$44)</f>
        <v/>
      </c>
      <c r="N14" s="57">
        <f>IF(OR(K14="",L14=""),"",K14*L14)</f>
        <v/>
      </c>
      <c r="O14" s="58">
        <f>IF(OR(M14="",N(N14)=0),"",M14/N14)</f>
        <v/>
      </c>
      <c r="Q14" s="53" t="n">
        <v>11</v>
      </c>
      <c r="R14" s="54" t="n">
        <v>46600</v>
      </c>
      <c r="S14" s="53">
        <f>C14</f>
        <v/>
      </c>
      <c r="T14" s="59">
        <f>IF(D14="","",D14)</f>
        <v/>
      </c>
      <c r="U14" s="56">
        <f>IF(COUNT(E14,M14)=0,"",SUM(E14,M14))</f>
        <v/>
      </c>
      <c r="V14" s="57">
        <f>IF(OR(S14="",T14=""),"",S14*T14)</f>
        <v/>
      </c>
      <c r="W14" s="58">
        <f>IF(OR(U14="",N(V14)=0),"",U14/V14)</f>
        <v/>
      </c>
      <c r="Y14" s="53" t="n">
        <v>11</v>
      </c>
      <c r="Z14" s="54" t="n">
        <v>46600</v>
      </c>
      <c r="AA14" s="59">
        <f>IF($C14="","",SUMPRODUCT(($E$21:$E$60&gt;=$Z$4)*($E$21:$E$60&lt;=EOMONTH($Z14,0)),$G$21:$G$60))</f>
        <v/>
      </c>
      <c r="AB14" s="56">
        <f>IF(N(AA14)=0,"",SUMPRODUCT(($E$21:$E$60&gt;=$Z$4)*($E$21:$E$60&lt;=EOMONTH($Z14,0)),$F$21:$F$60,$G$21:$G$60)/AA14)</f>
        <v/>
      </c>
      <c r="AC14" s="59">
        <f>IF($C14="","",SUMPRODUCT(($L$21:$L$60&gt;=$Z$4)*($L$21:$L$60&lt;=EOMONTH($Z14,0)),$N$21:$N$60))</f>
        <v/>
      </c>
      <c r="AD14" s="56">
        <f>IF(N(AC14)=0,"",SUMPRODUCT(($L$21:$L$60&gt;=$Z$4)*($L$21:$L$60&lt;=EOMONTH($Z14,0)),$M$21:$M$60,$N$21:$N$60)/AC14)</f>
        <v/>
      </c>
      <c r="AE14" s="56">
        <f>IF(N(AA14)+N(AC14)=0,"",(N(AB14)*N(AA14)+N(AD14)*N(AC14))/(N(AA14)+N(AC14)))</f>
        <v/>
      </c>
    </row>
    <row r="15" ht="18.75" customHeight="1">
      <c r="A15" s="53" t="n">
        <v>12</v>
      </c>
      <c r="B15" s="54" t="n">
        <v>46631</v>
      </c>
      <c r="C15" s="53">
        <f>IF(SEP!$D$5="","",SEP!$D$5)</f>
        <v/>
      </c>
      <c r="D15" s="55" t="n"/>
      <c r="E15" s="56">
        <f>IF(SEP!$D$43="","",SEP!$D$43)</f>
        <v/>
      </c>
      <c r="F15" s="57">
        <f>IF(OR(C15="",D15=""),"",C15*D15)</f>
        <v/>
      </c>
      <c r="G15" s="58">
        <f>IF(OR(E15="",N(F15)=0),"",E15/F15)</f>
        <v/>
      </c>
      <c r="I15" s="53" t="n">
        <v>12</v>
      </c>
      <c r="J15" s="54" t="n">
        <v>46631</v>
      </c>
      <c r="K15" s="53">
        <f>C15</f>
        <v/>
      </c>
      <c r="L15" s="59">
        <f>IF(D15="","",D15)</f>
        <v/>
      </c>
      <c r="M15" s="56">
        <f>IF(SEP!$D$44="","",SEP!$D$44)</f>
        <v/>
      </c>
      <c r="N15" s="57">
        <f>IF(OR(K15="",L15=""),"",K15*L15)</f>
        <v/>
      </c>
      <c r="O15" s="58">
        <f>IF(OR(M15="",N(N15)=0),"",M15/N15)</f>
        <v/>
      </c>
      <c r="Q15" s="53" t="n">
        <v>12</v>
      </c>
      <c r="R15" s="54" t="n">
        <v>46631</v>
      </c>
      <c r="S15" s="53">
        <f>C15</f>
        <v/>
      </c>
      <c r="T15" s="59">
        <f>IF(D15="","",D15)</f>
        <v/>
      </c>
      <c r="U15" s="56">
        <f>IF(COUNT(E15,M15)=0,"",SUM(E15,M15))</f>
        <v/>
      </c>
      <c r="V15" s="57">
        <f>IF(OR(S15="",T15=""),"",S15*T15)</f>
        <v/>
      </c>
      <c r="W15" s="58">
        <f>IF(OR(U15="",N(V15)=0),"",U15/V15)</f>
        <v/>
      </c>
      <c r="Y15" s="53" t="n">
        <v>12</v>
      </c>
      <c r="Z15" s="54" t="n">
        <v>46631</v>
      </c>
      <c r="AA15" s="59">
        <f>IF($C15="","",SUMPRODUCT(($E$21:$E$60&gt;=$Z$4)*($E$21:$E$60&lt;=EOMONTH($Z15,0)),$G$21:$G$60))</f>
        <v/>
      </c>
      <c r="AB15" s="56">
        <f>IF(N(AA15)=0,"",SUMPRODUCT(($E$21:$E$60&gt;=$Z$4)*($E$21:$E$60&lt;=EOMONTH($Z15,0)),$F$21:$F$60,$G$21:$G$60)/AA15)</f>
        <v/>
      </c>
      <c r="AC15" s="59">
        <f>IF($C15="","",SUMPRODUCT(($L$21:$L$60&gt;=$Z$4)*($L$21:$L$60&lt;=EOMONTH($Z15,0)),$N$21:$N$60))</f>
        <v/>
      </c>
      <c r="AD15" s="56">
        <f>IF(N(AC15)=0,"",SUMPRODUCT(($L$21:$L$60&gt;=$Z$4)*($L$21:$L$60&lt;=EOMONTH($Z15,0)),$M$21:$M$60,$N$21:$N$60)/AC15)</f>
        <v/>
      </c>
      <c r="AE15" s="56">
        <f>IF(N(AA15)+N(AC15)=0,"",(N(AB15)*N(AA15)+N(AD15)*N(AC15))/(N(AA15)+N(AC15)))</f>
        <v/>
      </c>
    </row>
    <row r="16" ht="18.75" customHeight="1">
      <c r="A16" s="60" t="n"/>
      <c r="B16" s="60" t="n"/>
      <c r="C16" s="60" t="n"/>
      <c r="D16" s="61" t="inlineStr">
        <is>
          <t>Total YTD</t>
        </is>
      </c>
      <c r="E16" s="62">
        <f>IF(COUNT(E4:E15)=0,"",SUM(E4:E15))</f>
        <v/>
      </c>
      <c r="F16" s="63">
        <f>SUMPRODUCT(--ISNUMBER(E4:E15),F4:F15)</f>
        <v/>
      </c>
      <c r="G16" s="64">
        <f>IF(COUNT(E4:E15)=0,"",IFERROR(E16/F16,""))</f>
        <v/>
      </c>
      <c r="I16" s="60" t="n"/>
      <c r="J16" s="60" t="n"/>
      <c r="K16" s="60" t="n"/>
      <c r="L16" s="61" t="inlineStr">
        <is>
          <t>Total YTD</t>
        </is>
      </c>
      <c r="M16" s="62">
        <f>IF(COUNT(M4:M15)=0,"",SUM(M4:M15))</f>
        <v/>
      </c>
      <c r="N16" s="63">
        <f>SUMPRODUCT(--ISNUMBER(M4:M15),N4:N15)</f>
        <v/>
      </c>
      <c r="O16" s="64">
        <f>IF(COUNT(M4:M15)=0,"",IFERROR(M16/N16,""))</f>
        <v/>
      </c>
      <c r="Q16" s="60" t="n"/>
      <c r="R16" s="60" t="n"/>
      <c r="S16" s="60" t="n"/>
      <c r="T16" s="61" t="inlineStr">
        <is>
          <t>Total YTD</t>
        </is>
      </c>
      <c r="U16" s="62">
        <f>IF(COUNT(U4:U15)=0,"",SUM(U4:U15))</f>
        <v/>
      </c>
      <c r="V16" s="63">
        <f>SUMPRODUCT(--ISNUMBER(U4:U15),V4:V15)</f>
        <v/>
      </c>
      <c r="W16" s="64">
        <f>IF(COUNT(U4:U15)=0,"",IFERROR(U16/V16,""))</f>
        <v/>
      </c>
      <c r="Y16" s="60" t="n"/>
      <c r="Z16" s="61" t="inlineStr">
        <is>
          <t>FY2027 YTD</t>
        </is>
      </c>
      <c r="AA16" s="65">
        <f>SUMPRODUCT(($E$21:$E$60&gt;=$Z$4)*($E$21:$E$60&lt;=EOMONTH($Z$15,0)),$G$21:$G$60)</f>
        <v/>
      </c>
      <c r="AB16" s="62">
        <f>IF(N(AA16)=0,"",SUMPRODUCT(($E$21:$E$60&gt;=$Z$4)*($E$21:$E$60&lt;=EOMONTH($Z$15,0)),$F$21:$F$60,$G$21:$G$60)/AA16)</f>
        <v/>
      </c>
      <c r="AC16" s="65">
        <f>SUMPRODUCT(($L$21:$L$60&gt;=$Z$4)*($L$21:$L$60&lt;=EOMONTH($Z$15,0)),$N$21:$N$60)</f>
        <v/>
      </c>
      <c r="AD16" s="62">
        <f>IF(N(AC16)=0,"",SUMPRODUCT(($L$21:$L$60&gt;=$Z$4)*($L$21:$L$60&lt;=EOMONTH($Z$15,0)),$M$21:$M$60,$N$21:$N$60)/AC16)</f>
        <v/>
      </c>
      <c r="AE16" s="62">
        <f>IF(N(AA16)+N(AC16)=0,"",(N(AB16)*N(AA16)+N(AD16)*N(AC16))/(N(AA16)+N(AC16)))</f>
        <v/>
      </c>
    </row>
    <row r="17">
      <c r="Y17" s="66" t="inlineStr">
        <is>
          <t>Only contracts signed within FY2027 (Oct-2026 to the month shown) are counted; weighted by posts filled.</t>
        </is>
      </c>
    </row>
    <row r="18" ht="24.75" customHeight="1">
      <c r="A18" s="40">
        <f>A1</f>
        <v/>
      </c>
      <c r="B18" s="41" t="n"/>
      <c r="C18" s="42" t="n"/>
      <c r="D18" s="40" t="inlineStr">
        <is>
          <t>TIME TO HIRE YTD (Days)</t>
        </is>
      </c>
      <c r="E18" s="44" t="n"/>
      <c r="F18" s="46">
        <f>AB16</f>
        <v/>
      </c>
      <c r="G18" s="44" t="n"/>
      <c r="H18" s="40">
        <f>A1</f>
        <v/>
      </c>
      <c r="I18" s="41" t="n"/>
      <c r="J18" s="42" t="n"/>
      <c r="K18" s="40" t="inlineStr">
        <is>
          <t>TIME TO HIRE YTD (Days)</t>
        </is>
      </c>
      <c r="L18" s="44" t="n"/>
      <c r="M18" s="46">
        <f>AD16</f>
        <v/>
      </c>
      <c r="N18" s="44" t="n"/>
    </row>
    <row r="19" ht="21.75" customHeight="1">
      <c r="A19" s="47" t="inlineStr">
        <is>
          <t>PERMANENT EE</t>
        </is>
      </c>
      <c r="B19" s="41" t="n"/>
      <c r="C19" s="42" t="n"/>
      <c r="D19" s="48" t="n"/>
      <c r="E19" s="50" t="n"/>
      <c r="F19" s="48" t="n"/>
      <c r="G19" s="50" t="n"/>
      <c r="H19" s="47" t="inlineStr">
        <is>
          <t>TEMPORARY EE</t>
        </is>
      </c>
      <c r="I19" s="41" t="n"/>
      <c r="J19" s="42" t="n"/>
      <c r="K19" s="48" t="n"/>
      <c r="L19" s="50" t="n"/>
      <c r="M19" s="48" t="n"/>
      <c r="N19" s="50" t="n"/>
    </row>
    <row r="20" ht="60" customHeight="1">
      <c r="A20" s="52" t="inlineStr">
        <is>
          <t>No.</t>
        </is>
      </c>
      <c r="B20" s="52" t="inlineStr">
        <is>
          <t>Job Title</t>
        </is>
      </c>
      <c r="C20" s="52" t="inlineStr">
        <is>
          <t>No. of Posts</t>
        </is>
      </c>
      <c r="D20" s="52" t="inlineStr">
        <is>
          <t>Job Opening Date (mm/dd/yyyy)</t>
        </is>
      </c>
      <c r="E20" s="52" t="inlineStr">
        <is>
          <t>Contract Signed Date (mm/dd/yyyy)</t>
        </is>
      </c>
      <c r="F20" s="52" t="inlineStr">
        <is>
          <t>Time to Hire by Position (Days)</t>
        </is>
      </c>
      <c r="G20" s="52" t="inlineStr">
        <is>
          <t>Posts Filled (auto)</t>
        </is>
      </c>
      <c r="H20" s="52" t="inlineStr">
        <is>
          <t>No.</t>
        </is>
      </c>
      <c r="I20" s="52" t="inlineStr">
        <is>
          <t>Job Title</t>
        </is>
      </c>
      <c r="J20" s="52" t="inlineStr">
        <is>
          <t>No. of Posts</t>
        </is>
      </c>
      <c r="K20" s="52" t="inlineStr">
        <is>
          <t>Job Opening Date (mm/dd/yyyy)</t>
        </is>
      </c>
      <c r="L20" s="52" t="inlineStr">
        <is>
          <t>Contract Signed Date (mm/dd/yyyy)</t>
        </is>
      </c>
      <c r="M20" s="52" t="inlineStr">
        <is>
          <t>Time to Hire by Position (Days)</t>
        </is>
      </c>
      <c r="N20" s="52" t="inlineStr">
        <is>
          <t>Posts Filled (auto)</t>
        </is>
      </c>
    </row>
    <row r="21">
      <c r="A21" s="53" t="n">
        <v>1</v>
      </c>
      <c r="B21" s="67" t="n"/>
      <c r="C21" s="55" t="n"/>
      <c r="D21" s="68" t="n"/>
      <c r="E21" s="68" t="n"/>
      <c r="F21" s="59">
        <f>IF(OR(E21="",D21=""),"",MAX(E21-D21,0))</f>
        <v/>
      </c>
      <c r="G21" s="59">
        <f>IF(F21="","",IF(N(C21)=0,1,C21))</f>
        <v/>
      </c>
      <c r="H21" s="53" t="n">
        <v>1</v>
      </c>
      <c r="I21" s="67" t="n"/>
      <c r="J21" s="55" t="n"/>
      <c r="K21" s="68" t="n"/>
      <c r="L21" s="68" t="n"/>
      <c r="M21" s="59">
        <f>IF(OR(L21="",K21=""),"",MAX(L21-K21,0))</f>
        <v/>
      </c>
      <c r="N21" s="59">
        <f>IF(M21="","",IF(N(J21)=0,1,J21))</f>
        <v/>
      </c>
    </row>
    <row r="22">
      <c r="A22" s="53" t="n">
        <v>2</v>
      </c>
      <c r="B22" s="67" t="n"/>
      <c r="C22" s="55" t="n"/>
      <c r="D22" s="68" t="n"/>
      <c r="E22" s="68" t="n"/>
      <c r="F22" s="59">
        <f>IF(OR(E22="",D22=""),"",MAX(E22-D22,0))</f>
        <v/>
      </c>
      <c r="G22" s="59">
        <f>IF(F22="","",IF(N(C22)=0,1,C22))</f>
        <v/>
      </c>
      <c r="H22" s="53" t="n">
        <v>2</v>
      </c>
      <c r="I22" s="67" t="n"/>
      <c r="J22" s="55" t="n"/>
      <c r="K22" s="68" t="n"/>
      <c r="L22" s="68" t="n"/>
      <c r="M22" s="59">
        <f>IF(OR(L22="",K22=""),"",MAX(L22-K22,0))</f>
        <v/>
      </c>
      <c r="N22" s="59">
        <f>IF(M22="","",IF(N(J22)=0,1,J22))</f>
        <v/>
      </c>
    </row>
    <row r="23">
      <c r="A23" s="53" t="n">
        <v>3</v>
      </c>
      <c r="B23" s="67" t="n"/>
      <c r="C23" s="55" t="n"/>
      <c r="D23" s="68" t="n"/>
      <c r="E23" s="68" t="n"/>
      <c r="F23" s="59">
        <f>IF(OR(E23="",D23=""),"",MAX(E23-D23,0))</f>
        <v/>
      </c>
      <c r="G23" s="59">
        <f>IF(F23="","",IF(N(C23)=0,1,C23))</f>
        <v/>
      </c>
      <c r="H23" s="53" t="n">
        <v>3</v>
      </c>
      <c r="I23" s="67" t="n"/>
      <c r="J23" s="55" t="n"/>
      <c r="K23" s="68" t="n"/>
      <c r="L23" s="68" t="n"/>
      <c r="M23" s="59">
        <f>IF(OR(L23="",K23=""),"",MAX(L23-K23,0))</f>
        <v/>
      </c>
      <c r="N23" s="59">
        <f>IF(M23="","",IF(N(J23)=0,1,J23))</f>
        <v/>
      </c>
    </row>
    <row r="24">
      <c r="A24" s="53" t="n">
        <v>4</v>
      </c>
      <c r="B24" s="67" t="n"/>
      <c r="C24" s="55" t="n"/>
      <c r="D24" s="68" t="n"/>
      <c r="E24" s="68" t="n"/>
      <c r="F24" s="59">
        <f>IF(OR(E24="",D24=""),"",MAX(E24-D24,0))</f>
        <v/>
      </c>
      <c r="G24" s="59">
        <f>IF(F24="","",IF(N(C24)=0,1,C24))</f>
        <v/>
      </c>
      <c r="H24" s="53" t="n">
        <v>4</v>
      </c>
      <c r="I24" s="67" t="n"/>
      <c r="J24" s="55" t="n"/>
      <c r="K24" s="68" t="n"/>
      <c r="L24" s="68" t="n"/>
      <c r="M24" s="59">
        <f>IF(OR(L24="",K24=""),"",MAX(L24-K24,0))</f>
        <v/>
      </c>
      <c r="N24" s="59">
        <f>IF(M24="","",IF(N(J24)=0,1,J24))</f>
        <v/>
      </c>
    </row>
    <row r="25">
      <c r="A25" s="53" t="n">
        <v>5</v>
      </c>
      <c r="B25" s="67" t="n"/>
      <c r="C25" s="55" t="n"/>
      <c r="D25" s="68" t="n"/>
      <c r="E25" s="68" t="n"/>
      <c r="F25" s="59">
        <f>IF(OR(E25="",D25=""),"",MAX(E25-D25,0))</f>
        <v/>
      </c>
      <c r="G25" s="59">
        <f>IF(F25="","",IF(N(C25)=0,1,C25))</f>
        <v/>
      </c>
      <c r="H25" s="53" t="n">
        <v>5</v>
      </c>
      <c r="I25" s="67" t="n"/>
      <c r="J25" s="55" t="n"/>
      <c r="K25" s="68" t="n"/>
      <c r="L25" s="68" t="n"/>
      <c r="M25" s="59">
        <f>IF(OR(L25="",K25=""),"",MAX(L25-K25,0))</f>
        <v/>
      </c>
      <c r="N25" s="59">
        <f>IF(M25="","",IF(N(J25)=0,1,J25))</f>
        <v/>
      </c>
    </row>
    <row r="26">
      <c r="A26" s="53" t="n">
        <v>6</v>
      </c>
      <c r="B26" s="67" t="n"/>
      <c r="C26" s="55" t="n"/>
      <c r="D26" s="68" t="n"/>
      <c r="E26" s="68" t="n"/>
      <c r="F26" s="59">
        <f>IF(OR(E26="",D26=""),"",MAX(E26-D26,0))</f>
        <v/>
      </c>
      <c r="G26" s="59">
        <f>IF(F26="","",IF(N(C26)=0,1,C26))</f>
        <v/>
      </c>
      <c r="H26" s="53" t="n">
        <v>6</v>
      </c>
      <c r="I26" s="67" t="n"/>
      <c r="J26" s="55" t="n"/>
      <c r="K26" s="68" t="n"/>
      <c r="L26" s="68" t="n"/>
      <c r="M26" s="59">
        <f>IF(OR(L26="",K26=""),"",MAX(L26-K26,0))</f>
        <v/>
      </c>
      <c r="N26" s="59">
        <f>IF(M26="","",IF(N(J26)=0,1,J26))</f>
        <v/>
      </c>
    </row>
    <row r="27">
      <c r="A27" s="53" t="n">
        <v>7</v>
      </c>
      <c r="B27" s="67" t="n"/>
      <c r="C27" s="55" t="n"/>
      <c r="D27" s="68" t="n"/>
      <c r="E27" s="68" t="n"/>
      <c r="F27" s="59">
        <f>IF(OR(E27="",D27=""),"",MAX(E27-D27,0))</f>
        <v/>
      </c>
      <c r="G27" s="59">
        <f>IF(F27="","",IF(N(C27)=0,1,C27))</f>
        <v/>
      </c>
      <c r="H27" s="53" t="n">
        <v>7</v>
      </c>
      <c r="I27" s="67" t="n"/>
      <c r="J27" s="55" t="n"/>
      <c r="K27" s="68" t="n"/>
      <c r="L27" s="68" t="n"/>
      <c r="M27" s="59">
        <f>IF(OR(L27="",K27=""),"",MAX(L27-K27,0))</f>
        <v/>
      </c>
      <c r="N27" s="59">
        <f>IF(M27="","",IF(N(J27)=0,1,J27))</f>
        <v/>
      </c>
    </row>
    <row r="28">
      <c r="A28" s="53" t="n">
        <v>8</v>
      </c>
      <c r="B28" s="67" t="n"/>
      <c r="C28" s="55" t="n"/>
      <c r="D28" s="68" t="n"/>
      <c r="E28" s="68" t="n"/>
      <c r="F28" s="59">
        <f>IF(OR(E28="",D28=""),"",MAX(E28-D28,0))</f>
        <v/>
      </c>
      <c r="G28" s="59">
        <f>IF(F28="","",IF(N(C28)=0,1,C28))</f>
        <v/>
      </c>
      <c r="H28" s="53" t="n">
        <v>8</v>
      </c>
      <c r="I28" s="67" t="n"/>
      <c r="J28" s="55" t="n"/>
      <c r="K28" s="68" t="n"/>
      <c r="L28" s="68" t="n"/>
      <c r="M28" s="59">
        <f>IF(OR(L28="",K28=""),"",MAX(L28-K28,0))</f>
        <v/>
      </c>
      <c r="N28" s="59">
        <f>IF(M28="","",IF(N(J28)=0,1,J28))</f>
        <v/>
      </c>
    </row>
    <row r="29">
      <c r="A29" s="53" t="n">
        <v>9</v>
      </c>
      <c r="B29" s="67" t="n"/>
      <c r="C29" s="55" t="n"/>
      <c r="D29" s="68" t="n"/>
      <c r="E29" s="68" t="n"/>
      <c r="F29" s="59">
        <f>IF(OR(E29="",D29=""),"",MAX(E29-D29,0))</f>
        <v/>
      </c>
      <c r="G29" s="59">
        <f>IF(F29="","",IF(N(C29)=0,1,C29))</f>
        <v/>
      </c>
      <c r="H29" s="53" t="n">
        <v>9</v>
      </c>
      <c r="I29" s="67" t="n"/>
      <c r="J29" s="55" t="n"/>
      <c r="K29" s="68" t="n"/>
      <c r="L29" s="68" t="n"/>
      <c r="M29" s="59">
        <f>IF(OR(L29="",K29=""),"",MAX(L29-K29,0))</f>
        <v/>
      </c>
      <c r="N29" s="59">
        <f>IF(M29="","",IF(N(J29)=0,1,J29))</f>
        <v/>
      </c>
    </row>
    <row r="30">
      <c r="A30" s="53" t="n">
        <v>10</v>
      </c>
      <c r="B30" s="67" t="n"/>
      <c r="C30" s="55" t="n"/>
      <c r="D30" s="68" t="n"/>
      <c r="E30" s="68" t="n"/>
      <c r="F30" s="59">
        <f>IF(OR(E30="",D30=""),"",MAX(E30-D30,0))</f>
        <v/>
      </c>
      <c r="G30" s="59">
        <f>IF(F30="","",IF(N(C30)=0,1,C30))</f>
        <v/>
      </c>
      <c r="H30" s="53" t="n">
        <v>10</v>
      </c>
      <c r="I30" s="67" t="n"/>
      <c r="J30" s="55" t="n"/>
      <c r="K30" s="68" t="n"/>
      <c r="L30" s="68" t="n"/>
      <c r="M30" s="59">
        <f>IF(OR(L30="",K30=""),"",MAX(L30-K30,0))</f>
        <v/>
      </c>
      <c r="N30" s="59">
        <f>IF(M30="","",IF(N(J30)=0,1,J30))</f>
        <v/>
      </c>
    </row>
    <row r="31">
      <c r="A31" s="53" t="n">
        <v>11</v>
      </c>
      <c r="B31" s="67" t="n"/>
      <c r="C31" s="55" t="n"/>
      <c r="D31" s="68" t="n"/>
      <c r="E31" s="68" t="n"/>
      <c r="F31" s="59">
        <f>IF(OR(E31="",D31=""),"",MAX(E31-D31,0))</f>
        <v/>
      </c>
      <c r="G31" s="59">
        <f>IF(F31="","",IF(N(C31)=0,1,C31))</f>
        <v/>
      </c>
      <c r="H31" s="53" t="n">
        <v>11</v>
      </c>
      <c r="I31" s="67" t="n"/>
      <c r="J31" s="55" t="n"/>
      <c r="K31" s="68" t="n"/>
      <c r="L31" s="68" t="n"/>
      <c r="M31" s="59">
        <f>IF(OR(L31="",K31=""),"",MAX(L31-K31,0))</f>
        <v/>
      </c>
      <c r="N31" s="59">
        <f>IF(M31="","",IF(N(J31)=0,1,J31))</f>
        <v/>
      </c>
    </row>
    <row r="32">
      <c r="A32" s="53" t="n">
        <v>12</v>
      </c>
      <c r="B32" s="67" t="n"/>
      <c r="C32" s="55" t="n"/>
      <c r="D32" s="68" t="n"/>
      <c r="E32" s="68" t="n"/>
      <c r="F32" s="59">
        <f>IF(OR(E32="",D32=""),"",MAX(E32-D32,0))</f>
        <v/>
      </c>
      <c r="G32" s="59">
        <f>IF(F32="","",IF(N(C32)=0,1,C32))</f>
        <v/>
      </c>
      <c r="H32" s="53" t="n">
        <v>12</v>
      </c>
      <c r="I32" s="67" t="n"/>
      <c r="J32" s="55" t="n"/>
      <c r="K32" s="68" t="n"/>
      <c r="L32" s="68" t="n"/>
      <c r="M32" s="59">
        <f>IF(OR(L32="",K32=""),"",MAX(L32-K32,0))</f>
        <v/>
      </c>
      <c r="N32" s="59">
        <f>IF(M32="","",IF(N(J32)=0,1,J32))</f>
        <v/>
      </c>
    </row>
    <row r="33">
      <c r="A33" s="53" t="n">
        <v>13</v>
      </c>
      <c r="B33" s="67" t="n"/>
      <c r="C33" s="55" t="n"/>
      <c r="D33" s="68" t="n"/>
      <c r="E33" s="68" t="n"/>
      <c r="F33" s="59">
        <f>IF(OR(E33="",D33=""),"",MAX(E33-D33,0))</f>
        <v/>
      </c>
      <c r="G33" s="59">
        <f>IF(F33="","",IF(N(C33)=0,1,C33))</f>
        <v/>
      </c>
      <c r="H33" s="53" t="n">
        <v>13</v>
      </c>
      <c r="I33" s="67" t="n"/>
      <c r="J33" s="55" t="n"/>
      <c r="K33" s="68" t="n"/>
      <c r="L33" s="68" t="n"/>
      <c r="M33" s="59">
        <f>IF(OR(L33="",K33=""),"",MAX(L33-K33,0))</f>
        <v/>
      </c>
      <c r="N33" s="59">
        <f>IF(M33="","",IF(N(J33)=0,1,J33))</f>
        <v/>
      </c>
    </row>
    <row r="34">
      <c r="A34" s="53" t="n">
        <v>14</v>
      </c>
      <c r="B34" s="67" t="n"/>
      <c r="C34" s="55" t="n"/>
      <c r="D34" s="68" t="n"/>
      <c r="E34" s="68" t="n"/>
      <c r="F34" s="59">
        <f>IF(OR(E34="",D34=""),"",MAX(E34-D34,0))</f>
        <v/>
      </c>
      <c r="G34" s="59">
        <f>IF(F34="","",IF(N(C34)=0,1,C34))</f>
        <v/>
      </c>
      <c r="H34" s="53" t="n">
        <v>14</v>
      </c>
      <c r="I34" s="67" t="n"/>
      <c r="J34" s="55" t="n"/>
      <c r="K34" s="68" t="n"/>
      <c r="L34" s="68" t="n"/>
      <c r="M34" s="59">
        <f>IF(OR(L34="",K34=""),"",MAX(L34-K34,0))</f>
        <v/>
      </c>
      <c r="N34" s="59">
        <f>IF(M34="","",IF(N(J34)=0,1,J34))</f>
        <v/>
      </c>
    </row>
    <row r="35">
      <c r="A35" s="53" t="n">
        <v>15</v>
      </c>
      <c r="B35" s="67" t="n"/>
      <c r="C35" s="55" t="n"/>
      <c r="D35" s="68" t="n"/>
      <c r="E35" s="68" t="n"/>
      <c r="F35" s="59">
        <f>IF(OR(E35="",D35=""),"",MAX(E35-D35,0))</f>
        <v/>
      </c>
      <c r="G35" s="59">
        <f>IF(F35="","",IF(N(C35)=0,1,C35))</f>
        <v/>
      </c>
      <c r="H35" s="53" t="n">
        <v>15</v>
      </c>
      <c r="I35" s="67" t="n"/>
      <c r="J35" s="55" t="n"/>
      <c r="K35" s="68" t="n"/>
      <c r="L35" s="68" t="n"/>
      <c r="M35" s="59">
        <f>IF(OR(L35="",K35=""),"",MAX(L35-K35,0))</f>
        <v/>
      </c>
      <c r="N35" s="59">
        <f>IF(M35="","",IF(N(J35)=0,1,J35))</f>
        <v/>
      </c>
    </row>
    <row r="36">
      <c r="A36" s="53" t="n">
        <v>16</v>
      </c>
      <c r="B36" s="67" t="n"/>
      <c r="C36" s="55" t="n"/>
      <c r="D36" s="68" t="n"/>
      <c r="E36" s="68" t="n"/>
      <c r="F36" s="59">
        <f>IF(OR(E36="",D36=""),"",MAX(E36-D36,0))</f>
        <v/>
      </c>
      <c r="G36" s="59">
        <f>IF(F36="","",IF(N(C36)=0,1,C36))</f>
        <v/>
      </c>
      <c r="H36" s="53" t="n">
        <v>16</v>
      </c>
      <c r="I36" s="67" t="n"/>
      <c r="J36" s="55" t="n"/>
      <c r="K36" s="68" t="n"/>
      <c r="L36" s="68" t="n"/>
      <c r="M36" s="59">
        <f>IF(OR(L36="",K36=""),"",MAX(L36-K36,0))</f>
        <v/>
      </c>
      <c r="N36" s="59">
        <f>IF(M36="","",IF(N(J36)=0,1,J36))</f>
        <v/>
      </c>
    </row>
    <row r="37">
      <c r="A37" s="53" t="n">
        <v>17</v>
      </c>
      <c r="B37" s="67" t="n"/>
      <c r="C37" s="55" t="n"/>
      <c r="D37" s="68" t="n"/>
      <c r="E37" s="68" t="n"/>
      <c r="F37" s="59">
        <f>IF(OR(E37="",D37=""),"",MAX(E37-D37,0))</f>
        <v/>
      </c>
      <c r="G37" s="59">
        <f>IF(F37="","",IF(N(C37)=0,1,C37))</f>
        <v/>
      </c>
      <c r="H37" s="53" t="n">
        <v>17</v>
      </c>
      <c r="I37" s="67" t="n"/>
      <c r="J37" s="55" t="n"/>
      <c r="K37" s="68" t="n"/>
      <c r="L37" s="68" t="n"/>
      <c r="M37" s="59">
        <f>IF(OR(L37="",K37=""),"",MAX(L37-K37,0))</f>
        <v/>
      </c>
      <c r="N37" s="59">
        <f>IF(M37="","",IF(N(J37)=0,1,J37))</f>
        <v/>
      </c>
    </row>
    <row r="38">
      <c r="A38" s="53" t="n">
        <v>18</v>
      </c>
      <c r="B38" s="67" t="n"/>
      <c r="C38" s="55" t="n"/>
      <c r="D38" s="68" t="n"/>
      <c r="E38" s="68" t="n"/>
      <c r="F38" s="59">
        <f>IF(OR(E38="",D38=""),"",MAX(E38-D38,0))</f>
        <v/>
      </c>
      <c r="G38" s="59">
        <f>IF(F38="","",IF(N(C38)=0,1,C38))</f>
        <v/>
      </c>
      <c r="H38" s="53" t="n">
        <v>18</v>
      </c>
      <c r="I38" s="67" t="n"/>
      <c r="J38" s="55" t="n"/>
      <c r="K38" s="68" t="n"/>
      <c r="L38" s="68" t="n"/>
      <c r="M38" s="59">
        <f>IF(OR(L38="",K38=""),"",MAX(L38-K38,0))</f>
        <v/>
      </c>
      <c r="N38" s="59">
        <f>IF(M38="","",IF(N(J38)=0,1,J38))</f>
        <v/>
      </c>
    </row>
    <row r="39">
      <c r="A39" s="53" t="n">
        <v>19</v>
      </c>
      <c r="B39" s="67" t="n"/>
      <c r="C39" s="55" t="n"/>
      <c r="D39" s="68" t="n"/>
      <c r="E39" s="68" t="n"/>
      <c r="F39" s="59">
        <f>IF(OR(E39="",D39=""),"",MAX(E39-D39,0))</f>
        <v/>
      </c>
      <c r="G39" s="59">
        <f>IF(F39="","",IF(N(C39)=0,1,C39))</f>
        <v/>
      </c>
      <c r="H39" s="53" t="n">
        <v>19</v>
      </c>
      <c r="I39" s="67" t="n"/>
      <c r="J39" s="55" t="n"/>
      <c r="K39" s="68" t="n"/>
      <c r="L39" s="68" t="n"/>
      <c r="M39" s="59">
        <f>IF(OR(L39="",K39=""),"",MAX(L39-K39,0))</f>
        <v/>
      </c>
      <c r="N39" s="59">
        <f>IF(M39="","",IF(N(J39)=0,1,J39))</f>
        <v/>
      </c>
    </row>
    <row r="40">
      <c r="A40" s="53" t="n">
        <v>20</v>
      </c>
      <c r="B40" s="67" t="n"/>
      <c r="C40" s="55" t="n"/>
      <c r="D40" s="68" t="n"/>
      <c r="E40" s="68" t="n"/>
      <c r="F40" s="59">
        <f>IF(OR(E40="",D40=""),"",MAX(E40-D40,0))</f>
        <v/>
      </c>
      <c r="G40" s="59">
        <f>IF(F40="","",IF(N(C40)=0,1,C40))</f>
        <v/>
      </c>
      <c r="H40" s="53" t="n">
        <v>20</v>
      </c>
      <c r="I40" s="67" t="n"/>
      <c r="J40" s="55" t="n"/>
      <c r="K40" s="68" t="n"/>
      <c r="L40" s="68" t="n"/>
      <c r="M40" s="59">
        <f>IF(OR(L40="",K40=""),"",MAX(L40-K40,0))</f>
        <v/>
      </c>
      <c r="N40" s="59">
        <f>IF(M40="","",IF(N(J40)=0,1,J40))</f>
        <v/>
      </c>
    </row>
    <row r="41">
      <c r="A41" s="53" t="n">
        <v>21</v>
      </c>
      <c r="B41" s="67" t="n"/>
      <c r="C41" s="55" t="n"/>
      <c r="D41" s="68" t="n"/>
      <c r="E41" s="68" t="n"/>
      <c r="F41" s="59">
        <f>IF(OR(E41="",D41=""),"",MAX(E41-D41,0))</f>
        <v/>
      </c>
      <c r="G41" s="59">
        <f>IF(F41="","",IF(N(C41)=0,1,C41))</f>
        <v/>
      </c>
      <c r="H41" s="53" t="n">
        <v>21</v>
      </c>
      <c r="I41" s="67" t="n"/>
      <c r="J41" s="55" t="n"/>
      <c r="K41" s="68" t="n"/>
      <c r="L41" s="68" t="n"/>
      <c r="M41" s="59">
        <f>IF(OR(L41="",K41=""),"",MAX(L41-K41,0))</f>
        <v/>
      </c>
      <c r="N41" s="59">
        <f>IF(M41="","",IF(N(J41)=0,1,J41))</f>
        <v/>
      </c>
    </row>
    <row r="42">
      <c r="A42" s="53" t="n">
        <v>22</v>
      </c>
      <c r="B42" s="67" t="n"/>
      <c r="C42" s="55" t="n"/>
      <c r="D42" s="68" t="n"/>
      <c r="E42" s="68" t="n"/>
      <c r="F42" s="59">
        <f>IF(OR(E42="",D42=""),"",MAX(E42-D42,0))</f>
        <v/>
      </c>
      <c r="G42" s="59">
        <f>IF(F42="","",IF(N(C42)=0,1,C42))</f>
        <v/>
      </c>
      <c r="H42" s="53" t="n">
        <v>22</v>
      </c>
      <c r="I42" s="67" t="n"/>
      <c r="J42" s="55" t="n"/>
      <c r="K42" s="68" t="n"/>
      <c r="L42" s="68" t="n"/>
      <c r="M42" s="59">
        <f>IF(OR(L42="",K42=""),"",MAX(L42-K42,0))</f>
        <v/>
      </c>
      <c r="N42" s="59">
        <f>IF(M42="","",IF(N(J42)=0,1,J42))</f>
        <v/>
      </c>
    </row>
    <row r="43">
      <c r="A43" s="53" t="n">
        <v>23</v>
      </c>
      <c r="B43" s="67" t="n"/>
      <c r="C43" s="55" t="n"/>
      <c r="D43" s="68" t="n"/>
      <c r="E43" s="68" t="n"/>
      <c r="F43" s="59">
        <f>IF(OR(E43="",D43=""),"",MAX(E43-D43,0))</f>
        <v/>
      </c>
      <c r="G43" s="59">
        <f>IF(F43="","",IF(N(C43)=0,1,C43))</f>
        <v/>
      </c>
      <c r="H43" s="53" t="n">
        <v>23</v>
      </c>
      <c r="I43" s="67" t="n"/>
      <c r="J43" s="55" t="n"/>
      <c r="K43" s="68" t="n"/>
      <c r="L43" s="68" t="n"/>
      <c r="M43" s="59">
        <f>IF(OR(L43="",K43=""),"",MAX(L43-K43,0))</f>
        <v/>
      </c>
      <c r="N43" s="59">
        <f>IF(M43="","",IF(N(J43)=0,1,J43))</f>
        <v/>
      </c>
    </row>
    <row r="44">
      <c r="A44" s="53" t="n">
        <v>24</v>
      </c>
      <c r="B44" s="67" t="n"/>
      <c r="C44" s="55" t="n"/>
      <c r="D44" s="68" t="n"/>
      <c r="E44" s="68" t="n"/>
      <c r="F44" s="59">
        <f>IF(OR(E44="",D44=""),"",MAX(E44-D44,0))</f>
        <v/>
      </c>
      <c r="G44" s="59">
        <f>IF(F44="","",IF(N(C44)=0,1,C44))</f>
        <v/>
      </c>
      <c r="H44" s="53" t="n">
        <v>24</v>
      </c>
      <c r="I44" s="67" t="n"/>
      <c r="J44" s="55" t="n"/>
      <c r="K44" s="68" t="n"/>
      <c r="L44" s="68" t="n"/>
      <c r="M44" s="59">
        <f>IF(OR(L44="",K44=""),"",MAX(L44-K44,0))</f>
        <v/>
      </c>
      <c r="N44" s="59">
        <f>IF(M44="","",IF(N(J44)=0,1,J44))</f>
        <v/>
      </c>
    </row>
    <row r="45">
      <c r="A45" s="53" t="n">
        <v>25</v>
      </c>
      <c r="B45" s="67" t="n"/>
      <c r="C45" s="55" t="n"/>
      <c r="D45" s="68" t="n"/>
      <c r="E45" s="68" t="n"/>
      <c r="F45" s="59">
        <f>IF(OR(E45="",D45=""),"",MAX(E45-D45,0))</f>
        <v/>
      </c>
      <c r="G45" s="59">
        <f>IF(F45="","",IF(N(C45)=0,1,C45))</f>
        <v/>
      </c>
      <c r="H45" s="53" t="n">
        <v>25</v>
      </c>
      <c r="I45" s="67" t="n"/>
      <c r="J45" s="55" t="n"/>
      <c r="K45" s="68" t="n"/>
      <c r="L45" s="68" t="n"/>
      <c r="M45" s="59">
        <f>IF(OR(L45="",K45=""),"",MAX(L45-K45,0))</f>
        <v/>
      </c>
      <c r="N45" s="59">
        <f>IF(M45="","",IF(N(J45)=0,1,J45))</f>
        <v/>
      </c>
    </row>
    <row r="46">
      <c r="A46" s="53" t="n">
        <v>26</v>
      </c>
      <c r="B46" s="67" t="n"/>
      <c r="C46" s="55" t="n"/>
      <c r="D46" s="68" t="n"/>
      <c r="E46" s="68" t="n"/>
      <c r="F46" s="59">
        <f>IF(OR(E46="",D46=""),"",MAX(E46-D46,0))</f>
        <v/>
      </c>
      <c r="G46" s="59">
        <f>IF(F46="","",IF(N(C46)=0,1,C46))</f>
        <v/>
      </c>
      <c r="H46" s="53" t="n">
        <v>26</v>
      </c>
      <c r="I46" s="67" t="n"/>
      <c r="J46" s="55" t="n"/>
      <c r="K46" s="68" t="n"/>
      <c r="L46" s="68" t="n"/>
      <c r="M46" s="59">
        <f>IF(OR(L46="",K46=""),"",MAX(L46-K46,0))</f>
        <v/>
      </c>
      <c r="N46" s="59">
        <f>IF(M46="","",IF(N(J46)=0,1,J46))</f>
        <v/>
      </c>
    </row>
    <row r="47">
      <c r="A47" s="53" t="n">
        <v>27</v>
      </c>
      <c r="B47" s="67" t="n"/>
      <c r="C47" s="55" t="n"/>
      <c r="D47" s="68" t="n"/>
      <c r="E47" s="68" t="n"/>
      <c r="F47" s="59">
        <f>IF(OR(E47="",D47=""),"",MAX(E47-D47,0))</f>
        <v/>
      </c>
      <c r="G47" s="59">
        <f>IF(F47="","",IF(N(C47)=0,1,C47))</f>
        <v/>
      </c>
      <c r="H47" s="53" t="n">
        <v>27</v>
      </c>
      <c r="I47" s="67" t="n"/>
      <c r="J47" s="55" t="n"/>
      <c r="K47" s="68" t="n"/>
      <c r="L47" s="68" t="n"/>
      <c r="M47" s="59">
        <f>IF(OR(L47="",K47=""),"",MAX(L47-K47,0))</f>
        <v/>
      </c>
      <c r="N47" s="59">
        <f>IF(M47="","",IF(N(J47)=0,1,J47))</f>
        <v/>
      </c>
    </row>
    <row r="48">
      <c r="A48" s="53" t="n">
        <v>28</v>
      </c>
      <c r="B48" s="67" t="n"/>
      <c r="C48" s="55" t="n"/>
      <c r="D48" s="68" t="n"/>
      <c r="E48" s="68" t="n"/>
      <c r="F48" s="59">
        <f>IF(OR(E48="",D48=""),"",MAX(E48-D48,0))</f>
        <v/>
      </c>
      <c r="G48" s="59">
        <f>IF(F48="","",IF(N(C48)=0,1,C48))</f>
        <v/>
      </c>
      <c r="H48" s="53" t="n">
        <v>28</v>
      </c>
      <c r="I48" s="67" t="n"/>
      <c r="J48" s="55" t="n"/>
      <c r="K48" s="68" t="n"/>
      <c r="L48" s="68" t="n"/>
      <c r="M48" s="59">
        <f>IF(OR(L48="",K48=""),"",MAX(L48-K48,0))</f>
        <v/>
      </c>
      <c r="N48" s="59">
        <f>IF(M48="","",IF(N(J48)=0,1,J48))</f>
        <v/>
      </c>
    </row>
    <row r="49">
      <c r="A49" s="53" t="n">
        <v>29</v>
      </c>
      <c r="B49" s="67" t="n"/>
      <c r="C49" s="55" t="n"/>
      <c r="D49" s="68" t="n"/>
      <c r="E49" s="68" t="n"/>
      <c r="F49" s="59">
        <f>IF(OR(E49="",D49=""),"",MAX(E49-D49,0))</f>
        <v/>
      </c>
      <c r="G49" s="59">
        <f>IF(F49="","",IF(N(C49)=0,1,C49))</f>
        <v/>
      </c>
      <c r="H49" s="53" t="n">
        <v>29</v>
      </c>
      <c r="I49" s="67" t="n"/>
      <c r="J49" s="55" t="n"/>
      <c r="K49" s="68" t="n"/>
      <c r="L49" s="68" t="n"/>
      <c r="M49" s="59">
        <f>IF(OR(L49="",K49=""),"",MAX(L49-K49,0))</f>
        <v/>
      </c>
      <c r="N49" s="59">
        <f>IF(M49="","",IF(N(J49)=0,1,J49))</f>
        <v/>
      </c>
    </row>
    <row r="50">
      <c r="A50" s="53" t="n">
        <v>30</v>
      </c>
      <c r="B50" s="67" t="n"/>
      <c r="C50" s="55" t="n"/>
      <c r="D50" s="68" t="n"/>
      <c r="E50" s="68" t="n"/>
      <c r="F50" s="59">
        <f>IF(OR(E50="",D50=""),"",MAX(E50-D50,0))</f>
        <v/>
      </c>
      <c r="G50" s="59">
        <f>IF(F50="","",IF(N(C50)=0,1,C50))</f>
        <v/>
      </c>
      <c r="H50" s="53" t="n">
        <v>30</v>
      </c>
      <c r="I50" s="67" t="n"/>
      <c r="J50" s="55" t="n"/>
      <c r="K50" s="68" t="n"/>
      <c r="L50" s="68" t="n"/>
      <c r="M50" s="59">
        <f>IF(OR(L50="",K50=""),"",MAX(L50-K50,0))</f>
        <v/>
      </c>
      <c r="N50" s="59">
        <f>IF(M50="","",IF(N(J50)=0,1,J50))</f>
        <v/>
      </c>
    </row>
    <row r="51">
      <c r="A51" s="53" t="n">
        <v>31</v>
      </c>
      <c r="B51" s="67" t="n"/>
      <c r="C51" s="55" t="n"/>
      <c r="D51" s="68" t="n"/>
      <c r="E51" s="68" t="n"/>
      <c r="F51" s="59">
        <f>IF(OR(E51="",D51=""),"",MAX(E51-D51,0))</f>
        <v/>
      </c>
      <c r="G51" s="59">
        <f>IF(F51="","",IF(N(C51)=0,1,C51))</f>
        <v/>
      </c>
      <c r="H51" s="53" t="n">
        <v>31</v>
      </c>
      <c r="I51" s="67" t="n"/>
      <c r="J51" s="55" t="n"/>
      <c r="K51" s="68" t="n"/>
      <c r="L51" s="68" t="n"/>
      <c r="M51" s="59">
        <f>IF(OR(L51="",K51=""),"",MAX(L51-K51,0))</f>
        <v/>
      </c>
      <c r="N51" s="59">
        <f>IF(M51="","",IF(N(J51)=0,1,J51))</f>
        <v/>
      </c>
    </row>
    <row r="52">
      <c r="A52" s="53" t="n">
        <v>32</v>
      </c>
      <c r="B52" s="67" t="n"/>
      <c r="C52" s="55" t="n"/>
      <c r="D52" s="68" t="n"/>
      <c r="E52" s="68" t="n"/>
      <c r="F52" s="59">
        <f>IF(OR(E52="",D52=""),"",MAX(E52-D52,0))</f>
        <v/>
      </c>
      <c r="G52" s="59">
        <f>IF(F52="","",IF(N(C52)=0,1,C52))</f>
        <v/>
      </c>
      <c r="H52" s="53" t="n">
        <v>32</v>
      </c>
      <c r="I52" s="67" t="n"/>
      <c r="J52" s="55" t="n"/>
      <c r="K52" s="68" t="n"/>
      <c r="L52" s="68" t="n"/>
      <c r="M52" s="59">
        <f>IF(OR(L52="",K52=""),"",MAX(L52-K52,0))</f>
        <v/>
      </c>
      <c r="N52" s="59">
        <f>IF(M52="","",IF(N(J52)=0,1,J52))</f>
        <v/>
      </c>
    </row>
    <row r="53">
      <c r="A53" s="53" t="n">
        <v>33</v>
      </c>
      <c r="B53" s="67" t="n"/>
      <c r="C53" s="55" t="n"/>
      <c r="D53" s="68" t="n"/>
      <c r="E53" s="68" t="n"/>
      <c r="F53" s="59">
        <f>IF(OR(E53="",D53=""),"",MAX(E53-D53,0))</f>
        <v/>
      </c>
      <c r="G53" s="59">
        <f>IF(F53="","",IF(N(C53)=0,1,C53))</f>
        <v/>
      </c>
      <c r="H53" s="53" t="n">
        <v>33</v>
      </c>
      <c r="I53" s="67" t="n"/>
      <c r="J53" s="55" t="n"/>
      <c r="K53" s="68" t="n"/>
      <c r="L53" s="68" t="n"/>
      <c r="M53" s="59">
        <f>IF(OR(L53="",K53=""),"",MAX(L53-K53,0))</f>
        <v/>
      </c>
      <c r="N53" s="59">
        <f>IF(M53="","",IF(N(J53)=0,1,J53))</f>
        <v/>
      </c>
    </row>
    <row r="54">
      <c r="A54" s="53" t="n">
        <v>34</v>
      </c>
      <c r="B54" s="67" t="n"/>
      <c r="C54" s="55" t="n"/>
      <c r="D54" s="68" t="n"/>
      <c r="E54" s="68" t="n"/>
      <c r="F54" s="59">
        <f>IF(OR(E54="",D54=""),"",MAX(E54-D54,0))</f>
        <v/>
      </c>
      <c r="G54" s="59">
        <f>IF(F54="","",IF(N(C54)=0,1,C54))</f>
        <v/>
      </c>
      <c r="H54" s="53" t="n">
        <v>34</v>
      </c>
      <c r="I54" s="67" t="n"/>
      <c r="J54" s="55" t="n"/>
      <c r="K54" s="68" t="n"/>
      <c r="L54" s="68" t="n"/>
      <c r="M54" s="59">
        <f>IF(OR(L54="",K54=""),"",MAX(L54-K54,0))</f>
        <v/>
      </c>
      <c r="N54" s="59">
        <f>IF(M54="","",IF(N(J54)=0,1,J54))</f>
        <v/>
      </c>
    </row>
    <row r="55">
      <c r="A55" s="53" t="n">
        <v>35</v>
      </c>
      <c r="B55" s="67" t="n"/>
      <c r="C55" s="55" t="n"/>
      <c r="D55" s="68" t="n"/>
      <c r="E55" s="68" t="n"/>
      <c r="F55" s="59">
        <f>IF(OR(E55="",D55=""),"",MAX(E55-D55,0))</f>
        <v/>
      </c>
      <c r="G55" s="59">
        <f>IF(F55="","",IF(N(C55)=0,1,C55))</f>
        <v/>
      </c>
      <c r="H55" s="53" t="n">
        <v>35</v>
      </c>
      <c r="I55" s="67" t="n"/>
      <c r="J55" s="55" t="n"/>
      <c r="K55" s="68" t="n"/>
      <c r="L55" s="68" t="n"/>
      <c r="M55" s="59">
        <f>IF(OR(L55="",K55=""),"",MAX(L55-K55,0))</f>
        <v/>
      </c>
      <c r="N55" s="59">
        <f>IF(M55="","",IF(N(J55)=0,1,J55))</f>
        <v/>
      </c>
    </row>
    <row r="56">
      <c r="A56" s="53" t="n">
        <v>36</v>
      </c>
      <c r="B56" s="67" t="n"/>
      <c r="C56" s="55" t="n"/>
      <c r="D56" s="68" t="n"/>
      <c r="E56" s="68" t="n"/>
      <c r="F56" s="59">
        <f>IF(OR(E56="",D56=""),"",MAX(E56-D56,0))</f>
        <v/>
      </c>
      <c r="G56" s="59">
        <f>IF(F56="","",IF(N(C56)=0,1,C56))</f>
        <v/>
      </c>
      <c r="H56" s="53" t="n">
        <v>36</v>
      </c>
      <c r="I56" s="67" t="n"/>
      <c r="J56" s="55" t="n"/>
      <c r="K56" s="68" t="n"/>
      <c r="L56" s="68" t="n"/>
      <c r="M56" s="59">
        <f>IF(OR(L56="",K56=""),"",MAX(L56-K56,0))</f>
        <v/>
      </c>
      <c r="N56" s="59">
        <f>IF(M56="","",IF(N(J56)=0,1,J56))</f>
        <v/>
      </c>
    </row>
    <row r="57">
      <c r="A57" s="53" t="n">
        <v>37</v>
      </c>
      <c r="B57" s="67" t="n"/>
      <c r="C57" s="55" t="n"/>
      <c r="D57" s="68" t="n"/>
      <c r="E57" s="68" t="n"/>
      <c r="F57" s="59">
        <f>IF(OR(E57="",D57=""),"",MAX(E57-D57,0))</f>
        <v/>
      </c>
      <c r="G57" s="59">
        <f>IF(F57="","",IF(N(C57)=0,1,C57))</f>
        <v/>
      </c>
      <c r="H57" s="53" t="n">
        <v>37</v>
      </c>
      <c r="I57" s="67" t="n"/>
      <c r="J57" s="55" t="n"/>
      <c r="K57" s="68" t="n"/>
      <c r="L57" s="68" t="n"/>
      <c r="M57" s="59">
        <f>IF(OR(L57="",K57=""),"",MAX(L57-K57,0))</f>
        <v/>
      </c>
      <c r="N57" s="59">
        <f>IF(M57="","",IF(N(J57)=0,1,J57))</f>
        <v/>
      </c>
    </row>
    <row r="58">
      <c r="A58" s="53" t="n">
        <v>38</v>
      </c>
      <c r="B58" s="67" t="n"/>
      <c r="C58" s="55" t="n"/>
      <c r="D58" s="68" t="n"/>
      <c r="E58" s="68" t="n"/>
      <c r="F58" s="59">
        <f>IF(OR(E58="",D58=""),"",MAX(E58-D58,0))</f>
        <v/>
      </c>
      <c r="G58" s="59">
        <f>IF(F58="","",IF(N(C58)=0,1,C58))</f>
        <v/>
      </c>
      <c r="H58" s="53" t="n">
        <v>38</v>
      </c>
      <c r="I58" s="67" t="n"/>
      <c r="J58" s="55" t="n"/>
      <c r="K58" s="68" t="n"/>
      <c r="L58" s="68" t="n"/>
      <c r="M58" s="59">
        <f>IF(OR(L58="",K58=""),"",MAX(L58-K58,0))</f>
        <v/>
      </c>
      <c r="N58" s="59">
        <f>IF(M58="","",IF(N(J58)=0,1,J58))</f>
        <v/>
      </c>
    </row>
    <row r="59">
      <c r="A59" s="53" t="n">
        <v>39</v>
      </c>
      <c r="B59" s="67" t="n"/>
      <c r="C59" s="55" t="n"/>
      <c r="D59" s="68" t="n"/>
      <c r="E59" s="68" t="n"/>
      <c r="F59" s="59">
        <f>IF(OR(E59="",D59=""),"",MAX(E59-D59,0))</f>
        <v/>
      </c>
      <c r="G59" s="59">
        <f>IF(F59="","",IF(N(C59)=0,1,C59))</f>
        <v/>
      </c>
      <c r="H59" s="53" t="n">
        <v>39</v>
      </c>
      <c r="I59" s="67" t="n"/>
      <c r="J59" s="55" t="n"/>
      <c r="K59" s="68" t="n"/>
      <c r="L59" s="68" t="n"/>
      <c r="M59" s="59">
        <f>IF(OR(L59="",K59=""),"",MAX(L59-K59,0))</f>
        <v/>
      </c>
      <c r="N59" s="59">
        <f>IF(M59="","",IF(N(J59)=0,1,J59))</f>
        <v/>
      </c>
    </row>
    <row r="60">
      <c r="A60" s="53" t="n">
        <v>40</v>
      </c>
      <c r="B60" s="67" t="n"/>
      <c r="C60" s="55" t="n"/>
      <c r="D60" s="68" t="n"/>
      <c r="E60" s="68" t="n"/>
      <c r="F60" s="59">
        <f>IF(OR(E60="",D60=""),"",MAX(E60-D60,0))</f>
        <v/>
      </c>
      <c r="G60" s="59">
        <f>IF(F60="","",IF(N(C60)=0,1,C60))</f>
        <v/>
      </c>
      <c r="H60" s="53" t="n">
        <v>40</v>
      </c>
      <c r="I60" s="67" t="n"/>
      <c r="J60" s="55" t="n"/>
      <c r="K60" s="68" t="n"/>
      <c r="L60" s="68" t="n"/>
      <c r="M60" s="59">
        <f>IF(OR(L60="",K60=""),"",MAX(L60-K60,0))</f>
        <v/>
      </c>
      <c r="N60" s="59">
        <f>IF(M60="","",IF(N(J60)=0,1,J60))</f>
        <v/>
      </c>
    </row>
    <row r="61">
      <c r="A61" s="60" t="n"/>
      <c r="B61" s="61" t="inlineStr">
        <is>
          <t>Total</t>
        </is>
      </c>
      <c r="C61" s="65">
        <f>SUM(C21:C60)</f>
        <v/>
      </c>
      <c r="D61" s="60" t="n"/>
      <c r="E61" s="60" t="n"/>
      <c r="F61" s="62">
        <f>IF(N(G61)=0,"",SUMPRODUCT(F21:F60,G21:G60)/G61)</f>
        <v/>
      </c>
      <c r="G61" s="65">
        <f>SUM(G21:G60)</f>
        <v/>
      </c>
      <c r="H61" s="60" t="n"/>
      <c r="I61" s="61" t="inlineStr">
        <is>
          <t>Total</t>
        </is>
      </c>
      <c r="J61" s="65">
        <f>SUM(J21:J60)</f>
        <v/>
      </c>
      <c r="K61" s="60" t="n"/>
      <c r="L61" s="60" t="n"/>
      <c r="M61" s="62">
        <f>IF(N(N61)=0,"",SUMPRODUCT(M21:M60,N21:N60)/N61)</f>
        <v/>
      </c>
      <c r="N61" s="65">
        <f>SUM(N21:N60)</f>
        <v/>
      </c>
    </row>
    <row r="62">
      <c r="B62" s="66" t="inlineStr">
        <is>
          <t>Insert rows above the Total row as necessary and copy the formulas of the 'Time to Hire' and 'Posts Filled' columns into the new rows. Blank 'No. of Posts' on a filled position counts as 1 post.</t>
        </is>
      </c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IK1mo3n2o9zLr8wGMYhctA==" formatRows="0" sort="1" spinCount="100000" hashValue="BxtlLJhy4LlRWdVEjwrO4taZuxvjBDAYtqNtPV4JxIOlFYuzAu35PaQ28q55hr5X/YUx3By7q0/tp1NhUSsxrA=="/>
  <mergeCells count="24">
    <mergeCell ref="Y2:AA2"/>
    <mergeCell ref="Y1:AA1"/>
    <mergeCell ref="A18:C18"/>
    <mergeCell ref="Q1:S1"/>
    <mergeCell ref="D18:E19"/>
    <mergeCell ref="O1:O2"/>
    <mergeCell ref="A2:C2"/>
    <mergeCell ref="D1:F2"/>
    <mergeCell ref="W1:W2"/>
    <mergeCell ref="M18:N19"/>
    <mergeCell ref="H19:J19"/>
    <mergeCell ref="I1:K1"/>
    <mergeCell ref="AB1:AD2"/>
    <mergeCell ref="AE1:AE2"/>
    <mergeCell ref="Q2:S2"/>
    <mergeCell ref="A19:C19"/>
    <mergeCell ref="H18:J18"/>
    <mergeCell ref="K18:L19"/>
    <mergeCell ref="G1:G2"/>
    <mergeCell ref="L1:N2"/>
    <mergeCell ref="I2:K2"/>
    <mergeCell ref="A1:C1"/>
    <mergeCell ref="T1:V2"/>
    <mergeCell ref="F18:G19"/>
  </mergeCells>
  <dataValidations count="5">
    <dataValidation sqref="D21:E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C21:C60" showDropDown="0" showInputMessage="0" showErrorMessage="1" allowBlank="1" error="No. of Posts must be a whole number &gt;= 1." type="whole" operator="greaterThanOrEqual">
      <formula1>1</formula1>
    </dataValidation>
    <dataValidation sqref="K21:L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J21:J60" showDropDown="0" showInputMessage="0" showErrorMessage="1" allowBlank="1" error="No. of Posts must be a whole number &gt;= 1." type="whole" operator="greaterThanOrEqual">
      <formula1>1</formula1>
    </dataValidation>
    <dataValidation sqref="D4:D15" showDropDown="0" showInputMessage="0" showErrorMessage="1" allowBlank="1" error="Working days must be between 0 and 31." type="whole" operator="between">
      <formula1>0</formula1>
      <formula2>31</formula2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142"/>
  <sheetViews>
    <sheetView showGridLines="0" zoomScale="80" workbookViewId="0">
      <selection activeCell="A1" sqref="A1"/>
    </sheetView>
  </sheetViews>
  <sheetFormatPr baseColWidth="8" defaultRowHeight="15"/>
  <cols>
    <col width="5.5" customWidth="1" min="1" max="1"/>
    <col width="16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5.5" customWidth="1" min="8" max="8"/>
    <col width="16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3" customWidth="1" min="15" max="15"/>
    <col width="3" customWidth="1" min="16" max="16"/>
    <col width="5.5" customWidth="1" min="17" max="17"/>
    <col width="16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3" customWidth="1" min="24" max="24"/>
    <col width="5.5" customWidth="1" min="25" max="25"/>
    <col width="1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4.75" customHeight="1">
      <c r="A1" s="40" t="inlineStr">
        <is>
          <t>GCG Guatemala</t>
        </is>
      </c>
      <c r="B1" s="41" t="n"/>
      <c r="C1" s="42" t="n"/>
      <c r="D1" s="40" t="inlineStr">
        <is>
          <t>ABSENCE RATE YTD</t>
        </is>
      </c>
      <c r="E1" s="43" t="n"/>
      <c r="F1" s="44" t="n"/>
      <c r="G1" s="45">
        <f>G16</f>
        <v/>
      </c>
      <c r="I1" s="40">
        <f>A1</f>
        <v/>
      </c>
      <c r="J1" s="41" t="n"/>
      <c r="K1" s="42" t="n"/>
      <c r="L1" s="40" t="inlineStr">
        <is>
          <t>ABSENCE RATE YTD</t>
        </is>
      </c>
      <c r="M1" s="43" t="n"/>
      <c r="N1" s="44" t="n"/>
      <c r="O1" s="45">
        <f>O16</f>
        <v/>
      </c>
      <c r="Q1" s="40">
        <f>A1</f>
        <v/>
      </c>
      <c r="R1" s="41" t="n"/>
      <c r="S1" s="42" t="n"/>
      <c r="T1" s="40" t="inlineStr">
        <is>
          <t>ABSENCE RATE YTD</t>
        </is>
      </c>
      <c r="U1" s="43" t="n"/>
      <c r="V1" s="44" t="n"/>
      <c r="W1" s="45">
        <f>W16</f>
        <v/>
      </c>
      <c r="Y1" s="40">
        <f>A1</f>
        <v/>
      </c>
      <c r="Z1" s="41" t="n"/>
      <c r="AA1" s="42" t="n"/>
      <c r="AB1" s="40" t="inlineStr">
        <is>
          <t>TIME TO HIRE YTD (Days)</t>
        </is>
      </c>
      <c r="AC1" s="43" t="n"/>
      <c r="AD1" s="44" t="n"/>
      <c r="AE1" s="46">
        <f>AE16</f>
        <v/>
      </c>
    </row>
    <row r="2" ht="18.75" customHeight="1">
      <c r="A2" s="47" t="inlineStr">
        <is>
          <t>NON-CERTIFIED</t>
        </is>
      </c>
      <c r="B2" s="41" t="n"/>
      <c r="C2" s="42" t="n"/>
      <c r="D2" s="48" t="n"/>
      <c r="E2" s="49" t="n"/>
      <c r="F2" s="50" t="n"/>
      <c r="G2" s="51" t="n"/>
      <c r="I2" s="47" t="inlineStr">
        <is>
          <t>CERTIFIED</t>
        </is>
      </c>
      <c r="J2" s="41" t="n"/>
      <c r="K2" s="42" t="n"/>
      <c r="L2" s="48" t="n"/>
      <c r="M2" s="49" t="n"/>
      <c r="N2" s="50" t="n"/>
      <c r="O2" s="51" t="n"/>
      <c r="Q2" s="47" t="inlineStr">
        <is>
          <t>TOTAL ABSENCES</t>
        </is>
      </c>
      <c r="R2" s="41" t="n"/>
      <c r="S2" s="42" t="n"/>
      <c r="T2" s="48" t="n"/>
      <c r="U2" s="49" t="n"/>
      <c r="V2" s="50" t="n"/>
      <c r="W2" s="51" t="n"/>
      <c r="Y2" s="47" t="inlineStr">
        <is>
          <t>TIME TO HIRE BY MONTH</t>
        </is>
      </c>
      <c r="Z2" s="41" t="n"/>
      <c r="AA2" s="42" t="n"/>
      <c r="AB2" s="48" t="n"/>
      <c r="AC2" s="49" t="n"/>
      <c r="AD2" s="50" t="n"/>
      <c r="AE2" s="51" t="n"/>
    </row>
    <row r="3" ht="55" customHeight="1">
      <c r="A3" s="52" t="inlineStr">
        <is>
          <t>No.</t>
        </is>
      </c>
      <c r="B3" s="52" t="inlineStr">
        <is>
          <t>Month</t>
        </is>
      </c>
      <c r="C3" s="52" t="inlineStr">
        <is>
          <t>Total Employees</t>
        </is>
      </c>
      <c r="D3" s="52" t="inlineStr">
        <is>
          <t>Working Days</t>
        </is>
      </c>
      <c r="E3" s="52" t="inlineStr">
        <is>
          <t>Total Days Lost</t>
        </is>
      </c>
      <c r="F3" s="52" t="inlineStr">
        <is>
          <t>Total Working Days</t>
        </is>
      </c>
      <c r="G3" s="52" t="inlineStr">
        <is>
          <t>Monthly Absence Rate</t>
        </is>
      </c>
      <c r="I3" s="52" t="inlineStr">
        <is>
          <t>No.</t>
        </is>
      </c>
      <c r="J3" s="52" t="inlineStr">
        <is>
          <t>Month</t>
        </is>
      </c>
      <c r="K3" s="52" t="inlineStr">
        <is>
          <t>Total Employees</t>
        </is>
      </c>
      <c r="L3" s="52" t="inlineStr">
        <is>
          <t>Working Days</t>
        </is>
      </c>
      <c r="M3" s="52" t="inlineStr">
        <is>
          <t>Total Days Lost</t>
        </is>
      </c>
      <c r="N3" s="52" t="inlineStr">
        <is>
          <t>Total Working Days</t>
        </is>
      </c>
      <c r="O3" s="52" t="inlineStr">
        <is>
          <t>Monthly Absence Rate</t>
        </is>
      </c>
      <c r="Q3" s="52" t="inlineStr">
        <is>
          <t>No.</t>
        </is>
      </c>
      <c r="R3" s="52" t="inlineStr">
        <is>
          <t>Month</t>
        </is>
      </c>
      <c r="S3" s="52" t="inlineStr">
        <is>
          <t>Total Employees</t>
        </is>
      </c>
      <c r="T3" s="52" t="inlineStr">
        <is>
          <t>Working Days</t>
        </is>
      </c>
      <c r="U3" s="52" t="inlineStr">
        <is>
          <t>Total Days Lost</t>
        </is>
      </c>
      <c r="V3" s="52" t="inlineStr">
        <is>
          <t>Total Working Days</t>
        </is>
      </c>
      <c r="W3" s="52" t="inlineStr">
        <is>
          <t>Monthly Absence Rate</t>
        </is>
      </c>
      <c r="Y3" s="52" t="inlineStr">
        <is>
          <t>No.</t>
        </is>
      </c>
      <c r="Z3" s="52" t="inlineStr">
        <is>
          <t>Month</t>
        </is>
      </c>
      <c r="AA3" s="52" t="inlineStr">
        <is>
          <t>Permanent Posts Filled YTD</t>
        </is>
      </c>
      <c r="AB3" s="52" t="inlineStr">
        <is>
          <t>Permanent Time to Hire YTD (Days)</t>
        </is>
      </c>
      <c r="AC3" s="52" t="inlineStr">
        <is>
          <t>Temporary Posts Filled YTD</t>
        </is>
      </c>
      <c r="AD3" s="52" t="inlineStr">
        <is>
          <t>Temporary Time to Hire YTD (Days)</t>
        </is>
      </c>
      <c r="AE3" s="52" t="inlineStr">
        <is>
          <t>Total Time to Hire YTD (Days)</t>
        </is>
      </c>
    </row>
    <row r="4" ht="18.75" customHeight="1">
      <c r="A4" s="53" t="n">
        <v>1</v>
      </c>
      <c r="B4" s="54" t="n">
        <v>46296</v>
      </c>
      <c r="C4" s="53">
        <f>IF(OCT!$E$5="","",OCT!$E$5)</f>
        <v/>
      </c>
      <c r="D4" s="55" t="n"/>
      <c r="E4" s="56">
        <f>IF(OCT!$E$43="","",OCT!$E$43)</f>
        <v/>
      </c>
      <c r="F4" s="57">
        <f>IF(OR(C4="",D4=""),"",C4*D4)</f>
        <v/>
      </c>
      <c r="G4" s="58">
        <f>IF(OR(E4="",N(F4)=0),"",E4/F4)</f>
        <v/>
      </c>
      <c r="I4" s="53" t="n">
        <v>1</v>
      </c>
      <c r="J4" s="54" t="n">
        <v>46296</v>
      </c>
      <c r="K4" s="53">
        <f>C4</f>
        <v/>
      </c>
      <c r="L4" s="59">
        <f>IF(D4="","",D4)</f>
        <v/>
      </c>
      <c r="M4" s="56">
        <f>IF(OCT!$E$44="","",OCT!$E$44)</f>
        <v/>
      </c>
      <c r="N4" s="57">
        <f>IF(OR(K4="",L4=""),"",K4*L4)</f>
        <v/>
      </c>
      <c r="O4" s="58">
        <f>IF(OR(M4="",N(N4)=0),"",M4/N4)</f>
        <v/>
      </c>
      <c r="Q4" s="53" t="n">
        <v>1</v>
      </c>
      <c r="R4" s="54" t="n">
        <v>46296</v>
      </c>
      <c r="S4" s="53">
        <f>C4</f>
        <v/>
      </c>
      <c r="T4" s="59">
        <f>IF(D4="","",D4)</f>
        <v/>
      </c>
      <c r="U4" s="56">
        <f>IF(COUNT(E4,M4)=0,"",SUM(E4,M4))</f>
        <v/>
      </c>
      <c r="V4" s="57">
        <f>IF(OR(S4="",T4=""),"",S4*T4)</f>
        <v/>
      </c>
      <c r="W4" s="58">
        <f>IF(OR(U4="",N(V4)=0),"",U4/V4)</f>
        <v/>
      </c>
      <c r="Y4" s="53" t="n">
        <v>1</v>
      </c>
      <c r="Z4" s="54" t="n">
        <v>46296</v>
      </c>
      <c r="AA4" s="59">
        <f>IF($C4="","",SUMPRODUCT(($E$21:$E$140&gt;=$Z$4)*($E$21:$E$140&lt;=EOMONTH($Z4,0)),$G$21:$G$140))</f>
        <v/>
      </c>
      <c r="AB4" s="56">
        <f>IF(N(AA4)=0,"",SUMPRODUCT(($E$21:$E$140&gt;=$Z$4)*($E$21:$E$140&lt;=EOMONTH($Z4,0)),$F$21:$F$140,$G$21:$G$140)/AA4)</f>
        <v/>
      </c>
      <c r="AC4" s="59">
        <f>IF($C4="","",SUMPRODUCT(($L$21:$L$140&gt;=$Z$4)*($L$21:$L$140&lt;=EOMONTH($Z4,0)),$N$21:$N$140))</f>
        <v/>
      </c>
      <c r="AD4" s="56">
        <f>IF(N(AC4)=0,"",SUMPRODUCT(($L$21:$L$140&gt;=$Z$4)*($L$21:$L$140&lt;=EOMONTH($Z4,0)),$M$21:$M$140,$N$21:$N$140)/AC4)</f>
        <v/>
      </c>
      <c r="AE4" s="56">
        <f>IF(N(AA4)+N(AC4)=0,"",(N(AB4)*N(AA4)+N(AD4)*N(AC4))/(N(AA4)+N(AC4)))</f>
        <v/>
      </c>
    </row>
    <row r="5" ht="18.75" customHeight="1">
      <c r="A5" s="53" t="n">
        <v>2</v>
      </c>
      <c r="B5" s="54" t="n">
        <v>46327</v>
      </c>
      <c r="C5" s="53">
        <f>IF(NOV!$E$5="","",NOV!$E$5)</f>
        <v/>
      </c>
      <c r="D5" s="55" t="n"/>
      <c r="E5" s="56">
        <f>IF(NOV!$E$43="","",NOV!$E$43)</f>
        <v/>
      </c>
      <c r="F5" s="57">
        <f>IF(OR(C5="",D5=""),"",C5*D5)</f>
        <v/>
      </c>
      <c r="G5" s="58">
        <f>IF(OR(E5="",N(F5)=0),"",E5/F5)</f>
        <v/>
      </c>
      <c r="I5" s="53" t="n">
        <v>2</v>
      </c>
      <c r="J5" s="54" t="n">
        <v>46327</v>
      </c>
      <c r="K5" s="53">
        <f>C5</f>
        <v/>
      </c>
      <c r="L5" s="59">
        <f>IF(D5="","",D5)</f>
        <v/>
      </c>
      <c r="M5" s="56">
        <f>IF(NOV!$E$44="","",NOV!$E$44)</f>
        <v/>
      </c>
      <c r="N5" s="57">
        <f>IF(OR(K5="",L5=""),"",K5*L5)</f>
        <v/>
      </c>
      <c r="O5" s="58">
        <f>IF(OR(M5="",N(N5)=0),"",M5/N5)</f>
        <v/>
      </c>
      <c r="Q5" s="53" t="n">
        <v>2</v>
      </c>
      <c r="R5" s="54" t="n">
        <v>46327</v>
      </c>
      <c r="S5" s="53">
        <f>C5</f>
        <v/>
      </c>
      <c r="T5" s="59">
        <f>IF(D5="","",D5)</f>
        <v/>
      </c>
      <c r="U5" s="56">
        <f>IF(COUNT(E5,M5)=0,"",SUM(E5,M5))</f>
        <v/>
      </c>
      <c r="V5" s="57">
        <f>IF(OR(S5="",T5=""),"",S5*T5)</f>
        <v/>
      </c>
      <c r="W5" s="58">
        <f>IF(OR(U5="",N(V5)=0),"",U5/V5)</f>
        <v/>
      </c>
      <c r="Y5" s="53" t="n">
        <v>2</v>
      </c>
      <c r="Z5" s="54" t="n">
        <v>46327</v>
      </c>
      <c r="AA5" s="59">
        <f>IF($C5="","",SUMPRODUCT(($E$21:$E$140&gt;=$Z$4)*($E$21:$E$140&lt;=EOMONTH($Z5,0)),$G$21:$G$140))</f>
        <v/>
      </c>
      <c r="AB5" s="56">
        <f>IF(N(AA5)=0,"",SUMPRODUCT(($E$21:$E$140&gt;=$Z$4)*($E$21:$E$140&lt;=EOMONTH($Z5,0)),$F$21:$F$140,$G$21:$G$140)/AA5)</f>
        <v/>
      </c>
      <c r="AC5" s="59">
        <f>IF($C5="","",SUMPRODUCT(($L$21:$L$140&gt;=$Z$4)*($L$21:$L$140&lt;=EOMONTH($Z5,0)),$N$21:$N$140))</f>
        <v/>
      </c>
      <c r="AD5" s="56">
        <f>IF(N(AC5)=0,"",SUMPRODUCT(($L$21:$L$140&gt;=$Z$4)*($L$21:$L$140&lt;=EOMONTH($Z5,0)),$M$21:$M$140,$N$21:$N$140)/AC5)</f>
        <v/>
      </c>
      <c r="AE5" s="56">
        <f>IF(N(AA5)+N(AC5)=0,"",(N(AB5)*N(AA5)+N(AD5)*N(AC5))/(N(AA5)+N(AC5)))</f>
        <v/>
      </c>
    </row>
    <row r="6" ht="18.75" customHeight="1">
      <c r="A6" s="53" t="n">
        <v>3</v>
      </c>
      <c r="B6" s="54" t="n">
        <v>46357</v>
      </c>
      <c r="C6" s="53">
        <f>IF(DEC!$E$5="","",DEC!$E$5)</f>
        <v/>
      </c>
      <c r="D6" s="55" t="n"/>
      <c r="E6" s="56">
        <f>IF(DEC!$E$43="","",DEC!$E$43)</f>
        <v/>
      </c>
      <c r="F6" s="57">
        <f>IF(OR(C6="",D6=""),"",C6*D6)</f>
        <v/>
      </c>
      <c r="G6" s="58">
        <f>IF(OR(E6="",N(F6)=0),"",E6/F6)</f>
        <v/>
      </c>
      <c r="I6" s="53" t="n">
        <v>3</v>
      </c>
      <c r="J6" s="54" t="n">
        <v>46357</v>
      </c>
      <c r="K6" s="53">
        <f>C6</f>
        <v/>
      </c>
      <c r="L6" s="59">
        <f>IF(D6="","",D6)</f>
        <v/>
      </c>
      <c r="M6" s="56">
        <f>IF(DEC!$E$44="","",DEC!$E$44)</f>
        <v/>
      </c>
      <c r="N6" s="57">
        <f>IF(OR(K6="",L6=""),"",K6*L6)</f>
        <v/>
      </c>
      <c r="O6" s="58">
        <f>IF(OR(M6="",N(N6)=0),"",M6/N6)</f>
        <v/>
      </c>
      <c r="Q6" s="53" t="n">
        <v>3</v>
      </c>
      <c r="R6" s="54" t="n">
        <v>46357</v>
      </c>
      <c r="S6" s="53">
        <f>C6</f>
        <v/>
      </c>
      <c r="T6" s="59">
        <f>IF(D6="","",D6)</f>
        <v/>
      </c>
      <c r="U6" s="56">
        <f>IF(COUNT(E6,M6)=0,"",SUM(E6,M6))</f>
        <v/>
      </c>
      <c r="V6" s="57">
        <f>IF(OR(S6="",T6=""),"",S6*T6)</f>
        <v/>
      </c>
      <c r="W6" s="58">
        <f>IF(OR(U6="",N(V6)=0),"",U6/V6)</f>
        <v/>
      </c>
      <c r="Y6" s="53" t="n">
        <v>3</v>
      </c>
      <c r="Z6" s="54" t="n">
        <v>46357</v>
      </c>
      <c r="AA6" s="59">
        <f>IF($C6="","",SUMPRODUCT(($E$21:$E$140&gt;=$Z$4)*($E$21:$E$140&lt;=EOMONTH($Z6,0)),$G$21:$G$140))</f>
        <v/>
      </c>
      <c r="AB6" s="56">
        <f>IF(N(AA6)=0,"",SUMPRODUCT(($E$21:$E$140&gt;=$Z$4)*($E$21:$E$140&lt;=EOMONTH($Z6,0)),$F$21:$F$140,$G$21:$G$140)/AA6)</f>
        <v/>
      </c>
      <c r="AC6" s="59">
        <f>IF($C6="","",SUMPRODUCT(($L$21:$L$140&gt;=$Z$4)*($L$21:$L$140&lt;=EOMONTH($Z6,0)),$N$21:$N$140))</f>
        <v/>
      </c>
      <c r="AD6" s="56">
        <f>IF(N(AC6)=0,"",SUMPRODUCT(($L$21:$L$140&gt;=$Z$4)*($L$21:$L$140&lt;=EOMONTH($Z6,0)),$M$21:$M$140,$N$21:$N$140)/AC6)</f>
        <v/>
      </c>
      <c r="AE6" s="56">
        <f>IF(N(AA6)+N(AC6)=0,"",(N(AB6)*N(AA6)+N(AD6)*N(AC6))/(N(AA6)+N(AC6)))</f>
        <v/>
      </c>
    </row>
    <row r="7" ht="18.75" customHeight="1">
      <c r="A7" s="53" t="n">
        <v>4</v>
      </c>
      <c r="B7" s="54" t="n">
        <v>46388</v>
      </c>
      <c r="C7" s="53">
        <f>IF(JAN!$E$5="","",JAN!$E$5)</f>
        <v/>
      </c>
      <c r="D7" s="55" t="n"/>
      <c r="E7" s="56">
        <f>IF(JAN!$E$43="","",JAN!$E$43)</f>
        <v/>
      </c>
      <c r="F7" s="57">
        <f>IF(OR(C7="",D7=""),"",C7*D7)</f>
        <v/>
      </c>
      <c r="G7" s="58">
        <f>IF(OR(E7="",N(F7)=0),"",E7/F7)</f>
        <v/>
      </c>
      <c r="I7" s="53" t="n">
        <v>4</v>
      </c>
      <c r="J7" s="54" t="n">
        <v>46388</v>
      </c>
      <c r="K7" s="53">
        <f>C7</f>
        <v/>
      </c>
      <c r="L7" s="59">
        <f>IF(D7="","",D7)</f>
        <v/>
      </c>
      <c r="M7" s="56">
        <f>IF(JAN!$E$44="","",JAN!$E$44)</f>
        <v/>
      </c>
      <c r="N7" s="57">
        <f>IF(OR(K7="",L7=""),"",K7*L7)</f>
        <v/>
      </c>
      <c r="O7" s="58">
        <f>IF(OR(M7="",N(N7)=0),"",M7/N7)</f>
        <v/>
      </c>
      <c r="Q7" s="53" t="n">
        <v>4</v>
      </c>
      <c r="R7" s="54" t="n">
        <v>46388</v>
      </c>
      <c r="S7" s="53">
        <f>C7</f>
        <v/>
      </c>
      <c r="T7" s="59">
        <f>IF(D7="","",D7)</f>
        <v/>
      </c>
      <c r="U7" s="56">
        <f>IF(COUNT(E7,M7)=0,"",SUM(E7,M7))</f>
        <v/>
      </c>
      <c r="V7" s="57">
        <f>IF(OR(S7="",T7=""),"",S7*T7)</f>
        <v/>
      </c>
      <c r="W7" s="58">
        <f>IF(OR(U7="",N(V7)=0),"",U7/V7)</f>
        <v/>
      </c>
      <c r="Y7" s="53" t="n">
        <v>4</v>
      </c>
      <c r="Z7" s="54" t="n">
        <v>46388</v>
      </c>
      <c r="AA7" s="59">
        <f>IF($C7="","",SUMPRODUCT(($E$21:$E$140&gt;=$Z$4)*($E$21:$E$140&lt;=EOMONTH($Z7,0)),$G$21:$G$140))</f>
        <v/>
      </c>
      <c r="AB7" s="56">
        <f>IF(N(AA7)=0,"",SUMPRODUCT(($E$21:$E$140&gt;=$Z$4)*($E$21:$E$140&lt;=EOMONTH($Z7,0)),$F$21:$F$140,$G$21:$G$140)/AA7)</f>
        <v/>
      </c>
      <c r="AC7" s="59">
        <f>IF($C7="","",SUMPRODUCT(($L$21:$L$140&gt;=$Z$4)*($L$21:$L$140&lt;=EOMONTH($Z7,0)),$N$21:$N$140))</f>
        <v/>
      </c>
      <c r="AD7" s="56">
        <f>IF(N(AC7)=0,"",SUMPRODUCT(($L$21:$L$140&gt;=$Z$4)*($L$21:$L$140&lt;=EOMONTH($Z7,0)),$M$21:$M$140,$N$21:$N$140)/AC7)</f>
        <v/>
      </c>
      <c r="AE7" s="56">
        <f>IF(N(AA7)+N(AC7)=0,"",(N(AB7)*N(AA7)+N(AD7)*N(AC7))/(N(AA7)+N(AC7)))</f>
        <v/>
      </c>
    </row>
    <row r="8" ht="18.75" customHeight="1">
      <c r="A8" s="53" t="n">
        <v>5</v>
      </c>
      <c r="B8" s="54" t="n">
        <v>46419</v>
      </c>
      <c r="C8" s="53">
        <f>IF(FEB!$E$5="","",FEB!$E$5)</f>
        <v/>
      </c>
      <c r="D8" s="55" t="n"/>
      <c r="E8" s="56">
        <f>IF(FEB!$E$43="","",FEB!$E$43)</f>
        <v/>
      </c>
      <c r="F8" s="57">
        <f>IF(OR(C8="",D8=""),"",C8*D8)</f>
        <v/>
      </c>
      <c r="G8" s="58">
        <f>IF(OR(E8="",N(F8)=0),"",E8/F8)</f>
        <v/>
      </c>
      <c r="I8" s="53" t="n">
        <v>5</v>
      </c>
      <c r="J8" s="54" t="n">
        <v>46419</v>
      </c>
      <c r="K8" s="53">
        <f>C8</f>
        <v/>
      </c>
      <c r="L8" s="59">
        <f>IF(D8="","",D8)</f>
        <v/>
      </c>
      <c r="M8" s="56">
        <f>IF(FEB!$E$44="","",FEB!$E$44)</f>
        <v/>
      </c>
      <c r="N8" s="57">
        <f>IF(OR(K8="",L8=""),"",K8*L8)</f>
        <v/>
      </c>
      <c r="O8" s="58">
        <f>IF(OR(M8="",N(N8)=0),"",M8/N8)</f>
        <v/>
      </c>
      <c r="Q8" s="53" t="n">
        <v>5</v>
      </c>
      <c r="R8" s="54" t="n">
        <v>46419</v>
      </c>
      <c r="S8" s="53">
        <f>C8</f>
        <v/>
      </c>
      <c r="T8" s="59">
        <f>IF(D8="","",D8)</f>
        <v/>
      </c>
      <c r="U8" s="56">
        <f>IF(COUNT(E8,M8)=0,"",SUM(E8,M8))</f>
        <v/>
      </c>
      <c r="V8" s="57">
        <f>IF(OR(S8="",T8=""),"",S8*T8)</f>
        <v/>
      </c>
      <c r="W8" s="58">
        <f>IF(OR(U8="",N(V8)=0),"",U8/V8)</f>
        <v/>
      </c>
      <c r="Y8" s="53" t="n">
        <v>5</v>
      </c>
      <c r="Z8" s="54" t="n">
        <v>46419</v>
      </c>
      <c r="AA8" s="59">
        <f>IF($C8="","",SUMPRODUCT(($E$21:$E$140&gt;=$Z$4)*($E$21:$E$140&lt;=EOMONTH($Z8,0)),$G$21:$G$140))</f>
        <v/>
      </c>
      <c r="AB8" s="56">
        <f>IF(N(AA8)=0,"",SUMPRODUCT(($E$21:$E$140&gt;=$Z$4)*($E$21:$E$140&lt;=EOMONTH($Z8,0)),$F$21:$F$140,$G$21:$G$140)/AA8)</f>
        <v/>
      </c>
      <c r="AC8" s="59">
        <f>IF($C8="","",SUMPRODUCT(($L$21:$L$140&gt;=$Z$4)*($L$21:$L$140&lt;=EOMONTH($Z8,0)),$N$21:$N$140))</f>
        <v/>
      </c>
      <c r="AD8" s="56">
        <f>IF(N(AC8)=0,"",SUMPRODUCT(($L$21:$L$140&gt;=$Z$4)*($L$21:$L$140&lt;=EOMONTH($Z8,0)),$M$21:$M$140,$N$21:$N$140)/AC8)</f>
        <v/>
      </c>
      <c r="AE8" s="56">
        <f>IF(N(AA8)+N(AC8)=0,"",(N(AB8)*N(AA8)+N(AD8)*N(AC8))/(N(AA8)+N(AC8)))</f>
        <v/>
      </c>
    </row>
    <row r="9" ht="18.75" customHeight="1">
      <c r="A9" s="53" t="n">
        <v>6</v>
      </c>
      <c r="B9" s="54" t="n">
        <v>46447</v>
      </c>
      <c r="C9" s="53">
        <f>IF(MAR!$E$5="","",MAR!$E$5)</f>
        <v/>
      </c>
      <c r="D9" s="55" t="n"/>
      <c r="E9" s="56">
        <f>IF(MAR!$E$43="","",MAR!$E$43)</f>
        <v/>
      </c>
      <c r="F9" s="57">
        <f>IF(OR(C9="",D9=""),"",C9*D9)</f>
        <v/>
      </c>
      <c r="G9" s="58">
        <f>IF(OR(E9="",N(F9)=0),"",E9/F9)</f>
        <v/>
      </c>
      <c r="I9" s="53" t="n">
        <v>6</v>
      </c>
      <c r="J9" s="54" t="n">
        <v>46447</v>
      </c>
      <c r="K9" s="53">
        <f>C9</f>
        <v/>
      </c>
      <c r="L9" s="59">
        <f>IF(D9="","",D9)</f>
        <v/>
      </c>
      <c r="M9" s="56">
        <f>IF(MAR!$E$44="","",MAR!$E$44)</f>
        <v/>
      </c>
      <c r="N9" s="57">
        <f>IF(OR(K9="",L9=""),"",K9*L9)</f>
        <v/>
      </c>
      <c r="O9" s="58">
        <f>IF(OR(M9="",N(N9)=0),"",M9/N9)</f>
        <v/>
      </c>
      <c r="Q9" s="53" t="n">
        <v>6</v>
      </c>
      <c r="R9" s="54" t="n">
        <v>46447</v>
      </c>
      <c r="S9" s="53">
        <f>C9</f>
        <v/>
      </c>
      <c r="T9" s="59">
        <f>IF(D9="","",D9)</f>
        <v/>
      </c>
      <c r="U9" s="56">
        <f>IF(COUNT(E9,M9)=0,"",SUM(E9,M9))</f>
        <v/>
      </c>
      <c r="V9" s="57">
        <f>IF(OR(S9="",T9=""),"",S9*T9)</f>
        <v/>
      </c>
      <c r="W9" s="58">
        <f>IF(OR(U9="",N(V9)=0),"",U9/V9)</f>
        <v/>
      </c>
      <c r="Y9" s="53" t="n">
        <v>6</v>
      </c>
      <c r="Z9" s="54" t="n">
        <v>46447</v>
      </c>
      <c r="AA9" s="59">
        <f>IF($C9="","",SUMPRODUCT(($E$21:$E$140&gt;=$Z$4)*($E$21:$E$140&lt;=EOMONTH($Z9,0)),$G$21:$G$140))</f>
        <v/>
      </c>
      <c r="AB9" s="56">
        <f>IF(N(AA9)=0,"",SUMPRODUCT(($E$21:$E$140&gt;=$Z$4)*($E$21:$E$140&lt;=EOMONTH($Z9,0)),$F$21:$F$140,$G$21:$G$140)/AA9)</f>
        <v/>
      </c>
      <c r="AC9" s="59">
        <f>IF($C9="","",SUMPRODUCT(($L$21:$L$140&gt;=$Z$4)*($L$21:$L$140&lt;=EOMONTH($Z9,0)),$N$21:$N$140))</f>
        <v/>
      </c>
      <c r="AD9" s="56">
        <f>IF(N(AC9)=0,"",SUMPRODUCT(($L$21:$L$140&gt;=$Z$4)*($L$21:$L$140&lt;=EOMONTH($Z9,0)),$M$21:$M$140,$N$21:$N$140)/AC9)</f>
        <v/>
      </c>
      <c r="AE9" s="56">
        <f>IF(N(AA9)+N(AC9)=0,"",(N(AB9)*N(AA9)+N(AD9)*N(AC9))/(N(AA9)+N(AC9)))</f>
        <v/>
      </c>
    </row>
    <row r="10" ht="18.75" customHeight="1">
      <c r="A10" s="53" t="n">
        <v>7</v>
      </c>
      <c r="B10" s="54" t="n">
        <v>46478</v>
      </c>
      <c r="C10" s="53">
        <f>IF(APR!$E$5="","",APR!$E$5)</f>
        <v/>
      </c>
      <c r="D10" s="55" t="n"/>
      <c r="E10" s="56">
        <f>IF(APR!$E$43="","",APR!$E$43)</f>
        <v/>
      </c>
      <c r="F10" s="57">
        <f>IF(OR(C10="",D10=""),"",C10*D10)</f>
        <v/>
      </c>
      <c r="G10" s="58">
        <f>IF(OR(E10="",N(F10)=0),"",E10/F10)</f>
        <v/>
      </c>
      <c r="I10" s="53" t="n">
        <v>7</v>
      </c>
      <c r="J10" s="54" t="n">
        <v>46478</v>
      </c>
      <c r="K10" s="53">
        <f>C10</f>
        <v/>
      </c>
      <c r="L10" s="59">
        <f>IF(D10="","",D10)</f>
        <v/>
      </c>
      <c r="M10" s="56">
        <f>IF(APR!$E$44="","",APR!$E$44)</f>
        <v/>
      </c>
      <c r="N10" s="57">
        <f>IF(OR(K10="",L10=""),"",K10*L10)</f>
        <v/>
      </c>
      <c r="O10" s="58">
        <f>IF(OR(M10="",N(N10)=0),"",M10/N10)</f>
        <v/>
      </c>
      <c r="Q10" s="53" t="n">
        <v>7</v>
      </c>
      <c r="R10" s="54" t="n">
        <v>46478</v>
      </c>
      <c r="S10" s="53">
        <f>C10</f>
        <v/>
      </c>
      <c r="T10" s="59">
        <f>IF(D10="","",D10)</f>
        <v/>
      </c>
      <c r="U10" s="56">
        <f>IF(COUNT(E10,M10)=0,"",SUM(E10,M10))</f>
        <v/>
      </c>
      <c r="V10" s="57">
        <f>IF(OR(S10="",T10=""),"",S10*T10)</f>
        <v/>
      </c>
      <c r="W10" s="58">
        <f>IF(OR(U10="",N(V10)=0),"",U10/V10)</f>
        <v/>
      </c>
      <c r="Y10" s="53" t="n">
        <v>7</v>
      </c>
      <c r="Z10" s="54" t="n">
        <v>46478</v>
      </c>
      <c r="AA10" s="59">
        <f>IF($C10="","",SUMPRODUCT(($E$21:$E$140&gt;=$Z$4)*($E$21:$E$140&lt;=EOMONTH($Z10,0)),$G$21:$G$140))</f>
        <v/>
      </c>
      <c r="AB10" s="56">
        <f>IF(N(AA10)=0,"",SUMPRODUCT(($E$21:$E$140&gt;=$Z$4)*($E$21:$E$140&lt;=EOMONTH($Z10,0)),$F$21:$F$140,$G$21:$G$140)/AA10)</f>
        <v/>
      </c>
      <c r="AC10" s="59">
        <f>IF($C10="","",SUMPRODUCT(($L$21:$L$140&gt;=$Z$4)*($L$21:$L$140&lt;=EOMONTH($Z10,0)),$N$21:$N$140))</f>
        <v/>
      </c>
      <c r="AD10" s="56">
        <f>IF(N(AC10)=0,"",SUMPRODUCT(($L$21:$L$140&gt;=$Z$4)*($L$21:$L$140&lt;=EOMONTH($Z10,0)),$M$21:$M$140,$N$21:$N$140)/AC10)</f>
        <v/>
      </c>
      <c r="AE10" s="56">
        <f>IF(N(AA10)+N(AC10)=0,"",(N(AB10)*N(AA10)+N(AD10)*N(AC10))/(N(AA10)+N(AC10)))</f>
        <v/>
      </c>
    </row>
    <row r="11" ht="18.75" customHeight="1">
      <c r="A11" s="53" t="n">
        <v>8</v>
      </c>
      <c r="B11" s="54" t="n">
        <v>46508</v>
      </c>
      <c r="C11" s="53">
        <f>IF(MAY!$E$5="","",MAY!$E$5)</f>
        <v/>
      </c>
      <c r="D11" s="55" t="n"/>
      <c r="E11" s="56">
        <f>IF(MAY!$E$43="","",MAY!$E$43)</f>
        <v/>
      </c>
      <c r="F11" s="57">
        <f>IF(OR(C11="",D11=""),"",C11*D11)</f>
        <v/>
      </c>
      <c r="G11" s="58">
        <f>IF(OR(E11="",N(F11)=0),"",E11/F11)</f>
        <v/>
      </c>
      <c r="I11" s="53" t="n">
        <v>8</v>
      </c>
      <c r="J11" s="54" t="n">
        <v>46508</v>
      </c>
      <c r="K11" s="53">
        <f>C11</f>
        <v/>
      </c>
      <c r="L11" s="59">
        <f>IF(D11="","",D11)</f>
        <v/>
      </c>
      <c r="M11" s="56">
        <f>IF(MAY!$E$44="","",MAY!$E$44)</f>
        <v/>
      </c>
      <c r="N11" s="57">
        <f>IF(OR(K11="",L11=""),"",K11*L11)</f>
        <v/>
      </c>
      <c r="O11" s="58">
        <f>IF(OR(M11="",N(N11)=0),"",M11/N11)</f>
        <v/>
      </c>
      <c r="Q11" s="53" t="n">
        <v>8</v>
      </c>
      <c r="R11" s="54" t="n">
        <v>46508</v>
      </c>
      <c r="S11" s="53">
        <f>C11</f>
        <v/>
      </c>
      <c r="T11" s="59">
        <f>IF(D11="","",D11)</f>
        <v/>
      </c>
      <c r="U11" s="56">
        <f>IF(COUNT(E11,M11)=0,"",SUM(E11,M11))</f>
        <v/>
      </c>
      <c r="V11" s="57">
        <f>IF(OR(S11="",T11=""),"",S11*T11)</f>
        <v/>
      </c>
      <c r="W11" s="58">
        <f>IF(OR(U11="",N(V11)=0),"",U11/V11)</f>
        <v/>
      </c>
      <c r="Y11" s="53" t="n">
        <v>8</v>
      </c>
      <c r="Z11" s="54" t="n">
        <v>46508</v>
      </c>
      <c r="AA11" s="59">
        <f>IF($C11="","",SUMPRODUCT(($E$21:$E$140&gt;=$Z$4)*($E$21:$E$140&lt;=EOMONTH($Z11,0)),$G$21:$G$140))</f>
        <v/>
      </c>
      <c r="AB11" s="56">
        <f>IF(N(AA11)=0,"",SUMPRODUCT(($E$21:$E$140&gt;=$Z$4)*($E$21:$E$140&lt;=EOMONTH($Z11,0)),$F$21:$F$140,$G$21:$G$140)/AA11)</f>
        <v/>
      </c>
      <c r="AC11" s="59">
        <f>IF($C11="","",SUMPRODUCT(($L$21:$L$140&gt;=$Z$4)*($L$21:$L$140&lt;=EOMONTH($Z11,0)),$N$21:$N$140))</f>
        <v/>
      </c>
      <c r="AD11" s="56">
        <f>IF(N(AC11)=0,"",SUMPRODUCT(($L$21:$L$140&gt;=$Z$4)*($L$21:$L$140&lt;=EOMONTH($Z11,0)),$M$21:$M$140,$N$21:$N$140)/AC11)</f>
        <v/>
      </c>
      <c r="AE11" s="56">
        <f>IF(N(AA11)+N(AC11)=0,"",(N(AB11)*N(AA11)+N(AD11)*N(AC11))/(N(AA11)+N(AC11)))</f>
        <v/>
      </c>
    </row>
    <row r="12" ht="18.75" customHeight="1">
      <c r="A12" s="53" t="n">
        <v>9</v>
      </c>
      <c r="B12" s="54" t="n">
        <v>46539</v>
      </c>
      <c r="C12" s="53">
        <f>IF(JUN!$E$5="","",JUN!$E$5)</f>
        <v/>
      </c>
      <c r="D12" s="55" t="n"/>
      <c r="E12" s="56">
        <f>IF(JUN!$E$43="","",JUN!$E$43)</f>
        <v/>
      </c>
      <c r="F12" s="57">
        <f>IF(OR(C12="",D12=""),"",C12*D12)</f>
        <v/>
      </c>
      <c r="G12" s="58">
        <f>IF(OR(E12="",N(F12)=0),"",E12/F12)</f>
        <v/>
      </c>
      <c r="I12" s="53" t="n">
        <v>9</v>
      </c>
      <c r="J12" s="54" t="n">
        <v>46539</v>
      </c>
      <c r="K12" s="53">
        <f>C12</f>
        <v/>
      </c>
      <c r="L12" s="59">
        <f>IF(D12="","",D12)</f>
        <v/>
      </c>
      <c r="M12" s="56">
        <f>IF(JUN!$E$44="","",JUN!$E$44)</f>
        <v/>
      </c>
      <c r="N12" s="57">
        <f>IF(OR(K12="",L12=""),"",K12*L12)</f>
        <v/>
      </c>
      <c r="O12" s="58">
        <f>IF(OR(M12="",N(N12)=0),"",M12/N12)</f>
        <v/>
      </c>
      <c r="Q12" s="53" t="n">
        <v>9</v>
      </c>
      <c r="R12" s="54" t="n">
        <v>46539</v>
      </c>
      <c r="S12" s="53">
        <f>C12</f>
        <v/>
      </c>
      <c r="T12" s="59">
        <f>IF(D12="","",D12)</f>
        <v/>
      </c>
      <c r="U12" s="56">
        <f>IF(COUNT(E12,M12)=0,"",SUM(E12,M12))</f>
        <v/>
      </c>
      <c r="V12" s="57">
        <f>IF(OR(S12="",T12=""),"",S12*T12)</f>
        <v/>
      </c>
      <c r="W12" s="58">
        <f>IF(OR(U12="",N(V12)=0),"",U12/V12)</f>
        <v/>
      </c>
      <c r="Y12" s="53" t="n">
        <v>9</v>
      </c>
      <c r="Z12" s="54" t="n">
        <v>46539</v>
      </c>
      <c r="AA12" s="59">
        <f>IF($C12="","",SUMPRODUCT(($E$21:$E$140&gt;=$Z$4)*($E$21:$E$140&lt;=EOMONTH($Z12,0)),$G$21:$G$140))</f>
        <v/>
      </c>
      <c r="AB12" s="56">
        <f>IF(N(AA12)=0,"",SUMPRODUCT(($E$21:$E$140&gt;=$Z$4)*($E$21:$E$140&lt;=EOMONTH($Z12,0)),$F$21:$F$140,$G$21:$G$140)/AA12)</f>
        <v/>
      </c>
      <c r="AC12" s="59">
        <f>IF($C12="","",SUMPRODUCT(($L$21:$L$140&gt;=$Z$4)*($L$21:$L$140&lt;=EOMONTH($Z12,0)),$N$21:$N$140))</f>
        <v/>
      </c>
      <c r="AD12" s="56">
        <f>IF(N(AC12)=0,"",SUMPRODUCT(($L$21:$L$140&gt;=$Z$4)*($L$21:$L$140&lt;=EOMONTH($Z12,0)),$M$21:$M$140,$N$21:$N$140)/AC12)</f>
        <v/>
      </c>
      <c r="AE12" s="56">
        <f>IF(N(AA12)+N(AC12)=0,"",(N(AB12)*N(AA12)+N(AD12)*N(AC12))/(N(AA12)+N(AC12)))</f>
        <v/>
      </c>
    </row>
    <row r="13" ht="18.75" customHeight="1">
      <c r="A13" s="53" t="n">
        <v>10</v>
      </c>
      <c r="B13" s="54" t="n">
        <v>46569</v>
      </c>
      <c r="C13" s="53">
        <f>IF(JUL!$E$5="","",JUL!$E$5)</f>
        <v/>
      </c>
      <c r="D13" s="55" t="n"/>
      <c r="E13" s="56">
        <f>IF(JUL!$E$43="","",JUL!$E$43)</f>
        <v/>
      </c>
      <c r="F13" s="57">
        <f>IF(OR(C13="",D13=""),"",C13*D13)</f>
        <v/>
      </c>
      <c r="G13" s="58">
        <f>IF(OR(E13="",N(F13)=0),"",E13/F13)</f>
        <v/>
      </c>
      <c r="I13" s="53" t="n">
        <v>10</v>
      </c>
      <c r="J13" s="54" t="n">
        <v>46569</v>
      </c>
      <c r="K13" s="53">
        <f>C13</f>
        <v/>
      </c>
      <c r="L13" s="59">
        <f>IF(D13="","",D13)</f>
        <v/>
      </c>
      <c r="M13" s="56">
        <f>IF(JUL!$E$44="","",JUL!$E$44)</f>
        <v/>
      </c>
      <c r="N13" s="57">
        <f>IF(OR(K13="",L13=""),"",K13*L13)</f>
        <v/>
      </c>
      <c r="O13" s="58">
        <f>IF(OR(M13="",N(N13)=0),"",M13/N13)</f>
        <v/>
      </c>
      <c r="Q13" s="53" t="n">
        <v>10</v>
      </c>
      <c r="R13" s="54" t="n">
        <v>46569</v>
      </c>
      <c r="S13" s="53">
        <f>C13</f>
        <v/>
      </c>
      <c r="T13" s="59">
        <f>IF(D13="","",D13)</f>
        <v/>
      </c>
      <c r="U13" s="56">
        <f>IF(COUNT(E13,M13)=0,"",SUM(E13,M13))</f>
        <v/>
      </c>
      <c r="V13" s="57">
        <f>IF(OR(S13="",T13=""),"",S13*T13)</f>
        <v/>
      </c>
      <c r="W13" s="58">
        <f>IF(OR(U13="",N(V13)=0),"",U13/V13)</f>
        <v/>
      </c>
      <c r="Y13" s="53" t="n">
        <v>10</v>
      </c>
      <c r="Z13" s="54" t="n">
        <v>46569</v>
      </c>
      <c r="AA13" s="59">
        <f>IF($C13="","",SUMPRODUCT(($E$21:$E$140&gt;=$Z$4)*($E$21:$E$140&lt;=EOMONTH($Z13,0)),$G$21:$G$140))</f>
        <v/>
      </c>
      <c r="AB13" s="56">
        <f>IF(N(AA13)=0,"",SUMPRODUCT(($E$21:$E$140&gt;=$Z$4)*($E$21:$E$140&lt;=EOMONTH($Z13,0)),$F$21:$F$140,$G$21:$G$140)/AA13)</f>
        <v/>
      </c>
      <c r="AC13" s="59">
        <f>IF($C13="","",SUMPRODUCT(($L$21:$L$140&gt;=$Z$4)*($L$21:$L$140&lt;=EOMONTH($Z13,0)),$N$21:$N$140))</f>
        <v/>
      </c>
      <c r="AD13" s="56">
        <f>IF(N(AC13)=0,"",SUMPRODUCT(($L$21:$L$140&gt;=$Z$4)*($L$21:$L$140&lt;=EOMONTH($Z13,0)),$M$21:$M$140,$N$21:$N$140)/AC13)</f>
        <v/>
      </c>
      <c r="AE13" s="56">
        <f>IF(N(AA13)+N(AC13)=0,"",(N(AB13)*N(AA13)+N(AD13)*N(AC13))/(N(AA13)+N(AC13)))</f>
        <v/>
      </c>
    </row>
    <row r="14" ht="18.75" customHeight="1">
      <c r="A14" s="53" t="n">
        <v>11</v>
      </c>
      <c r="B14" s="54" t="n">
        <v>46600</v>
      </c>
      <c r="C14" s="53">
        <f>IF(AUG!$E$5="","",AUG!$E$5)</f>
        <v/>
      </c>
      <c r="D14" s="55" t="n"/>
      <c r="E14" s="56">
        <f>IF(AUG!$E$43="","",AUG!$E$43)</f>
        <v/>
      </c>
      <c r="F14" s="57">
        <f>IF(OR(C14="",D14=""),"",C14*D14)</f>
        <v/>
      </c>
      <c r="G14" s="58">
        <f>IF(OR(E14="",N(F14)=0),"",E14/F14)</f>
        <v/>
      </c>
      <c r="I14" s="53" t="n">
        <v>11</v>
      </c>
      <c r="J14" s="54" t="n">
        <v>46600</v>
      </c>
      <c r="K14" s="53">
        <f>C14</f>
        <v/>
      </c>
      <c r="L14" s="59">
        <f>IF(D14="","",D14)</f>
        <v/>
      </c>
      <c r="M14" s="56">
        <f>IF(AUG!$E$44="","",AUG!$E$44)</f>
        <v/>
      </c>
      <c r="N14" s="57">
        <f>IF(OR(K14="",L14=""),"",K14*L14)</f>
        <v/>
      </c>
      <c r="O14" s="58">
        <f>IF(OR(M14="",N(N14)=0),"",M14/N14)</f>
        <v/>
      </c>
      <c r="Q14" s="53" t="n">
        <v>11</v>
      </c>
      <c r="R14" s="54" t="n">
        <v>46600</v>
      </c>
      <c r="S14" s="53">
        <f>C14</f>
        <v/>
      </c>
      <c r="T14" s="59">
        <f>IF(D14="","",D14)</f>
        <v/>
      </c>
      <c r="U14" s="56">
        <f>IF(COUNT(E14,M14)=0,"",SUM(E14,M14))</f>
        <v/>
      </c>
      <c r="V14" s="57">
        <f>IF(OR(S14="",T14=""),"",S14*T14)</f>
        <v/>
      </c>
      <c r="W14" s="58">
        <f>IF(OR(U14="",N(V14)=0),"",U14/V14)</f>
        <v/>
      </c>
      <c r="Y14" s="53" t="n">
        <v>11</v>
      </c>
      <c r="Z14" s="54" t="n">
        <v>46600</v>
      </c>
      <c r="AA14" s="59">
        <f>IF($C14="","",SUMPRODUCT(($E$21:$E$140&gt;=$Z$4)*($E$21:$E$140&lt;=EOMONTH($Z14,0)),$G$21:$G$140))</f>
        <v/>
      </c>
      <c r="AB14" s="56">
        <f>IF(N(AA14)=0,"",SUMPRODUCT(($E$21:$E$140&gt;=$Z$4)*($E$21:$E$140&lt;=EOMONTH($Z14,0)),$F$21:$F$140,$G$21:$G$140)/AA14)</f>
        <v/>
      </c>
      <c r="AC14" s="59">
        <f>IF($C14="","",SUMPRODUCT(($L$21:$L$140&gt;=$Z$4)*($L$21:$L$140&lt;=EOMONTH($Z14,0)),$N$21:$N$140))</f>
        <v/>
      </c>
      <c r="AD14" s="56">
        <f>IF(N(AC14)=0,"",SUMPRODUCT(($L$21:$L$140&gt;=$Z$4)*($L$21:$L$140&lt;=EOMONTH($Z14,0)),$M$21:$M$140,$N$21:$N$140)/AC14)</f>
        <v/>
      </c>
      <c r="AE14" s="56">
        <f>IF(N(AA14)+N(AC14)=0,"",(N(AB14)*N(AA14)+N(AD14)*N(AC14))/(N(AA14)+N(AC14)))</f>
        <v/>
      </c>
    </row>
    <row r="15" ht="18.75" customHeight="1">
      <c r="A15" s="53" t="n">
        <v>12</v>
      </c>
      <c r="B15" s="54" t="n">
        <v>46631</v>
      </c>
      <c r="C15" s="53">
        <f>IF(SEP!$E$5="","",SEP!$E$5)</f>
        <v/>
      </c>
      <c r="D15" s="55" t="n"/>
      <c r="E15" s="56">
        <f>IF(SEP!$E$43="","",SEP!$E$43)</f>
        <v/>
      </c>
      <c r="F15" s="57">
        <f>IF(OR(C15="",D15=""),"",C15*D15)</f>
        <v/>
      </c>
      <c r="G15" s="58">
        <f>IF(OR(E15="",N(F15)=0),"",E15/F15)</f>
        <v/>
      </c>
      <c r="I15" s="53" t="n">
        <v>12</v>
      </c>
      <c r="J15" s="54" t="n">
        <v>46631</v>
      </c>
      <c r="K15" s="53">
        <f>C15</f>
        <v/>
      </c>
      <c r="L15" s="59">
        <f>IF(D15="","",D15)</f>
        <v/>
      </c>
      <c r="M15" s="56">
        <f>IF(SEP!$E$44="","",SEP!$E$44)</f>
        <v/>
      </c>
      <c r="N15" s="57">
        <f>IF(OR(K15="",L15=""),"",K15*L15)</f>
        <v/>
      </c>
      <c r="O15" s="58">
        <f>IF(OR(M15="",N(N15)=0),"",M15/N15)</f>
        <v/>
      </c>
      <c r="Q15" s="53" t="n">
        <v>12</v>
      </c>
      <c r="R15" s="54" t="n">
        <v>46631</v>
      </c>
      <c r="S15" s="53">
        <f>C15</f>
        <v/>
      </c>
      <c r="T15" s="59">
        <f>IF(D15="","",D15)</f>
        <v/>
      </c>
      <c r="U15" s="56">
        <f>IF(COUNT(E15,M15)=0,"",SUM(E15,M15))</f>
        <v/>
      </c>
      <c r="V15" s="57">
        <f>IF(OR(S15="",T15=""),"",S15*T15)</f>
        <v/>
      </c>
      <c r="W15" s="58">
        <f>IF(OR(U15="",N(V15)=0),"",U15/V15)</f>
        <v/>
      </c>
      <c r="Y15" s="53" t="n">
        <v>12</v>
      </c>
      <c r="Z15" s="54" t="n">
        <v>46631</v>
      </c>
      <c r="AA15" s="59">
        <f>IF($C15="","",SUMPRODUCT(($E$21:$E$140&gt;=$Z$4)*($E$21:$E$140&lt;=EOMONTH($Z15,0)),$G$21:$G$140))</f>
        <v/>
      </c>
      <c r="AB15" s="56">
        <f>IF(N(AA15)=0,"",SUMPRODUCT(($E$21:$E$140&gt;=$Z$4)*($E$21:$E$140&lt;=EOMONTH($Z15,0)),$F$21:$F$140,$G$21:$G$140)/AA15)</f>
        <v/>
      </c>
      <c r="AC15" s="59">
        <f>IF($C15="","",SUMPRODUCT(($L$21:$L$140&gt;=$Z$4)*($L$21:$L$140&lt;=EOMONTH($Z15,0)),$N$21:$N$140))</f>
        <v/>
      </c>
      <c r="AD15" s="56">
        <f>IF(N(AC15)=0,"",SUMPRODUCT(($L$21:$L$140&gt;=$Z$4)*($L$21:$L$140&lt;=EOMONTH($Z15,0)),$M$21:$M$140,$N$21:$N$140)/AC15)</f>
        <v/>
      </c>
      <c r="AE15" s="56">
        <f>IF(N(AA15)+N(AC15)=0,"",(N(AB15)*N(AA15)+N(AD15)*N(AC15))/(N(AA15)+N(AC15)))</f>
        <v/>
      </c>
    </row>
    <row r="16" ht="18.75" customHeight="1">
      <c r="A16" s="60" t="n"/>
      <c r="B16" s="60" t="n"/>
      <c r="C16" s="60" t="n"/>
      <c r="D16" s="61" t="inlineStr">
        <is>
          <t>Total YTD</t>
        </is>
      </c>
      <c r="E16" s="62">
        <f>IF(COUNT(E4:E15)=0,"",SUM(E4:E15))</f>
        <v/>
      </c>
      <c r="F16" s="63">
        <f>SUMPRODUCT(--ISNUMBER(E4:E15),F4:F15)</f>
        <v/>
      </c>
      <c r="G16" s="64">
        <f>IF(COUNT(E4:E15)=0,"",IFERROR(E16/F16,""))</f>
        <v/>
      </c>
      <c r="I16" s="60" t="n"/>
      <c r="J16" s="60" t="n"/>
      <c r="K16" s="60" t="n"/>
      <c r="L16" s="61" t="inlineStr">
        <is>
          <t>Total YTD</t>
        </is>
      </c>
      <c r="M16" s="62">
        <f>IF(COUNT(M4:M15)=0,"",SUM(M4:M15))</f>
        <v/>
      </c>
      <c r="N16" s="63">
        <f>SUMPRODUCT(--ISNUMBER(M4:M15),N4:N15)</f>
        <v/>
      </c>
      <c r="O16" s="64">
        <f>IF(COUNT(M4:M15)=0,"",IFERROR(M16/N16,""))</f>
        <v/>
      </c>
      <c r="Q16" s="60" t="n"/>
      <c r="R16" s="60" t="n"/>
      <c r="S16" s="60" t="n"/>
      <c r="T16" s="61" t="inlineStr">
        <is>
          <t>Total YTD</t>
        </is>
      </c>
      <c r="U16" s="62">
        <f>IF(COUNT(U4:U15)=0,"",SUM(U4:U15))</f>
        <v/>
      </c>
      <c r="V16" s="63">
        <f>SUMPRODUCT(--ISNUMBER(U4:U15),V4:V15)</f>
        <v/>
      </c>
      <c r="W16" s="64">
        <f>IF(COUNT(U4:U15)=0,"",IFERROR(U16/V16,""))</f>
        <v/>
      </c>
      <c r="Y16" s="60" t="n"/>
      <c r="Z16" s="61" t="inlineStr">
        <is>
          <t>FY2027 YTD</t>
        </is>
      </c>
      <c r="AA16" s="65">
        <f>SUMPRODUCT(($E$21:$E$140&gt;=$Z$4)*($E$21:$E$140&lt;=EOMONTH($Z$15,0)),$G$21:$G$140)</f>
        <v/>
      </c>
      <c r="AB16" s="62">
        <f>IF(N(AA16)=0,"",SUMPRODUCT(($E$21:$E$140&gt;=$Z$4)*($E$21:$E$140&lt;=EOMONTH($Z$15,0)),$F$21:$F$140,$G$21:$G$140)/AA16)</f>
        <v/>
      </c>
      <c r="AC16" s="65">
        <f>SUMPRODUCT(($L$21:$L$140&gt;=$Z$4)*($L$21:$L$140&lt;=EOMONTH($Z$15,0)),$N$21:$N$140)</f>
        <v/>
      </c>
      <c r="AD16" s="62">
        <f>IF(N(AC16)=0,"",SUMPRODUCT(($L$21:$L$140&gt;=$Z$4)*($L$21:$L$140&lt;=EOMONTH($Z$15,0)),$M$21:$M$140,$N$21:$N$140)/AC16)</f>
        <v/>
      </c>
      <c r="AE16" s="62">
        <f>IF(N(AA16)+N(AC16)=0,"",(N(AB16)*N(AA16)+N(AD16)*N(AC16))/(N(AA16)+N(AC16)))</f>
        <v/>
      </c>
    </row>
    <row r="17">
      <c r="Y17" s="66" t="inlineStr">
        <is>
          <t>Only contracts signed within FY2027 (Oct-2026 to the month shown) are counted; weighted by posts filled.</t>
        </is>
      </c>
    </row>
    <row r="18" ht="24.75" customHeight="1">
      <c r="A18" s="40">
        <f>A1</f>
        <v/>
      </c>
      <c r="B18" s="41" t="n"/>
      <c r="C18" s="42" t="n"/>
      <c r="D18" s="40" t="inlineStr">
        <is>
          <t>TIME TO HIRE YTD (Days)</t>
        </is>
      </c>
      <c r="E18" s="44" t="n"/>
      <c r="F18" s="46">
        <f>AB16</f>
        <v/>
      </c>
      <c r="G18" s="44" t="n"/>
      <c r="H18" s="40">
        <f>A1</f>
        <v/>
      </c>
      <c r="I18" s="41" t="n"/>
      <c r="J18" s="42" t="n"/>
      <c r="K18" s="40" t="inlineStr">
        <is>
          <t>TIME TO HIRE YTD (Days)</t>
        </is>
      </c>
      <c r="L18" s="44" t="n"/>
      <c r="M18" s="46">
        <f>AD16</f>
        <v/>
      </c>
      <c r="N18" s="44" t="n"/>
    </row>
    <row r="19" ht="21.75" customHeight="1">
      <c r="A19" s="47" t="inlineStr">
        <is>
          <t>PERMANENT EE</t>
        </is>
      </c>
      <c r="B19" s="41" t="n"/>
      <c r="C19" s="42" t="n"/>
      <c r="D19" s="48" t="n"/>
      <c r="E19" s="50" t="n"/>
      <c r="F19" s="48" t="n"/>
      <c r="G19" s="50" t="n"/>
      <c r="H19" s="47" t="inlineStr">
        <is>
          <t>TEMPORARY EE</t>
        </is>
      </c>
      <c r="I19" s="41" t="n"/>
      <c r="J19" s="42" t="n"/>
      <c r="K19" s="48" t="n"/>
      <c r="L19" s="50" t="n"/>
      <c r="M19" s="48" t="n"/>
      <c r="N19" s="50" t="n"/>
    </row>
    <row r="20" ht="60" customHeight="1">
      <c r="A20" s="52" t="inlineStr">
        <is>
          <t>No.</t>
        </is>
      </c>
      <c r="B20" s="52" t="inlineStr">
        <is>
          <t>Job Title</t>
        </is>
      </c>
      <c r="C20" s="52" t="inlineStr">
        <is>
          <t>No. of Posts</t>
        </is>
      </c>
      <c r="D20" s="52" t="inlineStr">
        <is>
          <t>Job Opening Date (mm/dd/yyyy)</t>
        </is>
      </c>
      <c r="E20" s="52" t="inlineStr">
        <is>
          <t>Contract Signed Date (mm/dd/yyyy)</t>
        </is>
      </c>
      <c r="F20" s="52" t="inlineStr">
        <is>
          <t>Time to Hire by Position (Days)</t>
        </is>
      </c>
      <c r="G20" s="52" t="inlineStr">
        <is>
          <t>Posts Filled (auto)</t>
        </is>
      </c>
      <c r="H20" s="52" t="inlineStr">
        <is>
          <t>No.</t>
        </is>
      </c>
      <c r="I20" s="52" t="inlineStr">
        <is>
          <t>Job Title</t>
        </is>
      </c>
      <c r="J20" s="52" t="inlineStr">
        <is>
          <t>No. of Posts</t>
        </is>
      </c>
      <c r="K20" s="52" t="inlineStr">
        <is>
          <t>Job Opening Date (mm/dd/yyyy)</t>
        </is>
      </c>
      <c r="L20" s="52" t="inlineStr">
        <is>
          <t>Contract Signed Date (mm/dd/yyyy)</t>
        </is>
      </c>
      <c r="M20" s="52" t="inlineStr">
        <is>
          <t>Time to Hire by Position (Days)</t>
        </is>
      </c>
      <c r="N20" s="52" t="inlineStr">
        <is>
          <t>Posts Filled (auto)</t>
        </is>
      </c>
    </row>
    <row r="21">
      <c r="A21" s="53" t="n">
        <v>1</v>
      </c>
      <c r="B21" s="67" t="n"/>
      <c r="C21" s="55" t="n"/>
      <c r="D21" s="68" t="n"/>
      <c r="E21" s="68" t="n"/>
      <c r="F21" s="59">
        <f>IF(OR(E21="",D21=""),"",MAX(E21-D21,0))</f>
        <v/>
      </c>
      <c r="G21" s="59">
        <f>IF(F21="","",IF(N(C21)=0,1,C21))</f>
        <v/>
      </c>
      <c r="H21" s="53" t="n">
        <v>1</v>
      </c>
      <c r="I21" s="67" t="n"/>
      <c r="J21" s="55" t="n"/>
      <c r="K21" s="68" t="n"/>
      <c r="L21" s="68" t="n"/>
      <c r="M21" s="59">
        <f>IF(OR(L21="",K21=""),"",MAX(L21-K21,0))</f>
        <v/>
      </c>
      <c r="N21" s="59">
        <f>IF(M21="","",IF(N(J21)=0,1,J21))</f>
        <v/>
      </c>
    </row>
    <row r="22">
      <c r="A22" s="53" t="n">
        <v>2</v>
      </c>
      <c r="B22" s="67" t="n"/>
      <c r="C22" s="55" t="n"/>
      <c r="D22" s="68" t="n"/>
      <c r="E22" s="68" t="n"/>
      <c r="F22" s="59">
        <f>IF(OR(E22="",D22=""),"",MAX(E22-D22,0))</f>
        <v/>
      </c>
      <c r="G22" s="59">
        <f>IF(F22="","",IF(N(C22)=0,1,C22))</f>
        <v/>
      </c>
      <c r="H22" s="53" t="n">
        <v>2</v>
      </c>
      <c r="I22" s="67" t="n"/>
      <c r="J22" s="55" t="n"/>
      <c r="K22" s="68" t="n"/>
      <c r="L22" s="68" t="n"/>
      <c r="M22" s="59">
        <f>IF(OR(L22="",K22=""),"",MAX(L22-K22,0))</f>
        <v/>
      </c>
      <c r="N22" s="59">
        <f>IF(M22="","",IF(N(J22)=0,1,J22))</f>
        <v/>
      </c>
    </row>
    <row r="23">
      <c r="A23" s="53" t="n">
        <v>3</v>
      </c>
      <c r="B23" s="67" t="n"/>
      <c r="C23" s="55" t="n"/>
      <c r="D23" s="68" t="n"/>
      <c r="E23" s="68" t="n"/>
      <c r="F23" s="59">
        <f>IF(OR(E23="",D23=""),"",MAX(E23-D23,0))</f>
        <v/>
      </c>
      <c r="G23" s="59">
        <f>IF(F23="","",IF(N(C23)=0,1,C23))</f>
        <v/>
      </c>
      <c r="H23" s="53" t="n">
        <v>3</v>
      </c>
      <c r="I23" s="67" t="n"/>
      <c r="J23" s="55" t="n"/>
      <c r="K23" s="68" t="n"/>
      <c r="L23" s="68" t="n"/>
      <c r="M23" s="59">
        <f>IF(OR(L23="",K23=""),"",MAX(L23-K23,0))</f>
        <v/>
      </c>
      <c r="N23" s="59">
        <f>IF(M23="","",IF(N(J23)=0,1,J23))</f>
        <v/>
      </c>
    </row>
    <row r="24">
      <c r="A24" s="53" t="n">
        <v>4</v>
      </c>
      <c r="B24" s="67" t="n"/>
      <c r="C24" s="55" t="n"/>
      <c r="D24" s="68" t="n"/>
      <c r="E24" s="68" t="n"/>
      <c r="F24" s="59">
        <f>IF(OR(E24="",D24=""),"",MAX(E24-D24,0))</f>
        <v/>
      </c>
      <c r="G24" s="59">
        <f>IF(F24="","",IF(N(C24)=0,1,C24))</f>
        <v/>
      </c>
      <c r="H24" s="53" t="n">
        <v>4</v>
      </c>
      <c r="I24" s="67" t="n"/>
      <c r="J24" s="55" t="n"/>
      <c r="K24" s="68" t="n"/>
      <c r="L24" s="68" t="n"/>
      <c r="M24" s="59">
        <f>IF(OR(L24="",K24=""),"",MAX(L24-K24,0))</f>
        <v/>
      </c>
      <c r="N24" s="59">
        <f>IF(M24="","",IF(N(J24)=0,1,J24))</f>
        <v/>
      </c>
    </row>
    <row r="25">
      <c r="A25" s="53" t="n">
        <v>5</v>
      </c>
      <c r="B25" s="67" t="n"/>
      <c r="C25" s="55" t="n"/>
      <c r="D25" s="68" t="n"/>
      <c r="E25" s="68" t="n"/>
      <c r="F25" s="59">
        <f>IF(OR(E25="",D25=""),"",MAX(E25-D25,0))</f>
        <v/>
      </c>
      <c r="G25" s="59">
        <f>IF(F25="","",IF(N(C25)=0,1,C25))</f>
        <v/>
      </c>
      <c r="H25" s="53" t="n">
        <v>5</v>
      </c>
      <c r="I25" s="67" t="n"/>
      <c r="J25" s="55" t="n"/>
      <c r="K25" s="68" t="n"/>
      <c r="L25" s="68" t="n"/>
      <c r="M25" s="59">
        <f>IF(OR(L25="",K25=""),"",MAX(L25-K25,0))</f>
        <v/>
      </c>
      <c r="N25" s="59">
        <f>IF(M25="","",IF(N(J25)=0,1,J25))</f>
        <v/>
      </c>
    </row>
    <row r="26">
      <c r="A26" s="53" t="n">
        <v>6</v>
      </c>
      <c r="B26" s="67" t="n"/>
      <c r="C26" s="55" t="n"/>
      <c r="D26" s="68" t="n"/>
      <c r="E26" s="68" t="n"/>
      <c r="F26" s="59">
        <f>IF(OR(E26="",D26=""),"",MAX(E26-D26,0))</f>
        <v/>
      </c>
      <c r="G26" s="59">
        <f>IF(F26="","",IF(N(C26)=0,1,C26))</f>
        <v/>
      </c>
      <c r="H26" s="53" t="n">
        <v>6</v>
      </c>
      <c r="I26" s="67" t="n"/>
      <c r="J26" s="55" t="n"/>
      <c r="K26" s="68" t="n"/>
      <c r="L26" s="68" t="n"/>
      <c r="M26" s="59">
        <f>IF(OR(L26="",K26=""),"",MAX(L26-K26,0))</f>
        <v/>
      </c>
      <c r="N26" s="59">
        <f>IF(M26="","",IF(N(J26)=0,1,J26))</f>
        <v/>
      </c>
    </row>
    <row r="27">
      <c r="A27" s="53" t="n">
        <v>7</v>
      </c>
      <c r="B27" s="67" t="n"/>
      <c r="C27" s="55" t="n"/>
      <c r="D27" s="68" t="n"/>
      <c r="E27" s="68" t="n"/>
      <c r="F27" s="59">
        <f>IF(OR(E27="",D27=""),"",MAX(E27-D27,0))</f>
        <v/>
      </c>
      <c r="G27" s="59">
        <f>IF(F27="","",IF(N(C27)=0,1,C27))</f>
        <v/>
      </c>
      <c r="H27" s="53" t="n">
        <v>7</v>
      </c>
      <c r="I27" s="67" t="n"/>
      <c r="J27" s="55" t="n"/>
      <c r="K27" s="68" t="n"/>
      <c r="L27" s="68" t="n"/>
      <c r="M27" s="59">
        <f>IF(OR(L27="",K27=""),"",MAX(L27-K27,0))</f>
        <v/>
      </c>
      <c r="N27" s="59">
        <f>IF(M27="","",IF(N(J27)=0,1,J27))</f>
        <v/>
      </c>
    </row>
    <row r="28">
      <c r="A28" s="53" t="n">
        <v>8</v>
      </c>
      <c r="B28" s="67" t="n"/>
      <c r="C28" s="55" t="n"/>
      <c r="D28" s="68" t="n"/>
      <c r="E28" s="68" t="n"/>
      <c r="F28" s="59">
        <f>IF(OR(E28="",D28=""),"",MAX(E28-D28,0))</f>
        <v/>
      </c>
      <c r="G28" s="59">
        <f>IF(F28="","",IF(N(C28)=0,1,C28))</f>
        <v/>
      </c>
      <c r="H28" s="53" t="n">
        <v>8</v>
      </c>
      <c r="I28" s="67" t="n"/>
      <c r="J28" s="55" t="n"/>
      <c r="K28" s="68" t="n"/>
      <c r="L28" s="68" t="n"/>
      <c r="M28" s="59">
        <f>IF(OR(L28="",K28=""),"",MAX(L28-K28,0))</f>
        <v/>
      </c>
      <c r="N28" s="59">
        <f>IF(M28="","",IF(N(J28)=0,1,J28))</f>
        <v/>
      </c>
    </row>
    <row r="29">
      <c r="A29" s="53" t="n">
        <v>9</v>
      </c>
      <c r="B29" s="67" t="n"/>
      <c r="C29" s="55" t="n"/>
      <c r="D29" s="68" t="n"/>
      <c r="E29" s="68" t="n"/>
      <c r="F29" s="59">
        <f>IF(OR(E29="",D29=""),"",MAX(E29-D29,0))</f>
        <v/>
      </c>
      <c r="G29" s="59">
        <f>IF(F29="","",IF(N(C29)=0,1,C29))</f>
        <v/>
      </c>
      <c r="H29" s="53" t="n">
        <v>9</v>
      </c>
      <c r="I29" s="67" t="n"/>
      <c r="J29" s="55" t="n"/>
      <c r="K29" s="68" t="n"/>
      <c r="L29" s="68" t="n"/>
      <c r="M29" s="59">
        <f>IF(OR(L29="",K29=""),"",MAX(L29-K29,0))</f>
        <v/>
      </c>
      <c r="N29" s="59">
        <f>IF(M29="","",IF(N(J29)=0,1,J29))</f>
        <v/>
      </c>
    </row>
    <row r="30">
      <c r="A30" s="53" t="n">
        <v>10</v>
      </c>
      <c r="B30" s="67" t="n"/>
      <c r="C30" s="55" t="n"/>
      <c r="D30" s="68" t="n"/>
      <c r="E30" s="68" t="n"/>
      <c r="F30" s="59">
        <f>IF(OR(E30="",D30=""),"",MAX(E30-D30,0))</f>
        <v/>
      </c>
      <c r="G30" s="59">
        <f>IF(F30="","",IF(N(C30)=0,1,C30))</f>
        <v/>
      </c>
      <c r="H30" s="53" t="n">
        <v>10</v>
      </c>
      <c r="I30" s="67" t="n"/>
      <c r="J30" s="55" t="n"/>
      <c r="K30" s="68" t="n"/>
      <c r="L30" s="68" t="n"/>
      <c r="M30" s="59">
        <f>IF(OR(L30="",K30=""),"",MAX(L30-K30,0))</f>
        <v/>
      </c>
      <c r="N30" s="59">
        <f>IF(M30="","",IF(N(J30)=0,1,J30))</f>
        <v/>
      </c>
    </row>
    <row r="31">
      <c r="A31" s="53" t="n">
        <v>11</v>
      </c>
      <c r="B31" s="67" t="n"/>
      <c r="C31" s="55" t="n"/>
      <c r="D31" s="68" t="n"/>
      <c r="E31" s="68" t="n"/>
      <c r="F31" s="59">
        <f>IF(OR(E31="",D31=""),"",MAX(E31-D31,0))</f>
        <v/>
      </c>
      <c r="G31" s="59">
        <f>IF(F31="","",IF(N(C31)=0,1,C31))</f>
        <v/>
      </c>
      <c r="H31" s="53" t="n">
        <v>11</v>
      </c>
      <c r="I31" s="67" t="n"/>
      <c r="J31" s="55" t="n"/>
      <c r="K31" s="68" t="n"/>
      <c r="L31" s="68" t="n"/>
      <c r="M31" s="59">
        <f>IF(OR(L31="",K31=""),"",MAX(L31-K31,0))</f>
        <v/>
      </c>
      <c r="N31" s="59">
        <f>IF(M31="","",IF(N(J31)=0,1,J31))</f>
        <v/>
      </c>
    </row>
    <row r="32">
      <c r="A32" s="53" t="n">
        <v>12</v>
      </c>
      <c r="B32" s="67" t="n"/>
      <c r="C32" s="55" t="n"/>
      <c r="D32" s="68" t="n"/>
      <c r="E32" s="68" t="n"/>
      <c r="F32" s="59">
        <f>IF(OR(E32="",D32=""),"",MAX(E32-D32,0))</f>
        <v/>
      </c>
      <c r="G32" s="59">
        <f>IF(F32="","",IF(N(C32)=0,1,C32))</f>
        <v/>
      </c>
      <c r="H32" s="53" t="n">
        <v>12</v>
      </c>
      <c r="I32" s="67" t="n"/>
      <c r="J32" s="55" t="n"/>
      <c r="K32" s="68" t="n"/>
      <c r="L32" s="68" t="n"/>
      <c r="M32" s="59">
        <f>IF(OR(L32="",K32=""),"",MAX(L32-K32,0))</f>
        <v/>
      </c>
      <c r="N32" s="59">
        <f>IF(M32="","",IF(N(J32)=0,1,J32))</f>
        <v/>
      </c>
    </row>
    <row r="33">
      <c r="A33" s="53" t="n">
        <v>13</v>
      </c>
      <c r="B33" s="67" t="n"/>
      <c r="C33" s="55" t="n"/>
      <c r="D33" s="68" t="n"/>
      <c r="E33" s="68" t="n"/>
      <c r="F33" s="59">
        <f>IF(OR(E33="",D33=""),"",MAX(E33-D33,0))</f>
        <v/>
      </c>
      <c r="G33" s="59">
        <f>IF(F33="","",IF(N(C33)=0,1,C33))</f>
        <v/>
      </c>
      <c r="H33" s="53" t="n">
        <v>13</v>
      </c>
      <c r="I33" s="67" t="n"/>
      <c r="J33" s="55" t="n"/>
      <c r="K33" s="68" t="n"/>
      <c r="L33" s="68" t="n"/>
      <c r="M33" s="59">
        <f>IF(OR(L33="",K33=""),"",MAX(L33-K33,0))</f>
        <v/>
      </c>
      <c r="N33" s="59">
        <f>IF(M33="","",IF(N(J33)=0,1,J33))</f>
        <v/>
      </c>
    </row>
    <row r="34">
      <c r="A34" s="53" t="n">
        <v>14</v>
      </c>
      <c r="B34" s="67" t="n"/>
      <c r="C34" s="55" t="n"/>
      <c r="D34" s="68" t="n"/>
      <c r="E34" s="68" t="n"/>
      <c r="F34" s="59">
        <f>IF(OR(E34="",D34=""),"",MAX(E34-D34,0))</f>
        <v/>
      </c>
      <c r="G34" s="59">
        <f>IF(F34="","",IF(N(C34)=0,1,C34))</f>
        <v/>
      </c>
      <c r="H34" s="53" t="n">
        <v>14</v>
      </c>
      <c r="I34" s="67" t="n"/>
      <c r="J34" s="55" t="n"/>
      <c r="K34" s="68" t="n"/>
      <c r="L34" s="68" t="n"/>
      <c r="M34" s="59">
        <f>IF(OR(L34="",K34=""),"",MAX(L34-K34,0))</f>
        <v/>
      </c>
      <c r="N34" s="59">
        <f>IF(M34="","",IF(N(J34)=0,1,J34))</f>
        <v/>
      </c>
    </row>
    <row r="35">
      <c r="A35" s="53" t="n">
        <v>15</v>
      </c>
      <c r="B35" s="67" t="n"/>
      <c r="C35" s="55" t="n"/>
      <c r="D35" s="68" t="n"/>
      <c r="E35" s="68" t="n"/>
      <c r="F35" s="59">
        <f>IF(OR(E35="",D35=""),"",MAX(E35-D35,0))</f>
        <v/>
      </c>
      <c r="G35" s="59">
        <f>IF(F35="","",IF(N(C35)=0,1,C35))</f>
        <v/>
      </c>
      <c r="H35" s="53" t="n">
        <v>15</v>
      </c>
      <c r="I35" s="67" t="n"/>
      <c r="J35" s="55" t="n"/>
      <c r="K35" s="68" t="n"/>
      <c r="L35" s="68" t="n"/>
      <c r="M35" s="59">
        <f>IF(OR(L35="",K35=""),"",MAX(L35-K35,0))</f>
        <v/>
      </c>
      <c r="N35" s="59">
        <f>IF(M35="","",IF(N(J35)=0,1,J35))</f>
        <v/>
      </c>
    </row>
    <row r="36">
      <c r="A36" s="53" t="n">
        <v>16</v>
      </c>
      <c r="B36" s="67" t="n"/>
      <c r="C36" s="55" t="n"/>
      <c r="D36" s="68" t="n"/>
      <c r="E36" s="68" t="n"/>
      <c r="F36" s="59">
        <f>IF(OR(E36="",D36=""),"",MAX(E36-D36,0))</f>
        <v/>
      </c>
      <c r="G36" s="59">
        <f>IF(F36="","",IF(N(C36)=0,1,C36))</f>
        <v/>
      </c>
      <c r="H36" s="53" t="n">
        <v>16</v>
      </c>
      <c r="I36" s="67" t="n"/>
      <c r="J36" s="55" t="n"/>
      <c r="K36" s="68" t="n"/>
      <c r="L36" s="68" t="n"/>
      <c r="M36" s="59">
        <f>IF(OR(L36="",K36=""),"",MAX(L36-K36,0))</f>
        <v/>
      </c>
      <c r="N36" s="59">
        <f>IF(M36="","",IF(N(J36)=0,1,J36))</f>
        <v/>
      </c>
    </row>
    <row r="37">
      <c r="A37" s="53" t="n">
        <v>17</v>
      </c>
      <c r="B37" s="67" t="n"/>
      <c r="C37" s="55" t="n"/>
      <c r="D37" s="68" t="n"/>
      <c r="E37" s="68" t="n"/>
      <c r="F37" s="59">
        <f>IF(OR(E37="",D37=""),"",MAX(E37-D37,0))</f>
        <v/>
      </c>
      <c r="G37" s="59">
        <f>IF(F37="","",IF(N(C37)=0,1,C37))</f>
        <v/>
      </c>
      <c r="H37" s="53" t="n">
        <v>17</v>
      </c>
      <c r="I37" s="67" t="n"/>
      <c r="J37" s="55" t="n"/>
      <c r="K37" s="68" t="n"/>
      <c r="L37" s="68" t="n"/>
      <c r="M37" s="59">
        <f>IF(OR(L37="",K37=""),"",MAX(L37-K37,0))</f>
        <v/>
      </c>
      <c r="N37" s="59">
        <f>IF(M37="","",IF(N(J37)=0,1,J37))</f>
        <v/>
      </c>
    </row>
    <row r="38">
      <c r="A38" s="53" t="n">
        <v>18</v>
      </c>
      <c r="B38" s="67" t="n"/>
      <c r="C38" s="55" t="n"/>
      <c r="D38" s="68" t="n"/>
      <c r="E38" s="68" t="n"/>
      <c r="F38" s="59">
        <f>IF(OR(E38="",D38=""),"",MAX(E38-D38,0))</f>
        <v/>
      </c>
      <c r="G38" s="59">
        <f>IF(F38="","",IF(N(C38)=0,1,C38))</f>
        <v/>
      </c>
      <c r="H38" s="53" t="n">
        <v>18</v>
      </c>
      <c r="I38" s="67" t="n"/>
      <c r="J38" s="55" t="n"/>
      <c r="K38" s="68" t="n"/>
      <c r="L38" s="68" t="n"/>
      <c r="M38" s="59">
        <f>IF(OR(L38="",K38=""),"",MAX(L38-K38,0))</f>
        <v/>
      </c>
      <c r="N38" s="59">
        <f>IF(M38="","",IF(N(J38)=0,1,J38))</f>
        <v/>
      </c>
    </row>
    <row r="39">
      <c r="A39" s="53" t="n">
        <v>19</v>
      </c>
      <c r="B39" s="67" t="n"/>
      <c r="C39" s="55" t="n"/>
      <c r="D39" s="68" t="n"/>
      <c r="E39" s="68" t="n"/>
      <c r="F39" s="59">
        <f>IF(OR(E39="",D39=""),"",MAX(E39-D39,0))</f>
        <v/>
      </c>
      <c r="G39" s="59">
        <f>IF(F39="","",IF(N(C39)=0,1,C39))</f>
        <v/>
      </c>
      <c r="H39" s="53" t="n">
        <v>19</v>
      </c>
      <c r="I39" s="67" t="n"/>
      <c r="J39" s="55" t="n"/>
      <c r="K39" s="68" t="n"/>
      <c r="L39" s="68" t="n"/>
      <c r="M39" s="59">
        <f>IF(OR(L39="",K39=""),"",MAX(L39-K39,0))</f>
        <v/>
      </c>
      <c r="N39" s="59">
        <f>IF(M39="","",IF(N(J39)=0,1,J39))</f>
        <v/>
      </c>
    </row>
    <row r="40">
      <c r="A40" s="53" t="n">
        <v>20</v>
      </c>
      <c r="B40" s="67" t="n"/>
      <c r="C40" s="55" t="n"/>
      <c r="D40" s="68" t="n"/>
      <c r="E40" s="68" t="n"/>
      <c r="F40" s="59">
        <f>IF(OR(E40="",D40=""),"",MAX(E40-D40,0))</f>
        <v/>
      </c>
      <c r="G40" s="59">
        <f>IF(F40="","",IF(N(C40)=0,1,C40))</f>
        <v/>
      </c>
      <c r="H40" s="53" t="n">
        <v>20</v>
      </c>
      <c r="I40" s="67" t="n"/>
      <c r="J40" s="55" t="n"/>
      <c r="K40" s="68" t="n"/>
      <c r="L40" s="68" t="n"/>
      <c r="M40" s="59">
        <f>IF(OR(L40="",K40=""),"",MAX(L40-K40,0))</f>
        <v/>
      </c>
      <c r="N40" s="59">
        <f>IF(M40="","",IF(N(J40)=0,1,J40))</f>
        <v/>
      </c>
    </row>
    <row r="41">
      <c r="A41" s="53" t="n">
        <v>21</v>
      </c>
      <c r="B41" s="67" t="n"/>
      <c r="C41" s="55" t="n"/>
      <c r="D41" s="68" t="n"/>
      <c r="E41" s="68" t="n"/>
      <c r="F41" s="59">
        <f>IF(OR(E41="",D41=""),"",MAX(E41-D41,0))</f>
        <v/>
      </c>
      <c r="G41" s="59">
        <f>IF(F41="","",IF(N(C41)=0,1,C41))</f>
        <v/>
      </c>
      <c r="H41" s="53" t="n">
        <v>21</v>
      </c>
      <c r="I41" s="67" t="n"/>
      <c r="J41" s="55" t="n"/>
      <c r="K41" s="68" t="n"/>
      <c r="L41" s="68" t="n"/>
      <c r="M41" s="59">
        <f>IF(OR(L41="",K41=""),"",MAX(L41-K41,0))</f>
        <v/>
      </c>
      <c r="N41" s="59">
        <f>IF(M41="","",IF(N(J41)=0,1,J41))</f>
        <v/>
      </c>
    </row>
    <row r="42">
      <c r="A42" s="53" t="n">
        <v>22</v>
      </c>
      <c r="B42" s="67" t="n"/>
      <c r="C42" s="55" t="n"/>
      <c r="D42" s="68" t="n"/>
      <c r="E42" s="68" t="n"/>
      <c r="F42" s="59">
        <f>IF(OR(E42="",D42=""),"",MAX(E42-D42,0))</f>
        <v/>
      </c>
      <c r="G42" s="59">
        <f>IF(F42="","",IF(N(C42)=0,1,C42))</f>
        <v/>
      </c>
      <c r="H42" s="53" t="n">
        <v>22</v>
      </c>
      <c r="I42" s="67" t="n"/>
      <c r="J42" s="55" t="n"/>
      <c r="K42" s="68" t="n"/>
      <c r="L42" s="68" t="n"/>
      <c r="M42" s="59">
        <f>IF(OR(L42="",K42=""),"",MAX(L42-K42,0))</f>
        <v/>
      </c>
      <c r="N42" s="59">
        <f>IF(M42="","",IF(N(J42)=0,1,J42))</f>
        <v/>
      </c>
    </row>
    <row r="43">
      <c r="A43" s="53" t="n">
        <v>23</v>
      </c>
      <c r="B43" s="67" t="n"/>
      <c r="C43" s="55" t="n"/>
      <c r="D43" s="68" t="n"/>
      <c r="E43" s="68" t="n"/>
      <c r="F43" s="59">
        <f>IF(OR(E43="",D43=""),"",MAX(E43-D43,0))</f>
        <v/>
      </c>
      <c r="G43" s="59">
        <f>IF(F43="","",IF(N(C43)=0,1,C43))</f>
        <v/>
      </c>
      <c r="H43" s="53" t="n">
        <v>23</v>
      </c>
      <c r="I43" s="67" t="n"/>
      <c r="J43" s="55" t="n"/>
      <c r="K43" s="68" t="n"/>
      <c r="L43" s="68" t="n"/>
      <c r="M43" s="59">
        <f>IF(OR(L43="",K43=""),"",MAX(L43-K43,0))</f>
        <v/>
      </c>
      <c r="N43" s="59">
        <f>IF(M43="","",IF(N(J43)=0,1,J43))</f>
        <v/>
      </c>
    </row>
    <row r="44">
      <c r="A44" s="53" t="n">
        <v>24</v>
      </c>
      <c r="B44" s="67" t="n"/>
      <c r="C44" s="55" t="n"/>
      <c r="D44" s="68" t="n"/>
      <c r="E44" s="68" t="n"/>
      <c r="F44" s="59">
        <f>IF(OR(E44="",D44=""),"",MAX(E44-D44,0))</f>
        <v/>
      </c>
      <c r="G44" s="59">
        <f>IF(F44="","",IF(N(C44)=0,1,C44))</f>
        <v/>
      </c>
      <c r="H44" s="53" t="n">
        <v>24</v>
      </c>
      <c r="I44" s="67" t="n"/>
      <c r="J44" s="55" t="n"/>
      <c r="K44" s="68" t="n"/>
      <c r="L44" s="68" t="n"/>
      <c r="M44" s="59">
        <f>IF(OR(L44="",K44=""),"",MAX(L44-K44,0))</f>
        <v/>
      </c>
      <c r="N44" s="59">
        <f>IF(M44="","",IF(N(J44)=0,1,J44))</f>
        <v/>
      </c>
    </row>
    <row r="45">
      <c r="A45" s="53" t="n">
        <v>25</v>
      </c>
      <c r="B45" s="67" t="n"/>
      <c r="C45" s="55" t="n"/>
      <c r="D45" s="68" t="n"/>
      <c r="E45" s="68" t="n"/>
      <c r="F45" s="59">
        <f>IF(OR(E45="",D45=""),"",MAX(E45-D45,0))</f>
        <v/>
      </c>
      <c r="G45" s="59">
        <f>IF(F45="","",IF(N(C45)=0,1,C45))</f>
        <v/>
      </c>
      <c r="H45" s="53" t="n">
        <v>25</v>
      </c>
      <c r="I45" s="67" t="n"/>
      <c r="J45" s="55" t="n"/>
      <c r="K45" s="68" t="n"/>
      <c r="L45" s="68" t="n"/>
      <c r="M45" s="59">
        <f>IF(OR(L45="",K45=""),"",MAX(L45-K45,0))</f>
        <v/>
      </c>
      <c r="N45" s="59">
        <f>IF(M45="","",IF(N(J45)=0,1,J45))</f>
        <v/>
      </c>
    </row>
    <row r="46">
      <c r="A46" s="53" t="n">
        <v>26</v>
      </c>
      <c r="B46" s="67" t="n"/>
      <c r="C46" s="55" t="n"/>
      <c r="D46" s="68" t="n"/>
      <c r="E46" s="68" t="n"/>
      <c r="F46" s="59">
        <f>IF(OR(E46="",D46=""),"",MAX(E46-D46,0))</f>
        <v/>
      </c>
      <c r="G46" s="59">
        <f>IF(F46="","",IF(N(C46)=0,1,C46))</f>
        <v/>
      </c>
      <c r="H46" s="53" t="n">
        <v>26</v>
      </c>
      <c r="I46" s="67" t="n"/>
      <c r="J46" s="55" t="n"/>
      <c r="K46" s="68" t="n"/>
      <c r="L46" s="68" t="n"/>
      <c r="M46" s="59">
        <f>IF(OR(L46="",K46=""),"",MAX(L46-K46,0))</f>
        <v/>
      </c>
      <c r="N46" s="59">
        <f>IF(M46="","",IF(N(J46)=0,1,J46))</f>
        <v/>
      </c>
    </row>
    <row r="47">
      <c r="A47" s="53" t="n">
        <v>27</v>
      </c>
      <c r="B47" s="67" t="n"/>
      <c r="C47" s="55" t="n"/>
      <c r="D47" s="68" t="n"/>
      <c r="E47" s="68" t="n"/>
      <c r="F47" s="59">
        <f>IF(OR(E47="",D47=""),"",MAX(E47-D47,0))</f>
        <v/>
      </c>
      <c r="G47" s="59">
        <f>IF(F47="","",IF(N(C47)=0,1,C47))</f>
        <v/>
      </c>
      <c r="H47" s="53" t="n">
        <v>27</v>
      </c>
      <c r="I47" s="67" t="n"/>
      <c r="J47" s="55" t="n"/>
      <c r="K47" s="68" t="n"/>
      <c r="L47" s="68" t="n"/>
      <c r="M47" s="59">
        <f>IF(OR(L47="",K47=""),"",MAX(L47-K47,0))</f>
        <v/>
      </c>
      <c r="N47" s="59">
        <f>IF(M47="","",IF(N(J47)=0,1,J47))</f>
        <v/>
      </c>
    </row>
    <row r="48">
      <c r="A48" s="53" t="n">
        <v>28</v>
      </c>
      <c r="B48" s="67" t="n"/>
      <c r="C48" s="55" t="n"/>
      <c r="D48" s="68" t="n"/>
      <c r="E48" s="68" t="n"/>
      <c r="F48" s="59">
        <f>IF(OR(E48="",D48=""),"",MAX(E48-D48,0))</f>
        <v/>
      </c>
      <c r="G48" s="59">
        <f>IF(F48="","",IF(N(C48)=0,1,C48))</f>
        <v/>
      </c>
      <c r="H48" s="53" t="n">
        <v>28</v>
      </c>
      <c r="I48" s="67" t="n"/>
      <c r="J48" s="55" t="n"/>
      <c r="K48" s="68" t="n"/>
      <c r="L48" s="68" t="n"/>
      <c r="M48" s="59">
        <f>IF(OR(L48="",K48=""),"",MAX(L48-K48,0))</f>
        <v/>
      </c>
      <c r="N48" s="59">
        <f>IF(M48="","",IF(N(J48)=0,1,J48))</f>
        <v/>
      </c>
    </row>
    <row r="49">
      <c r="A49" s="53" t="n">
        <v>29</v>
      </c>
      <c r="B49" s="67" t="n"/>
      <c r="C49" s="55" t="n"/>
      <c r="D49" s="68" t="n"/>
      <c r="E49" s="68" t="n"/>
      <c r="F49" s="59">
        <f>IF(OR(E49="",D49=""),"",MAX(E49-D49,0))</f>
        <v/>
      </c>
      <c r="G49" s="59">
        <f>IF(F49="","",IF(N(C49)=0,1,C49))</f>
        <v/>
      </c>
      <c r="H49" s="53" t="n">
        <v>29</v>
      </c>
      <c r="I49" s="67" t="n"/>
      <c r="J49" s="55" t="n"/>
      <c r="K49" s="68" t="n"/>
      <c r="L49" s="68" t="n"/>
      <c r="M49" s="59">
        <f>IF(OR(L49="",K49=""),"",MAX(L49-K49,0))</f>
        <v/>
      </c>
      <c r="N49" s="59">
        <f>IF(M49="","",IF(N(J49)=0,1,J49))</f>
        <v/>
      </c>
    </row>
    <row r="50">
      <c r="A50" s="53" t="n">
        <v>30</v>
      </c>
      <c r="B50" s="67" t="n"/>
      <c r="C50" s="55" t="n"/>
      <c r="D50" s="68" t="n"/>
      <c r="E50" s="68" t="n"/>
      <c r="F50" s="59">
        <f>IF(OR(E50="",D50=""),"",MAX(E50-D50,0))</f>
        <v/>
      </c>
      <c r="G50" s="59">
        <f>IF(F50="","",IF(N(C50)=0,1,C50))</f>
        <v/>
      </c>
      <c r="H50" s="53" t="n">
        <v>30</v>
      </c>
      <c r="I50" s="67" t="n"/>
      <c r="J50" s="55" t="n"/>
      <c r="K50" s="68" t="n"/>
      <c r="L50" s="68" t="n"/>
      <c r="M50" s="59">
        <f>IF(OR(L50="",K50=""),"",MAX(L50-K50,0))</f>
        <v/>
      </c>
      <c r="N50" s="59">
        <f>IF(M50="","",IF(N(J50)=0,1,J50))</f>
        <v/>
      </c>
    </row>
    <row r="51">
      <c r="A51" s="53" t="n">
        <v>31</v>
      </c>
      <c r="B51" s="67" t="n"/>
      <c r="C51" s="55" t="n"/>
      <c r="D51" s="68" t="n"/>
      <c r="E51" s="68" t="n"/>
      <c r="F51" s="59">
        <f>IF(OR(E51="",D51=""),"",MAX(E51-D51,0))</f>
        <v/>
      </c>
      <c r="G51" s="59">
        <f>IF(F51="","",IF(N(C51)=0,1,C51))</f>
        <v/>
      </c>
      <c r="H51" s="53" t="n">
        <v>31</v>
      </c>
      <c r="I51" s="67" t="n"/>
      <c r="J51" s="55" t="n"/>
      <c r="K51" s="68" t="n"/>
      <c r="L51" s="68" t="n"/>
      <c r="M51" s="59">
        <f>IF(OR(L51="",K51=""),"",MAX(L51-K51,0))</f>
        <v/>
      </c>
      <c r="N51" s="59">
        <f>IF(M51="","",IF(N(J51)=0,1,J51))</f>
        <v/>
      </c>
    </row>
    <row r="52">
      <c r="A52" s="53" t="n">
        <v>32</v>
      </c>
      <c r="B52" s="67" t="n"/>
      <c r="C52" s="55" t="n"/>
      <c r="D52" s="68" t="n"/>
      <c r="E52" s="68" t="n"/>
      <c r="F52" s="59">
        <f>IF(OR(E52="",D52=""),"",MAX(E52-D52,0))</f>
        <v/>
      </c>
      <c r="G52" s="59">
        <f>IF(F52="","",IF(N(C52)=0,1,C52))</f>
        <v/>
      </c>
      <c r="H52" s="53" t="n">
        <v>32</v>
      </c>
      <c r="I52" s="67" t="n"/>
      <c r="J52" s="55" t="n"/>
      <c r="K52" s="68" t="n"/>
      <c r="L52" s="68" t="n"/>
      <c r="M52" s="59">
        <f>IF(OR(L52="",K52=""),"",MAX(L52-K52,0))</f>
        <v/>
      </c>
      <c r="N52" s="59">
        <f>IF(M52="","",IF(N(J52)=0,1,J52))</f>
        <v/>
      </c>
    </row>
    <row r="53">
      <c r="A53" s="53" t="n">
        <v>33</v>
      </c>
      <c r="B53" s="67" t="n"/>
      <c r="C53" s="55" t="n"/>
      <c r="D53" s="68" t="n"/>
      <c r="E53" s="68" t="n"/>
      <c r="F53" s="59">
        <f>IF(OR(E53="",D53=""),"",MAX(E53-D53,0))</f>
        <v/>
      </c>
      <c r="G53" s="59">
        <f>IF(F53="","",IF(N(C53)=0,1,C53))</f>
        <v/>
      </c>
      <c r="H53" s="53" t="n">
        <v>33</v>
      </c>
      <c r="I53" s="67" t="n"/>
      <c r="J53" s="55" t="n"/>
      <c r="K53" s="68" t="n"/>
      <c r="L53" s="68" t="n"/>
      <c r="M53" s="59">
        <f>IF(OR(L53="",K53=""),"",MAX(L53-K53,0))</f>
        <v/>
      </c>
      <c r="N53" s="59">
        <f>IF(M53="","",IF(N(J53)=0,1,J53))</f>
        <v/>
      </c>
    </row>
    <row r="54">
      <c r="A54" s="53" t="n">
        <v>34</v>
      </c>
      <c r="B54" s="67" t="n"/>
      <c r="C54" s="55" t="n"/>
      <c r="D54" s="68" t="n"/>
      <c r="E54" s="68" t="n"/>
      <c r="F54" s="59">
        <f>IF(OR(E54="",D54=""),"",MAX(E54-D54,0))</f>
        <v/>
      </c>
      <c r="G54" s="59">
        <f>IF(F54="","",IF(N(C54)=0,1,C54))</f>
        <v/>
      </c>
      <c r="H54" s="53" t="n">
        <v>34</v>
      </c>
      <c r="I54" s="67" t="n"/>
      <c r="J54" s="55" t="n"/>
      <c r="K54" s="68" t="n"/>
      <c r="L54" s="68" t="n"/>
      <c r="M54" s="59">
        <f>IF(OR(L54="",K54=""),"",MAX(L54-K54,0))</f>
        <v/>
      </c>
      <c r="N54" s="59">
        <f>IF(M54="","",IF(N(J54)=0,1,J54))</f>
        <v/>
      </c>
    </row>
    <row r="55">
      <c r="A55" s="53" t="n">
        <v>35</v>
      </c>
      <c r="B55" s="67" t="n"/>
      <c r="C55" s="55" t="n"/>
      <c r="D55" s="68" t="n"/>
      <c r="E55" s="68" t="n"/>
      <c r="F55" s="59">
        <f>IF(OR(E55="",D55=""),"",MAX(E55-D55,0))</f>
        <v/>
      </c>
      <c r="G55" s="59">
        <f>IF(F55="","",IF(N(C55)=0,1,C55))</f>
        <v/>
      </c>
      <c r="H55" s="53" t="n">
        <v>35</v>
      </c>
      <c r="I55" s="67" t="n"/>
      <c r="J55" s="55" t="n"/>
      <c r="K55" s="68" t="n"/>
      <c r="L55" s="68" t="n"/>
      <c r="M55" s="59">
        <f>IF(OR(L55="",K55=""),"",MAX(L55-K55,0))</f>
        <v/>
      </c>
      <c r="N55" s="59">
        <f>IF(M55="","",IF(N(J55)=0,1,J55))</f>
        <v/>
      </c>
    </row>
    <row r="56">
      <c r="A56" s="53" t="n">
        <v>36</v>
      </c>
      <c r="B56" s="67" t="n"/>
      <c r="C56" s="55" t="n"/>
      <c r="D56" s="68" t="n"/>
      <c r="E56" s="68" t="n"/>
      <c r="F56" s="59">
        <f>IF(OR(E56="",D56=""),"",MAX(E56-D56,0))</f>
        <v/>
      </c>
      <c r="G56" s="59">
        <f>IF(F56="","",IF(N(C56)=0,1,C56))</f>
        <v/>
      </c>
      <c r="H56" s="53" t="n">
        <v>36</v>
      </c>
      <c r="I56" s="67" t="n"/>
      <c r="J56" s="55" t="n"/>
      <c r="K56" s="68" t="n"/>
      <c r="L56" s="68" t="n"/>
      <c r="M56" s="59">
        <f>IF(OR(L56="",K56=""),"",MAX(L56-K56,0))</f>
        <v/>
      </c>
      <c r="N56" s="59">
        <f>IF(M56="","",IF(N(J56)=0,1,J56))</f>
        <v/>
      </c>
    </row>
    <row r="57">
      <c r="A57" s="53" t="n">
        <v>37</v>
      </c>
      <c r="B57" s="67" t="n"/>
      <c r="C57" s="55" t="n"/>
      <c r="D57" s="68" t="n"/>
      <c r="E57" s="68" t="n"/>
      <c r="F57" s="59">
        <f>IF(OR(E57="",D57=""),"",MAX(E57-D57,0))</f>
        <v/>
      </c>
      <c r="G57" s="59">
        <f>IF(F57="","",IF(N(C57)=0,1,C57))</f>
        <v/>
      </c>
      <c r="H57" s="53" t="n">
        <v>37</v>
      </c>
      <c r="I57" s="67" t="n"/>
      <c r="J57" s="55" t="n"/>
      <c r="K57" s="68" t="n"/>
      <c r="L57" s="68" t="n"/>
      <c r="M57" s="59">
        <f>IF(OR(L57="",K57=""),"",MAX(L57-K57,0))</f>
        <v/>
      </c>
      <c r="N57" s="59">
        <f>IF(M57="","",IF(N(J57)=0,1,J57))</f>
        <v/>
      </c>
    </row>
    <row r="58">
      <c r="A58" s="53" t="n">
        <v>38</v>
      </c>
      <c r="B58" s="67" t="n"/>
      <c r="C58" s="55" t="n"/>
      <c r="D58" s="68" t="n"/>
      <c r="E58" s="68" t="n"/>
      <c r="F58" s="59">
        <f>IF(OR(E58="",D58=""),"",MAX(E58-D58,0))</f>
        <v/>
      </c>
      <c r="G58" s="59">
        <f>IF(F58="","",IF(N(C58)=0,1,C58))</f>
        <v/>
      </c>
      <c r="H58" s="53" t="n">
        <v>38</v>
      </c>
      <c r="I58" s="67" t="n"/>
      <c r="J58" s="55" t="n"/>
      <c r="K58" s="68" t="n"/>
      <c r="L58" s="68" t="n"/>
      <c r="M58" s="59">
        <f>IF(OR(L58="",K58=""),"",MAX(L58-K58,0))</f>
        <v/>
      </c>
      <c r="N58" s="59">
        <f>IF(M58="","",IF(N(J58)=0,1,J58))</f>
        <v/>
      </c>
    </row>
    <row r="59">
      <c r="A59" s="53" t="n">
        <v>39</v>
      </c>
      <c r="B59" s="67" t="n"/>
      <c r="C59" s="55" t="n"/>
      <c r="D59" s="68" t="n"/>
      <c r="E59" s="68" t="n"/>
      <c r="F59" s="59">
        <f>IF(OR(E59="",D59=""),"",MAX(E59-D59,0))</f>
        <v/>
      </c>
      <c r="G59" s="59">
        <f>IF(F59="","",IF(N(C59)=0,1,C59))</f>
        <v/>
      </c>
      <c r="H59" s="53" t="n">
        <v>39</v>
      </c>
      <c r="I59" s="67" t="n"/>
      <c r="J59" s="55" t="n"/>
      <c r="K59" s="68" t="n"/>
      <c r="L59" s="68" t="n"/>
      <c r="M59" s="59">
        <f>IF(OR(L59="",K59=""),"",MAX(L59-K59,0))</f>
        <v/>
      </c>
      <c r="N59" s="59">
        <f>IF(M59="","",IF(N(J59)=0,1,J59))</f>
        <v/>
      </c>
    </row>
    <row r="60">
      <c r="A60" s="53" t="n">
        <v>40</v>
      </c>
      <c r="B60" s="67" t="n"/>
      <c r="C60" s="55" t="n"/>
      <c r="D60" s="68" t="n"/>
      <c r="E60" s="68" t="n"/>
      <c r="F60" s="59">
        <f>IF(OR(E60="",D60=""),"",MAX(E60-D60,0))</f>
        <v/>
      </c>
      <c r="G60" s="59">
        <f>IF(F60="","",IF(N(C60)=0,1,C60))</f>
        <v/>
      </c>
      <c r="H60" s="53" t="n">
        <v>40</v>
      </c>
      <c r="I60" s="67" t="n"/>
      <c r="J60" s="55" t="n"/>
      <c r="K60" s="68" t="n"/>
      <c r="L60" s="68" t="n"/>
      <c r="M60" s="59">
        <f>IF(OR(L60="",K60=""),"",MAX(L60-K60,0))</f>
        <v/>
      </c>
      <c r="N60" s="59">
        <f>IF(M60="","",IF(N(J60)=0,1,J60))</f>
        <v/>
      </c>
    </row>
    <row r="61">
      <c r="A61" s="53" t="n">
        <v>41</v>
      </c>
      <c r="B61" s="67" t="n"/>
      <c r="C61" s="55" t="n"/>
      <c r="D61" s="68" t="n"/>
      <c r="E61" s="68" t="n"/>
      <c r="F61" s="59">
        <f>IF(OR(E61="",D61=""),"",MAX(E61-D61,0))</f>
        <v/>
      </c>
      <c r="G61" s="59">
        <f>IF(F61="","",IF(N(C61)=0,1,C61))</f>
        <v/>
      </c>
      <c r="H61" s="53" t="n">
        <v>41</v>
      </c>
      <c r="I61" s="67" t="n"/>
      <c r="J61" s="55" t="n"/>
      <c r="K61" s="68" t="n"/>
      <c r="L61" s="68" t="n"/>
      <c r="M61" s="59">
        <f>IF(OR(L61="",K61=""),"",MAX(L61-K61,0))</f>
        <v/>
      </c>
      <c r="N61" s="59">
        <f>IF(M61="","",IF(N(J61)=0,1,J61))</f>
        <v/>
      </c>
    </row>
    <row r="62">
      <c r="A62" s="53" t="n">
        <v>42</v>
      </c>
      <c r="B62" s="67" t="n"/>
      <c r="C62" s="55" t="n"/>
      <c r="D62" s="68" t="n"/>
      <c r="E62" s="68" t="n"/>
      <c r="F62" s="59">
        <f>IF(OR(E62="",D62=""),"",MAX(E62-D62,0))</f>
        <v/>
      </c>
      <c r="G62" s="59">
        <f>IF(F62="","",IF(N(C62)=0,1,C62))</f>
        <v/>
      </c>
      <c r="H62" s="53" t="n">
        <v>42</v>
      </c>
      <c r="I62" s="67" t="n"/>
      <c r="J62" s="55" t="n"/>
      <c r="K62" s="68" t="n"/>
      <c r="L62" s="68" t="n"/>
      <c r="M62" s="59">
        <f>IF(OR(L62="",K62=""),"",MAX(L62-K62,0))</f>
        <v/>
      </c>
      <c r="N62" s="59">
        <f>IF(M62="","",IF(N(J62)=0,1,J62))</f>
        <v/>
      </c>
    </row>
    <row r="63">
      <c r="A63" s="53" t="n">
        <v>43</v>
      </c>
      <c r="B63" s="67" t="n"/>
      <c r="C63" s="55" t="n"/>
      <c r="D63" s="68" t="n"/>
      <c r="E63" s="68" t="n"/>
      <c r="F63" s="59">
        <f>IF(OR(E63="",D63=""),"",MAX(E63-D63,0))</f>
        <v/>
      </c>
      <c r="G63" s="59">
        <f>IF(F63="","",IF(N(C63)=0,1,C63))</f>
        <v/>
      </c>
      <c r="H63" s="53" t="n">
        <v>43</v>
      </c>
      <c r="I63" s="67" t="n"/>
      <c r="J63" s="55" t="n"/>
      <c r="K63" s="68" t="n"/>
      <c r="L63" s="68" t="n"/>
      <c r="M63" s="59">
        <f>IF(OR(L63="",K63=""),"",MAX(L63-K63,0))</f>
        <v/>
      </c>
      <c r="N63" s="59">
        <f>IF(M63="","",IF(N(J63)=0,1,J63))</f>
        <v/>
      </c>
    </row>
    <row r="64">
      <c r="A64" s="53" t="n">
        <v>44</v>
      </c>
      <c r="B64" s="67" t="n"/>
      <c r="C64" s="55" t="n"/>
      <c r="D64" s="68" t="n"/>
      <c r="E64" s="68" t="n"/>
      <c r="F64" s="59">
        <f>IF(OR(E64="",D64=""),"",MAX(E64-D64,0))</f>
        <v/>
      </c>
      <c r="G64" s="59">
        <f>IF(F64="","",IF(N(C64)=0,1,C64))</f>
        <v/>
      </c>
      <c r="H64" s="53" t="n">
        <v>44</v>
      </c>
      <c r="I64" s="67" t="n"/>
      <c r="J64" s="55" t="n"/>
      <c r="K64" s="68" t="n"/>
      <c r="L64" s="68" t="n"/>
      <c r="M64" s="59">
        <f>IF(OR(L64="",K64=""),"",MAX(L64-K64,0))</f>
        <v/>
      </c>
      <c r="N64" s="59">
        <f>IF(M64="","",IF(N(J64)=0,1,J64))</f>
        <v/>
      </c>
    </row>
    <row r="65">
      <c r="A65" s="53" t="n">
        <v>45</v>
      </c>
      <c r="B65" s="67" t="n"/>
      <c r="C65" s="55" t="n"/>
      <c r="D65" s="68" t="n"/>
      <c r="E65" s="68" t="n"/>
      <c r="F65" s="59">
        <f>IF(OR(E65="",D65=""),"",MAX(E65-D65,0))</f>
        <v/>
      </c>
      <c r="G65" s="59">
        <f>IF(F65="","",IF(N(C65)=0,1,C65))</f>
        <v/>
      </c>
      <c r="H65" s="53" t="n">
        <v>45</v>
      </c>
      <c r="I65" s="67" t="n"/>
      <c r="J65" s="55" t="n"/>
      <c r="K65" s="68" t="n"/>
      <c r="L65" s="68" t="n"/>
      <c r="M65" s="59">
        <f>IF(OR(L65="",K65=""),"",MAX(L65-K65,0))</f>
        <v/>
      </c>
      <c r="N65" s="59">
        <f>IF(M65="","",IF(N(J65)=0,1,J65))</f>
        <v/>
      </c>
    </row>
    <row r="66">
      <c r="A66" s="53" t="n">
        <v>46</v>
      </c>
      <c r="B66" s="67" t="n"/>
      <c r="C66" s="55" t="n"/>
      <c r="D66" s="68" t="n"/>
      <c r="E66" s="68" t="n"/>
      <c r="F66" s="59">
        <f>IF(OR(E66="",D66=""),"",MAX(E66-D66,0))</f>
        <v/>
      </c>
      <c r="G66" s="59">
        <f>IF(F66="","",IF(N(C66)=0,1,C66))</f>
        <v/>
      </c>
      <c r="H66" s="53" t="n">
        <v>46</v>
      </c>
      <c r="I66" s="67" t="n"/>
      <c r="J66" s="55" t="n"/>
      <c r="K66" s="68" t="n"/>
      <c r="L66" s="68" t="n"/>
      <c r="M66" s="59">
        <f>IF(OR(L66="",K66=""),"",MAX(L66-K66,0))</f>
        <v/>
      </c>
      <c r="N66" s="59">
        <f>IF(M66="","",IF(N(J66)=0,1,J66))</f>
        <v/>
      </c>
    </row>
    <row r="67">
      <c r="A67" s="53" t="n">
        <v>47</v>
      </c>
      <c r="B67" s="67" t="n"/>
      <c r="C67" s="55" t="n"/>
      <c r="D67" s="68" t="n"/>
      <c r="E67" s="68" t="n"/>
      <c r="F67" s="59">
        <f>IF(OR(E67="",D67=""),"",MAX(E67-D67,0))</f>
        <v/>
      </c>
      <c r="G67" s="59">
        <f>IF(F67="","",IF(N(C67)=0,1,C67))</f>
        <v/>
      </c>
      <c r="H67" s="53" t="n">
        <v>47</v>
      </c>
      <c r="I67" s="67" t="n"/>
      <c r="J67" s="55" t="n"/>
      <c r="K67" s="68" t="n"/>
      <c r="L67" s="68" t="n"/>
      <c r="M67" s="59">
        <f>IF(OR(L67="",K67=""),"",MAX(L67-K67,0))</f>
        <v/>
      </c>
      <c r="N67" s="59">
        <f>IF(M67="","",IF(N(J67)=0,1,J67))</f>
        <v/>
      </c>
    </row>
    <row r="68">
      <c r="A68" s="53" t="n">
        <v>48</v>
      </c>
      <c r="B68" s="67" t="n"/>
      <c r="C68" s="55" t="n"/>
      <c r="D68" s="68" t="n"/>
      <c r="E68" s="68" t="n"/>
      <c r="F68" s="59">
        <f>IF(OR(E68="",D68=""),"",MAX(E68-D68,0))</f>
        <v/>
      </c>
      <c r="G68" s="59">
        <f>IF(F68="","",IF(N(C68)=0,1,C68))</f>
        <v/>
      </c>
      <c r="H68" s="53" t="n">
        <v>48</v>
      </c>
      <c r="I68" s="67" t="n"/>
      <c r="J68" s="55" t="n"/>
      <c r="K68" s="68" t="n"/>
      <c r="L68" s="68" t="n"/>
      <c r="M68" s="59">
        <f>IF(OR(L68="",K68=""),"",MAX(L68-K68,0))</f>
        <v/>
      </c>
      <c r="N68" s="59">
        <f>IF(M68="","",IF(N(J68)=0,1,J68))</f>
        <v/>
      </c>
    </row>
    <row r="69">
      <c r="A69" s="53" t="n">
        <v>49</v>
      </c>
      <c r="B69" s="67" t="n"/>
      <c r="C69" s="55" t="n"/>
      <c r="D69" s="68" t="n"/>
      <c r="E69" s="68" t="n"/>
      <c r="F69" s="59">
        <f>IF(OR(E69="",D69=""),"",MAX(E69-D69,0))</f>
        <v/>
      </c>
      <c r="G69" s="59">
        <f>IF(F69="","",IF(N(C69)=0,1,C69))</f>
        <v/>
      </c>
      <c r="H69" s="53" t="n">
        <v>49</v>
      </c>
      <c r="I69" s="67" t="n"/>
      <c r="J69" s="55" t="n"/>
      <c r="K69" s="68" t="n"/>
      <c r="L69" s="68" t="n"/>
      <c r="M69" s="59">
        <f>IF(OR(L69="",K69=""),"",MAX(L69-K69,0))</f>
        <v/>
      </c>
      <c r="N69" s="59">
        <f>IF(M69="","",IF(N(J69)=0,1,J69))</f>
        <v/>
      </c>
    </row>
    <row r="70">
      <c r="A70" s="53" t="n">
        <v>50</v>
      </c>
      <c r="B70" s="67" t="n"/>
      <c r="C70" s="55" t="n"/>
      <c r="D70" s="68" t="n"/>
      <c r="E70" s="68" t="n"/>
      <c r="F70" s="59">
        <f>IF(OR(E70="",D70=""),"",MAX(E70-D70,0))</f>
        <v/>
      </c>
      <c r="G70" s="59">
        <f>IF(F70="","",IF(N(C70)=0,1,C70))</f>
        <v/>
      </c>
      <c r="H70" s="53" t="n">
        <v>50</v>
      </c>
      <c r="I70" s="67" t="n"/>
      <c r="J70" s="55" t="n"/>
      <c r="K70" s="68" t="n"/>
      <c r="L70" s="68" t="n"/>
      <c r="M70" s="59">
        <f>IF(OR(L70="",K70=""),"",MAX(L70-K70,0))</f>
        <v/>
      </c>
      <c r="N70" s="59">
        <f>IF(M70="","",IF(N(J70)=0,1,J70))</f>
        <v/>
      </c>
    </row>
    <row r="71">
      <c r="A71" s="53" t="n">
        <v>51</v>
      </c>
      <c r="B71" s="67" t="n"/>
      <c r="C71" s="55" t="n"/>
      <c r="D71" s="68" t="n"/>
      <c r="E71" s="68" t="n"/>
      <c r="F71" s="59">
        <f>IF(OR(E71="",D71=""),"",MAX(E71-D71,0))</f>
        <v/>
      </c>
      <c r="G71" s="59">
        <f>IF(F71="","",IF(N(C71)=0,1,C71))</f>
        <v/>
      </c>
      <c r="H71" s="53" t="n">
        <v>51</v>
      </c>
      <c r="I71" s="67" t="n"/>
      <c r="J71" s="55" t="n"/>
      <c r="K71" s="68" t="n"/>
      <c r="L71" s="68" t="n"/>
      <c r="M71" s="59">
        <f>IF(OR(L71="",K71=""),"",MAX(L71-K71,0))</f>
        <v/>
      </c>
      <c r="N71" s="59">
        <f>IF(M71="","",IF(N(J71)=0,1,J71))</f>
        <v/>
      </c>
    </row>
    <row r="72">
      <c r="A72" s="53" t="n">
        <v>52</v>
      </c>
      <c r="B72" s="67" t="n"/>
      <c r="C72" s="55" t="n"/>
      <c r="D72" s="68" t="n"/>
      <c r="E72" s="68" t="n"/>
      <c r="F72" s="59">
        <f>IF(OR(E72="",D72=""),"",MAX(E72-D72,0))</f>
        <v/>
      </c>
      <c r="G72" s="59">
        <f>IF(F72="","",IF(N(C72)=0,1,C72))</f>
        <v/>
      </c>
      <c r="H72" s="53" t="n">
        <v>52</v>
      </c>
      <c r="I72" s="67" t="n"/>
      <c r="J72" s="55" t="n"/>
      <c r="K72" s="68" t="n"/>
      <c r="L72" s="68" t="n"/>
      <c r="M72" s="59">
        <f>IF(OR(L72="",K72=""),"",MAX(L72-K72,0))</f>
        <v/>
      </c>
      <c r="N72" s="59">
        <f>IF(M72="","",IF(N(J72)=0,1,J72))</f>
        <v/>
      </c>
    </row>
    <row r="73">
      <c r="A73" s="53" t="n">
        <v>53</v>
      </c>
      <c r="B73" s="67" t="n"/>
      <c r="C73" s="55" t="n"/>
      <c r="D73" s="68" t="n"/>
      <c r="E73" s="68" t="n"/>
      <c r="F73" s="59">
        <f>IF(OR(E73="",D73=""),"",MAX(E73-D73,0))</f>
        <v/>
      </c>
      <c r="G73" s="59">
        <f>IF(F73="","",IF(N(C73)=0,1,C73))</f>
        <v/>
      </c>
      <c r="H73" s="53" t="n">
        <v>53</v>
      </c>
      <c r="I73" s="67" t="n"/>
      <c r="J73" s="55" t="n"/>
      <c r="K73" s="68" t="n"/>
      <c r="L73" s="68" t="n"/>
      <c r="M73" s="59">
        <f>IF(OR(L73="",K73=""),"",MAX(L73-K73,0))</f>
        <v/>
      </c>
      <c r="N73" s="59">
        <f>IF(M73="","",IF(N(J73)=0,1,J73))</f>
        <v/>
      </c>
    </row>
    <row r="74">
      <c r="A74" s="53" t="n">
        <v>54</v>
      </c>
      <c r="B74" s="67" t="n"/>
      <c r="C74" s="55" t="n"/>
      <c r="D74" s="68" t="n"/>
      <c r="E74" s="68" t="n"/>
      <c r="F74" s="59">
        <f>IF(OR(E74="",D74=""),"",MAX(E74-D74,0))</f>
        <v/>
      </c>
      <c r="G74" s="59">
        <f>IF(F74="","",IF(N(C74)=0,1,C74))</f>
        <v/>
      </c>
      <c r="H74" s="53" t="n">
        <v>54</v>
      </c>
      <c r="I74" s="67" t="n"/>
      <c r="J74" s="55" t="n"/>
      <c r="K74" s="68" t="n"/>
      <c r="L74" s="68" t="n"/>
      <c r="M74" s="59">
        <f>IF(OR(L74="",K74=""),"",MAX(L74-K74,0))</f>
        <v/>
      </c>
      <c r="N74" s="59">
        <f>IF(M74="","",IF(N(J74)=0,1,J74))</f>
        <v/>
      </c>
    </row>
    <row r="75">
      <c r="A75" s="53" t="n">
        <v>55</v>
      </c>
      <c r="B75" s="67" t="n"/>
      <c r="C75" s="55" t="n"/>
      <c r="D75" s="68" t="n"/>
      <c r="E75" s="68" t="n"/>
      <c r="F75" s="59">
        <f>IF(OR(E75="",D75=""),"",MAX(E75-D75,0))</f>
        <v/>
      </c>
      <c r="G75" s="59">
        <f>IF(F75="","",IF(N(C75)=0,1,C75))</f>
        <v/>
      </c>
      <c r="H75" s="53" t="n">
        <v>55</v>
      </c>
      <c r="I75" s="67" t="n"/>
      <c r="J75" s="55" t="n"/>
      <c r="K75" s="68" t="n"/>
      <c r="L75" s="68" t="n"/>
      <c r="M75" s="59">
        <f>IF(OR(L75="",K75=""),"",MAX(L75-K75,0))</f>
        <v/>
      </c>
      <c r="N75" s="59">
        <f>IF(M75="","",IF(N(J75)=0,1,J75))</f>
        <v/>
      </c>
    </row>
    <row r="76">
      <c r="A76" s="53" t="n">
        <v>56</v>
      </c>
      <c r="B76" s="67" t="n"/>
      <c r="C76" s="55" t="n"/>
      <c r="D76" s="68" t="n"/>
      <c r="E76" s="68" t="n"/>
      <c r="F76" s="59">
        <f>IF(OR(E76="",D76=""),"",MAX(E76-D76,0))</f>
        <v/>
      </c>
      <c r="G76" s="59">
        <f>IF(F76="","",IF(N(C76)=0,1,C76))</f>
        <v/>
      </c>
      <c r="H76" s="53" t="n">
        <v>56</v>
      </c>
      <c r="I76" s="67" t="n"/>
      <c r="J76" s="55" t="n"/>
      <c r="K76" s="68" t="n"/>
      <c r="L76" s="68" t="n"/>
      <c r="M76" s="59">
        <f>IF(OR(L76="",K76=""),"",MAX(L76-K76,0))</f>
        <v/>
      </c>
      <c r="N76" s="59">
        <f>IF(M76="","",IF(N(J76)=0,1,J76))</f>
        <v/>
      </c>
    </row>
    <row r="77">
      <c r="A77" s="53" t="n">
        <v>57</v>
      </c>
      <c r="B77" s="67" t="n"/>
      <c r="C77" s="55" t="n"/>
      <c r="D77" s="68" t="n"/>
      <c r="E77" s="68" t="n"/>
      <c r="F77" s="59">
        <f>IF(OR(E77="",D77=""),"",MAX(E77-D77,0))</f>
        <v/>
      </c>
      <c r="G77" s="59">
        <f>IF(F77="","",IF(N(C77)=0,1,C77))</f>
        <v/>
      </c>
      <c r="H77" s="53" t="n">
        <v>57</v>
      </c>
      <c r="I77" s="67" t="n"/>
      <c r="J77" s="55" t="n"/>
      <c r="K77" s="68" t="n"/>
      <c r="L77" s="68" t="n"/>
      <c r="M77" s="59">
        <f>IF(OR(L77="",K77=""),"",MAX(L77-K77,0))</f>
        <v/>
      </c>
      <c r="N77" s="59">
        <f>IF(M77="","",IF(N(J77)=0,1,J77))</f>
        <v/>
      </c>
    </row>
    <row r="78">
      <c r="A78" s="53" t="n">
        <v>58</v>
      </c>
      <c r="B78" s="67" t="n"/>
      <c r="C78" s="55" t="n"/>
      <c r="D78" s="68" t="n"/>
      <c r="E78" s="68" t="n"/>
      <c r="F78" s="59">
        <f>IF(OR(E78="",D78=""),"",MAX(E78-D78,0))</f>
        <v/>
      </c>
      <c r="G78" s="59">
        <f>IF(F78="","",IF(N(C78)=0,1,C78))</f>
        <v/>
      </c>
      <c r="H78" s="53" t="n">
        <v>58</v>
      </c>
      <c r="I78" s="67" t="n"/>
      <c r="J78" s="55" t="n"/>
      <c r="K78" s="68" t="n"/>
      <c r="L78" s="68" t="n"/>
      <c r="M78" s="59">
        <f>IF(OR(L78="",K78=""),"",MAX(L78-K78,0))</f>
        <v/>
      </c>
      <c r="N78" s="59">
        <f>IF(M78="","",IF(N(J78)=0,1,J78))</f>
        <v/>
      </c>
    </row>
    <row r="79">
      <c r="A79" s="53" t="n">
        <v>59</v>
      </c>
      <c r="B79" s="67" t="n"/>
      <c r="C79" s="55" t="n"/>
      <c r="D79" s="68" t="n"/>
      <c r="E79" s="68" t="n"/>
      <c r="F79" s="59">
        <f>IF(OR(E79="",D79=""),"",MAX(E79-D79,0))</f>
        <v/>
      </c>
      <c r="G79" s="59">
        <f>IF(F79="","",IF(N(C79)=0,1,C79))</f>
        <v/>
      </c>
      <c r="H79" s="53" t="n">
        <v>59</v>
      </c>
      <c r="I79" s="67" t="n"/>
      <c r="J79" s="55" t="n"/>
      <c r="K79" s="68" t="n"/>
      <c r="L79" s="68" t="n"/>
      <c r="M79" s="59">
        <f>IF(OR(L79="",K79=""),"",MAX(L79-K79,0))</f>
        <v/>
      </c>
      <c r="N79" s="59">
        <f>IF(M79="","",IF(N(J79)=0,1,J79))</f>
        <v/>
      </c>
    </row>
    <row r="80">
      <c r="A80" s="53" t="n">
        <v>60</v>
      </c>
      <c r="B80" s="67" t="n"/>
      <c r="C80" s="55" t="n"/>
      <c r="D80" s="68" t="n"/>
      <c r="E80" s="68" t="n"/>
      <c r="F80" s="59">
        <f>IF(OR(E80="",D80=""),"",MAX(E80-D80,0))</f>
        <v/>
      </c>
      <c r="G80" s="59">
        <f>IF(F80="","",IF(N(C80)=0,1,C80))</f>
        <v/>
      </c>
      <c r="H80" s="53" t="n">
        <v>60</v>
      </c>
      <c r="I80" s="67" t="n"/>
      <c r="J80" s="55" t="n"/>
      <c r="K80" s="68" t="n"/>
      <c r="L80" s="68" t="n"/>
      <c r="M80" s="59">
        <f>IF(OR(L80="",K80=""),"",MAX(L80-K80,0))</f>
        <v/>
      </c>
      <c r="N80" s="59">
        <f>IF(M80="","",IF(N(J80)=0,1,J80))</f>
        <v/>
      </c>
    </row>
    <row r="81">
      <c r="A81" s="53" t="n">
        <v>61</v>
      </c>
      <c r="B81" s="67" t="n"/>
      <c r="C81" s="55" t="n"/>
      <c r="D81" s="68" t="n"/>
      <c r="E81" s="68" t="n"/>
      <c r="F81" s="59">
        <f>IF(OR(E81="",D81=""),"",MAX(E81-D81,0))</f>
        <v/>
      </c>
      <c r="G81" s="59">
        <f>IF(F81="","",IF(N(C81)=0,1,C81))</f>
        <v/>
      </c>
      <c r="H81" s="53" t="n">
        <v>61</v>
      </c>
      <c r="I81" s="67" t="n"/>
      <c r="J81" s="55" t="n"/>
      <c r="K81" s="68" t="n"/>
      <c r="L81" s="68" t="n"/>
      <c r="M81" s="59">
        <f>IF(OR(L81="",K81=""),"",MAX(L81-K81,0))</f>
        <v/>
      </c>
      <c r="N81" s="59">
        <f>IF(M81="","",IF(N(J81)=0,1,J81))</f>
        <v/>
      </c>
    </row>
    <row r="82">
      <c r="A82" s="53" t="n">
        <v>62</v>
      </c>
      <c r="B82" s="67" t="n"/>
      <c r="C82" s="55" t="n"/>
      <c r="D82" s="68" t="n"/>
      <c r="E82" s="68" t="n"/>
      <c r="F82" s="59">
        <f>IF(OR(E82="",D82=""),"",MAX(E82-D82,0))</f>
        <v/>
      </c>
      <c r="G82" s="59">
        <f>IF(F82="","",IF(N(C82)=0,1,C82))</f>
        <v/>
      </c>
      <c r="H82" s="53" t="n">
        <v>62</v>
      </c>
      <c r="I82" s="67" t="n"/>
      <c r="J82" s="55" t="n"/>
      <c r="K82" s="68" t="n"/>
      <c r="L82" s="68" t="n"/>
      <c r="M82" s="59">
        <f>IF(OR(L82="",K82=""),"",MAX(L82-K82,0))</f>
        <v/>
      </c>
      <c r="N82" s="59">
        <f>IF(M82="","",IF(N(J82)=0,1,J82))</f>
        <v/>
      </c>
    </row>
    <row r="83">
      <c r="A83" s="53" t="n">
        <v>63</v>
      </c>
      <c r="B83" s="67" t="n"/>
      <c r="C83" s="55" t="n"/>
      <c r="D83" s="68" t="n"/>
      <c r="E83" s="68" t="n"/>
      <c r="F83" s="59">
        <f>IF(OR(E83="",D83=""),"",MAX(E83-D83,0))</f>
        <v/>
      </c>
      <c r="G83" s="59">
        <f>IF(F83="","",IF(N(C83)=0,1,C83))</f>
        <v/>
      </c>
      <c r="H83" s="53" t="n">
        <v>63</v>
      </c>
      <c r="I83" s="67" t="n"/>
      <c r="J83" s="55" t="n"/>
      <c r="K83" s="68" t="n"/>
      <c r="L83" s="68" t="n"/>
      <c r="M83" s="59">
        <f>IF(OR(L83="",K83=""),"",MAX(L83-K83,0))</f>
        <v/>
      </c>
      <c r="N83" s="59">
        <f>IF(M83="","",IF(N(J83)=0,1,J83))</f>
        <v/>
      </c>
    </row>
    <row r="84">
      <c r="A84" s="53" t="n">
        <v>64</v>
      </c>
      <c r="B84" s="67" t="n"/>
      <c r="C84" s="55" t="n"/>
      <c r="D84" s="68" t="n"/>
      <c r="E84" s="68" t="n"/>
      <c r="F84" s="59">
        <f>IF(OR(E84="",D84=""),"",MAX(E84-D84,0))</f>
        <v/>
      </c>
      <c r="G84" s="59">
        <f>IF(F84="","",IF(N(C84)=0,1,C84))</f>
        <v/>
      </c>
      <c r="H84" s="53" t="n">
        <v>64</v>
      </c>
      <c r="I84" s="67" t="n"/>
      <c r="J84" s="55" t="n"/>
      <c r="K84" s="68" t="n"/>
      <c r="L84" s="68" t="n"/>
      <c r="M84" s="59">
        <f>IF(OR(L84="",K84=""),"",MAX(L84-K84,0))</f>
        <v/>
      </c>
      <c r="N84" s="59">
        <f>IF(M84="","",IF(N(J84)=0,1,J84))</f>
        <v/>
      </c>
    </row>
    <row r="85">
      <c r="A85" s="53" t="n">
        <v>65</v>
      </c>
      <c r="B85" s="67" t="n"/>
      <c r="C85" s="55" t="n"/>
      <c r="D85" s="68" t="n"/>
      <c r="E85" s="68" t="n"/>
      <c r="F85" s="59">
        <f>IF(OR(E85="",D85=""),"",MAX(E85-D85,0))</f>
        <v/>
      </c>
      <c r="G85" s="59">
        <f>IF(F85="","",IF(N(C85)=0,1,C85))</f>
        <v/>
      </c>
      <c r="H85" s="53" t="n">
        <v>65</v>
      </c>
      <c r="I85" s="67" t="n"/>
      <c r="J85" s="55" t="n"/>
      <c r="K85" s="68" t="n"/>
      <c r="L85" s="68" t="n"/>
      <c r="M85" s="59">
        <f>IF(OR(L85="",K85=""),"",MAX(L85-K85,0))</f>
        <v/>
      </c>
      <c r="N85" s="59">
        <f>IF(M85="","",IF(N(J85)=0,1,J85))</f>
        <v/>
      </c>
    </row>
    <row r="86">
      <c r="A86" s="53" t="n">
        <v>66</v>
      </c>
      <c r="B86" s="67" t="n"/>
      <c r="C86" s="55" t="n"/>
      <c r="D86" s="68" t="n"/>
      <c r="E86" s="68" t="n"/>
      <c r="F86" s="59">
        <f>IF(OR(E86="",D86=""),"",MAX(E86-D86,0))</f>
        <v/>
      </c>
      <c r="G86" s="59">
        <f>IF(F86="","",IF(N(C86)=0,1,C86))</f>
        <v/>
      </c>
      <c r="H86" s="53" t="n">
        <v>66</v>
      </c>
      <c r="I86" s="67" t="n"/>
      <c r="J86" s="55" t="n"/>
      <c r="K86" s="68" t="n"/>
      <c r="L86" s="68" t="n"/>
      <c r="M86" s="59">
        <f>IF(OR(L86="",K86=""),"",MAX(L86-K86,0))</f>
        <v/>
      </c>
      <c r="N86" s="59">
        <f>IF(M86="","",IF(N(J86)=0,1,J86))</f>
        <v/>
      </c>
    </row>
    <row r="87">
      <c r="A87" s="53" t="n">
        <v>67</v>
      </c>
      <c r="B87" s="67" t="n"/>
      <c r="C87" s="55" t="n"/>
      <c r="D87" s="68" t="n"/>
      <c r="E87" s="68" t="n"/>
      <c r="F87" s="59">
        <f>IF(OR(E87="",D87=""),"",MAX(E87-D87,0))</f>
        <v/>
      </c>
      <c r="G87" s="59">
        <f>IF(F87="","",IF(N(C87)=0,1,C87))</f>
        <v/>
      </c>
      <c r="H87" s="53" t="n">
        <v>67</v>
      </c>
      <c r="I87" s="67" t="n"/>
      <c r="J87" s="55" t="n"/>
      <c r="K87" s="68" t="n"/>
      <c r="L87" s="68" t="n"/>
      <c r="M87" s="59">
        <f>IF(OR(L87="",K87=""),"",MAX(L87-K87,0))</f>
        <v/>
      </c>
      <c r="N87" s="59">
        <f>IF(M87="","",IF(N(J87)=0,1,J87))</f>
        <v/>
      </c>
    </row>
    <row r="88">
      <c r="A88" s="53" t="n">
        <v>68</v>
      </c>
      <c r="B88" s="67" t="n"/>
      <c r="C88" s="55" t="n"/>
      <c r="D88" s="68" t="n"/>
      <c r="E88" s="68" t="n"/>
      <c r="F88" s="59">
        <f>IF(OR(E88="",D88=""),"",MAX(E88-D88,0))</f>
        <v/>
      </c>
      <c r="G88" s="59">
        <f>IF(F88="","",IF(N(C88)=0,1,C88))</f>
        <v/>
      </c>
      <c r="H88" s="53" t="n">
        <v>68</v>
      </c>
      <c r="I88" s="67" t="n"/>
      <c r="J88" s="55" t="n"/>
      <c r="K88" s="68" t="n"/>
      <c r="L88" s="68" t="n"/>
      <c r="M88" s="59">
        <f>IF(OR(L88="",K88=""),"",MAX(L88-K88,0))</f>
        <v/>
      </c>
      <c r="N88" s="59">
        <f>IF(M88="","",IF(N(J88)=0,1,J88))</f>
        <v/>
      </c>
    </row>
    <row r="89">
      <c r="A89" s="53" t="n">
        <v>69</v>
      </c>
      <c r="B89" s="67" t="n"/>
      <c r="C89" s="55" t="n"/>
      <c r="D89" s="68" t="n"/>
      <c r="E89" s="68" t="n"/>
      <c r="F89" s="59">
        <f>IF(OR(E89="",D89=""),"",MAX(E89-D89,0))</f>
        <v/>
      </c>
      <c r="G89" s="59">
        <f>IF(F89="","",IF(N(C89)=0,1,C89))</f>
        <v/>
      </c>
      <c r="H89" s="53" t="n">
        <v>69</v>
      </c>
      <c r="I89" s="67" t="n"/>
      <c r="J89" s="55" t="n"/>
      <c r="K89" s="68" t="n"/>
      <c r="L89" s="68" t="n"/>
      <c r="M89" s="59">
        <f>IF(OR(L89="",K89=""),"",MAX(L89-K89,0))</f>
        <v/>
      </c>
      <c r="N89" s="59">
        <f>IF(M89="","",IF(N(J89)=0,1,J89))</f>
        <v/>
      </c>
    </row>
    <row r="90">
      <c r="A90" s="53" t="n">
        <v>70</v>
      </c>
      <c r="B90" s="67" t="n"/>
      <c r="C90" s="55" t="n"/>
      <c r="D90" s="68" t="n"/>
      <c r="E90" s="68" t="n"/>
      <c r="F90" s="59">
        <f>IF(OR(E90="",D90=""),"",MAX(E90-D90,0))</f>
        <v/>
      </c>
      <c r="G90" s="59">
        <f>IF(F90="","",IF(N(C90)=0,1,C90))</f>
        <v/>
      </c>
      <c r="H90" s="53" t="n">
        <v>70</v>
      </c>
      <c r="I90" s="67" t="n"/>
      <c r="J90" s="55" t="n"/>
      <c r="K90" s="68" t="n"/>
      <c r="L90" s="68" t="n"/>
      <c r="M90" s="59">
        <f>IF(OR(L90="",K90=""),"",MAX(L90-K90,0))</f>
        <v/>
      </c>
      <c r="N90" s="59">
        <f>IF(M90="","",IF(N(J90)=0,1,J90))</f>
        <v/>
      </c>
    </row>
    <row r="91">
      <c r="A91" s="53" t="n">
        <v>71</v>
      </c>
      <c r="B91" s="67" t="n"/>
      <c r="C91" s="55" t="n"/>
      <c r="D91" s="68" t="n"/>
      <c r="E91" s="68" t="n"/>
      <c r="F91" s="59">
        <f>IF(OR(E91="",D91=""),"",MAX(E91-D91,0))</f>
        <v/>
      </c>
      <c r="G91" s="59">
        <f>IF(F91="","",IF(N(C91)=0,1,C91))</f>
        <v/>
      </c>
      <c r="H91" s="53" t="n">
        <v>71</v>
      </c>
      <c r="I91" s="67" t="n"/>
      <c r="J91" s="55" t="n"/>
      <c r="K91" s="68" t="n"/>
      <c r="L91" s="68" t="n"/>
      <c r="M91" s="59">
        <f>IF(OR(L91="",K91=""),"",MAX(L91-K91,0))</f>
        <v/>
      </c>
      <c r="N91" s="59">
        <f>IF(M91="","",IF(N(J91)=0,1,J91))</f>
        <v/>
      </c>
    </row>
    <row r="92">
      <c r="A92" s="53" t="n">
        <v>72</v>
      </c>
      <c r="B92" s="67" t="n"/>
      <c r="C92" s="55" t="n"/>
      <c r="D92" s="68" t="n"/>
      <c r="E92" s="68" t="n"/>
      <c r="F92" s="59">
        <f>IF(OR(E92="",D92=""),"",MAX(E92-D92,0))</f>
        <v/>
      </c>
      <c r="G92" s="59">
        <f>IF(F92="","",IF(N(C92)=0,1,C92))</f>
        <v/>
      </c>
      <c r="H92" s="53" t="n">
        <v>72</v>
      </c>
      <c r="I92" s="67" t="n"/>
      <c r="J92" s="55" t="n"/>
      <c r="K92" s="68" t="n"/>
      <c r="L92" s="68" t="n"/>
      <c r="M92" s="59">
        <f>IF(OR(L92="",K92=""),"",MAX(L92-K92,0))</f>
        <v/>
      </c>
      <c r="N92" s="59">
        <f>IF(M92="","",IF(N(J92)=0,1,J92))</f>
        <v/>
      </c>
    </row>
    <row r="93">
      <c r="A93" s="53" t="n">
        <v>73</v>
      </c>
      <c r="B93" s="67" t="n"/>
      <c r="C93" s="55" t="n"/>
      <c r="D93" s="68" t="n"/>
      <c r="E93" s="68" t="n"/>
      <c r="F93" s="59">
        <f>IF(OR(E93="",D93=""),"",MAX(E93-D93,0))</f>
        <v/>
      </c>
      <c r="G93" s="59">
        <f>IF(F93="","",IF(N(C93)=0,1,C93))</f>
        <v/>
      </c>
      <c r="H93" s="53" t="n">
        <v>73</v>
      </c>
      <c r="I93" s="67" t="n"/>
      <c r="J93" s="55" t="n"/>
      <c r="K93" s="68" t="n"/>
      <c r="L93" s="68" t="n"/>
      <c r="M93" s="59">
        <f>IF(OR(L93="",K93=""),"",MAX(L93-K93,0))</f>
        <v/>
      </c>
      <c r="N93" s="59">
        <f>IF(M93="","",IF(N(J93)=0,1,J93))</f>
        <v/>
      </c>
    </row>
    <row r="94">
      <c r="A94" s="53" t="n">
        <v>74</v>
      </c>
      <c r="B94" s="67" t="n"/>
      <c r="C94" s="55" t="n"/>
      <c r="D94" s="68" t="n"/>
      <c r="E94" s="68" t="n"/>
      <c r="F94" s="59">
        <f>IF(OR(E94="",D94=""),"",MAX(E94-D94,0))</f>
        <v/>
      </c>
      <c r="G94" s="59">
        <f>IF(F94="","",IF(N(C94)=0,1,C94))</f>
        <v/>
      </c>
      <c r="H94" s="53" t="n">
        <v>74</v>
      </c>
      <c r="I94" s="67" t="n"/>
      <c r="J94" s="55" t="n"/>
      <c r="K94" s="68" t="n"/>
      <c r="L94" s="68" t="n"/>
      <c r="M94" s="59">
        <f>IF(OR(L94="",K94=""),"",MAX(L94-K94,0))</f>
        <v/>
      </c>
      <c r="N94" s="59">
        <f>IF(M94="","",IF(N(J94)=0,1,J94))</f>
        <v/>
      </c>
    </row>
    <row r="95">
      <c r="A95" s="53" t="n">
        <v>75</v>
      </c>
      <c r="B95" s="67" t="n"/>
      <c r="C95" s="55" t="n"/>
      <c r="D95" s="68" t="n"/>
      <c r="E95" s="68" t="n"/>
      <c r="F95" s="59">
        <f>IF(OR(E95="",D95=""),"",MAX(E95-D95,0))</f>
        <v/>
      </c>
      <c r="G95" s="59">
        <f>IF(F95="","",IF(N(C95)=0,1,C95))</f>
        <v/>
      </c>
      <c r="H95" s="53" t="n">
        <v>75</v>
      </c>
      <c r="I95" s="67" t="n"/>
      <c r="J95" s="55" t="n"/>
      <c r="K95" s="68" t="n"/>
      <c r="L95" s="68" t="n"/>
      <c r="M95" s="59">
        <f>IF(OR(L95="",K95=""),"",MAX(L95-K95,0))</f>
        <v/>
      </c>
      <c r="N95" s="59">
        <f>IF(M95="","",IF(N(J95)=0,1,J95))</f>
        <v/>
      </c>
    </row>
    <row r="96">
      <c r="A96" s="53" t="n">
        <v>76</v>
      </c>
      <c r="B96" s="67" t="n"/>
      <c r="C96" s="55" t="n"/>
      <c r="D96" s="68" t="n"/>
      <c r="E96" s="68" t="n"/>
      <c r="F96" s="59">
        <f>IF(OR(E96="",D96=""),"",MAX(E96-D96,0))</f>
        <v/>
      </c>
      <c r="G96" s="59">
        <f>IF(F96="","",IF(N(C96)=0,1,C96))</f>
        <v/>
      </c>
      <c r="H96" s="53" t="n">
        <v>76</v>
      </c>
      <c r="I96" s="67" t="n"/>
      <c r="J96" s="55" t="n"/>
      <c r="K96" s="68" t="n"/>
      <c r="L96" s="68" t="n"/>
      <c r="M96" s="59">
        <f>IF(OR(L96="",K96=""),"",MAX(L96-K96,0))</f>
        <v/>
      </c>
      <c r="N96" s="59">
        <f>IF(M96="","",IF(N(J96)=0,1,J96))</f>
        <v/>
      </c>
    </row>
    <row r="97">
      <c r="A97" s="53" t="n">
        <v>77</v>
      </c>
      <c r="B97" s="67" t="n"/>
      <c r="C97" s="55" t="n"/>
      <c r="D97" s="68" t="n"/>
      <c r="E97" s="68" t="n"/>
      <c r="F97" s="59">
        <f>IF(OR(E97="",D97=""),"",MAX(E97-D97,0))</f>
        <v/>
      </c>
      <c r="G97" s="59">
        <f>IF(F97="","",IF(N(C97)=0,1,C97))</f>
        <v/>
      </c>
      <c r="H97" s="53" t="n">
        <v>77</v>
      </c>
      <c r="I97" s="67" t="n"/>
      <c r="J97" s="55" t="n"/>
      <c r="K97" s="68" t="n"/>
      <c r="L97" s="68" t="n"/>
      <c r="M97" s="59">
        <f>IF(OR(L97="",K97=""),"",MAX(L97-K97,0))</f>
        <v/>
      </c>
      <c r="N97" s="59">
        <f>IF(M97="","",IF(N(J97)=0,1,J97))</f>
        <v/>
      </c>
    </row>
    <row r="98">
      <c r="A98" s="53" t="n">
        <v>78</v>
      </c>
      <c r="B98" s="67" t="n"/>
      <c r="C98" s="55" t="n"/>
      <c r="D98" s="68" t="n"/>
      <c r="E98" s="68" t="n"/>
      <c r="F98" s="59">
        <f>IF(OR(E98="",D98=""),"",MAX(E98-D98,0))</f>
        <v/>
      </c>
      <c r="G98" s="59">
        <f>IF(F98="","",IF(N(C98)=0,1,C98))</f>
        <v/>
      </c>
      <c r="H98" s="53" t="n">
        <v>78</v>
      </c>
      <c r="I98" s="67" t="n"/>
      <c r="J98" s="55" t="n"/>
      <c r="K98" s="68" t="n"/>
      <c r="L98" s="68" t="n"/>
      <c r="M98" s="59">
        <f>IF(OR(L98="",K98=""),"",MAX(L98-K98,0))</f>
        <v/>
      </c>
      <c r="N98" s="59">
        <f>IF(M98="","",IF(N(J98)=0,1,J98))</f>
        <v/>
      </c>
    </row>
    <row r="99">
      <c r="A99" s="53" t="n">
        <v>79</v>
      </c>
      <c r="B99" s="67" t="n"/>
      <c r="C99" s="55" t="n"/>
      <c r="D99" s="68" t="n"/>
      <c r="E99" s="68" t="n"/>
      <c r="F99" s="59">
        <f>IF(OR(E99="",D99=""),"",MAX(E99-D99,0))</f>
        <v/>
      </c>
      <c r="G99" s="59">
        <f>IF(F99="","",IF(N(C99)=0,1,C99))</f>
        <v/>
      </c>
      <c r="H99" s="53" t="n">
        <v>79</v>
      </c>
      <c r="I99" s="67" t="n"/>
      <c r="J99" s="55" t="n"/>
      <c r="K99" s="68" t="n"/>
      <c r="L99" s="68" t="n"/>
      <c r="M99" s="59">
        <f>IF(OR(L99="",K99=""),"",MAX(L99-K99,0))</f>
        <v/>
      </c>
      <c r="N99" s="59">
        <f>IF(M99="","",IF(N(J99)=0,1,J99))</f>
        <v/>
      </c>
    </row>
    <row r="100">
      <c r="A100" s="53" t="n">
        <v>80</v>
      </c>
      <c r="B100" s="67" t="n"/>
      <c r="C100" s="55" t="n"/>
      <c r="D100" s="68" t="n"/>
      <c r="E100" s="68" t="n"/>
      <c r="F100" s="59">
        <f>IF(OR(E100="",D100=""),"",MAX(E100-D100,0))</f>
        <v/>
      </c>
      <c r="G100" s="59">
        <f>IF(F100="","",IF(N(C100)=0,1,C100))</f>
        <v/>
      </c>
      <c r="H100" s="53" t="n">
        <v>80</v>
      </c>
      <c r="I100" s="67" t="n"/>
      <c r="J100" s="55" t="n"/>
      <c r="K100" s="68" t="n"/>
      <c r="L100" s="68" t="n"/>
      <c r="M100" s="59">
        <f>IF(OR(L100="",K100=""),"",MAX(L100-K100,0))</f>
        <v/>
      </c>
      <c r="N100" s="59">
        <f>IF(M100="","",IF(N(J100)=0,1,J100))</f>
        <v/>
      </c>
    </row>
    <row r="101">
      <c r="A101" s="53" t="n">
        <v>81</v>
      </c>
      <c r="B101" s="67" t="n"/>
      <c r="C101" s="55" t="n"/>
      <c r="D101" s="68" t="n"/>
      <c r="E101" s="68" t="n"/>
      <c r="F101" s="59">
        <f>IF(OR(E101="",D101=""),"",MAX(E101-D101,0))</f>
        <v/>
      </c>
      <c r="G101" s="59">
        <f>IF(F101="","",IF(N(C101)=0,1,C101))</f>
        <v/>
      </c>
      <c r="H101" s="53" t="n">
        <v>81</v>
      </c>
      <c r="I101" s="67" t="n"/>
      <c r="J101" s="55" t="n"/>
      <c r="K101" s="68" t="n"/>
      <c r="L101" s="68" t="n"/>
      <c r="M101" s="59">
        <f>IF(OR(L101="",K101=""),"",MAX(L101-K101,0))</f>
        <v/>
      </c>
      <c r="N101" s="59">
        <f>IF(M101="","",IF(N(J101)=0,1,J101))</f>
        <v/>
      </c>
    </row>
    <row r="102">
      <c r="A102" s="53" t="n">
        <v>82</v>
      </c>
      <c r="B102" s="67" t="n"/>
      <c r="C102" s="55" t="n"/>
      <c r="D102" s="68" t="n"/>
      <c r="E102" s="68" t="n"/>
      <c r="F102" s="59">
        <f>IF(OR(E102="",D102=""),"",MAX(E102-D102,0))</f>
        <v/>
      </c>
      <c r="G102" s="59">
        <f>IF(F102="","",IF(N(C102)=0,1,C102))</f>
        <v/>
      </c>
      <c r="H102" s="53" t="n">
        <v>82</v>
      </c>
      <c r="I102" s="67" t="n"/>
      <c r="J102" s="55" t="n"/>
      <c r="K102" s="68" t="n"/>
      <c r="L102" s="68" t="n"/>
      <c r="M102" s="59">
        <f>IF(OR(L102="",K102=""),"",MAX(L102-K102,0))</f>
        <v/>
      </c>
      <c r="N102" s="59">
        <f>IF(M102="","",IF(N(J102)=0,1,J102))</f>
        <v/>
      </c>
    </row>
    <row r="103">
      <c r="A103" s="53" t="n">
        <v>83</v>
      </c>
      <c r="B103" s="67" t="n"/>
      <c r="C103" s="55" t="n"/>
      <c r="D103" s="68" t="n"/>
      <c r="E103" s="68" t="n"/>
      <c r="F103" s="59">
        <f>IF(OR(E103="",D103=""),"",MAX(E103-D103,0))</f>
        <v/>
      </c>
      <c r="G103" s="59">
        <f>IF(F103="","",IF(N(C103)=0,1,C103))</f>
        <v/>
      </c>
      <c r="H103" s="53" t="n">
        <v>83</v>
      </c>
      <c r="I103" s="67" t="n"/>
      <c r="J103" s="55" t="n"/>
      <c r="K103" s="68" t="n"/>
      <c r="L103" s="68" t="n"/>
      <c r="M103" s="59">
        <f>IF(OR(L103="",K103=""),"",MAX(L103-K103,0))</f>
        <v/>
      </c>
      <c r="N103" s="59">
        <f>IF(M103="","",IF(N(J103)=0,1,J103))</f>
        <v/>
      </c>
    </row>
    <row r="104">
      <c r="A104" s="53" t="n">
        <v>84</v>
      </c>
      <c r="B104" s="67" t="n"/>
      <c r="C104" s="55" t="n"/>
      <c r="D104" s="68" t="n"/>
      <c r="E104" s="68" t="n"/>
      <c r="F104" s="59">
        <f>IF(OR(E104="",D104=""),"",MAX(E104-D104,0))</f>
        <v/>
      </c>
      <c r="G104" s="59">
        <f>IF(F104="","",IF(N(C104)=0,1,C104))</f>
        <v/>
      </c>
      <c r="H104" s="53" t="n">
        <v>84</v>
      </c>
      <c r="I104" s="67" t="n"/>
      <c r="J104" s="55" t="n"/>
      <c r="K104" s="68" t="n"/>
      <c r="L104" s="68" t="n"/>
      <c r="M104" s="59">
        <f>IF(OR(L104="",K104=""),"",MAX(L104-K104,0))</f>
        <v/>
      </c>
      <c r="N104" s="59">
        <f>IF(M104="","",IF(N(J104)=0,1,J104))</f>
        <v/>
      </c>
    </row>
    <row r="105">
      <c r="A105" s="53" t="n">
        <v>85</v>
      </c>
      <c r="B105" s="67" t="n"/>
      <c r="C105" s="55" t="n"/>
      <c r="D105" s="68" t="n"/>
      <c r="E105" s="68" t="n"/>
      <c r="F105" s="59">
        <f>IF(OR(E105="",D105=""),"",MAX(E105-D105,0))</f>
        <v/>
      </c>
      <c r="G105" s="59">
        <f>IF(F105="","",IF(N(C105)=0,1,C105))</f>
        <v/>
      </c>
      <c r="H105" s="53" t="n">
        <v>85</v>
      </c>
      <c r="I105" s="67" t="n"/>
      <c r="J105" s="55" t="n"/>
      <c r="K105" s="68" t="n"/>
      <c r="L105" s="68" t="n"/>
      <c r="M105" s="59">
        <f>IF(OR(L105="",K105=""),"",MAX(L105-K105,0))</f>
        <v/>
      </c>
      <c r="N105" s="59">
        <f>IF(M105="","",IF(N(J105)=0,1,J105))</f>
        <v/>
      </c>
    </row>
    <row r="106">
      <c r="A106" s="53" t="n">
        <v>86</v>
      </c>
      <c r="B106" s="67" t="n"/>
      <c r="C106" s="55" t="n"/>
      <c r="D106" s="68" t="n"/>
      <c r="E106" s="68" t="n"/>
      <c r="F106" s="59">
        <f>IF(OR(E106="",D106=""),"",MAX(E106-D106,0))</f>
        <v/>
      </c>
      <c r="G106" s="59">
        <f>IF(F106="","",IF(N(C106)=0,1,C106))</f>
        <v/>
      </c>
      <c r="H106" s="53" t="n">
        <v>86</v>
      </c>
      <c r="I106" s="67" t="n"/>
      <c r="J106" s="55" t="n"/>
      <c r="K106" s="68" t="n"/>
      <c r="L106" s="68" t="n"/>
      <c r="M106" s="59">
        <f>IF(OR(L106="",K106=""),"",MAX(L106-K106,0))</f>
        <v/>
      </c>
      <c r="N106" s="59">
        <f>IF(M106="","",IF(N(J106)=0,1,J106))</f>
        <v/>
      </c>
    </row>
    <row r="107">
      <c r="A107" s="53" t="n">
        <v>87</v>
      </c>
      <c r="B107" s="67" t="n"/>
      <c r="C107" s="55" t="n"/>
      <c r="D107" s="68" t="n"/>
      <c r="E107" s="68" t="n"/>
      <c r="F107" s="59">
        <f>IF(OR(E107="",D107=""),"",MAX(E107-D107,0))</f>
        <v/>
      </c>
      <c r="G107" s="59">
        <f>IF(F107="","",IF(N(C107)=0,1,C107))</f>
        <v/>
      </c>
      <c r="H107" s="53" t="n">
        <v>87</v>
      </c>
      <c r="I107" s="67" t="n"/>
      <c r="J107" s="55" t="n"/>
      <c r="K107" s="68" t="n"/>
      <c r="L107" s="68" t="n"/>
      <c r="M107" s="59">
        <f>IF(OR(L107="",K107=""),"",MAX(L107-K107,0))</f>
        <v/>
      </c>
      <c r="N107" s="59">
        <f>IF(M107="","",IF(N(J107)=0,1,J107))</f>
        <v/>
      </c>
    </row>
    <row r="108">
      <c r="A108" s="53" t="n">
        <v>88</v>
      </c>
      <c r="B108" s="67" t="n"/>
      <c r="C108" s="55" t="n"/>
      <c r="D108" s="68" t="n"/>
      <c r="E108" s="68" t="n"/>
      <c r="F108" s="59">
        <f>IF(OR(E108="",D108=""),"",MAX(E108-D108,0))</f>
        <v/>
      </c>
      <c r="G108" s="59">
        <f>IF(F108="","",IF(N(C108)=0,1,C108))</f>
        <v/>
      </c>
      <c r="H108" s="53" t="n">
        <v>88</v>
      </c>
      <c r="I108" s="67" t="n"/>
      <c r="J108" s="55" t="n"/>
      <c r="K108" s="68" t="n"/>
      <c r="L108" s="68" t="n"/>
      <c r="M108" s="59">
        <f>IF(OR(L108="",K108=""),"",MAX(L108-K108,0))</f>
        <v/>
      </c>
      <c r="N108" s="59">
        <f>IF(M108="","",IF(N(J108)=0,1,J108))</f>
        <v/>
      </c>
    </row>
    <row r="109">
      <c r="A109" s="53" t="n">
        <v>89</v>
      </c>
      <c r="B109" s="67" t="n"/>
      <c r="C109" s="55" t="n"/>
      <c r="D109" s="68" t="n"/>
      <c r="E109" s="68" t="n"/>
      <c r="F109" s="59">
        <f>IF(OR(E109="",D109=""),"",MAX(E109-D109,0))</f>
        <v/>
      </c>
      <c r="G109" s="59">
        <f>IF(F109="","",IF(N(C109)=0,1,C109))</f>
        <v/>
      </c>
      <c r="H109" s="53" t="n">
        <v>89</v>
      </c>
      <c r="I109" s="67" t="n"/>
      <c r="J109" s="55" t="n"/>
      <c r="K109" s="68" t="n"/>
      <c r="L109" s="68" t="n"/>
      <c r="M109" s="59">
        <f>IF(OR(L109="",K109=""),"",MAX(L109-K109,0))</f>
        <v/>
      </c>
      <c r="N109" s="59">
        <f>IF(M109="","",IF(N(J109)=0,1,J109))</f>
        <v/>
      </c>
    </row>
    <row r="110">
      <c r="A110" s="53" t="n">
        <v>90</v>
      </c>
      <c r="B110" s="67" t="n"/>
      <c r="C110" s="55" t="n"/>
      <c r="D110" s="68" t="n"/>
      <c r="E110" s="68" t="n"/>
      <c r="F110" s="59">
        <f>IF(OR(E110="",D110=""),"",MAX(E110-D110,0))</f>
        <v/>
      </c>
      <c r="G110" s="59">
        <f>IF(F110="","",IF(N(C110)=0,1,C110))</f>
        <v/>
      </c>
      <c r="H110" s="53" t="n">
        <v>90</v>
      </c>
      <c r="I110" s="67" t="n"/>
      <c r="J110" s="55" t="n"/>
      <c r="K110" s="68" t="n"/>
      <c r="L110" s="68" t="n"/>
      <c r="M110" s="59">
        <f>IF(OR(L110="",K110=""),"",MAX(L110-K110,0))</f>
        <v/>
      </c>
      <c r="N110" s="59">
        <f>IF(M110="","",IF(N(J110)=0,1,J110))</f>
        <v/>
      </c>
    </row>
    <row r="111">
      <c r="A111" s="53" t="n">
        <v>91</v>
      </c>
      <c r="B111" s="67" t="n"/>
      <c r="C111" s="55" t="n"/>
      <c r="D111" s="68" t="n"/>
      <c r="E111" s="68" t="n"/>
      <c r="F111" s="59">
        <f>IF(OR(E111="",D111=""),"",MAX(E111-D111,0))</f>
        <v/>
      </c>
      <c r="G111" s="59">
        <f>IF(F111="","",IF(N(C111)=0,1,C111))</f>
        <v/>
      </c>
      <c r="H111" s="53" t="n">
        <v>91</v>
      </c>
      <c r="I111" s="67" t="n"/>
      <c r="J111" s="55" t="n"/>
      <c r="K111" s="68" t="n"/>
      <c r="L111" s="68" t="n"/>
      <c r="M111" s="59">
        <f>IF(OR(L111="",K111=""),"",MAX(L111-K111,0))</f>
        <v/>
      </c>
      <c r="N111" s="59">
        <f>IF(M111="","",IF(N(J111)=0,1,J111))</f>
        <v/>
      </c>
    </row>
    <row r="112">
      <c r="A112" s="53" t="n">
        <v>92</v>
      </c>
      <c r="B112" s="67" t="n"/>
      <c r="C112" s="55" t="n"/>
      <c r="D112" s="68" t="n"/>
      <c r="E112" s="68" t="n"/>
      <c r="F112" s="59">
        <f>IF(OR(E112="",D112=""),"",MAX(E112-D112,0))</f>
        <v/>
      </c>
      <c r="G112" s="59">
        <f>IF(F112="","",IF(N(C112)=0,1,C112))</f>
        <v/>
      </c>
      <c r="H112" s="53" t="n">
        <v>92</v>
      </c>
      <c r="I112" s="67" t="n"/>
      <c r="J112" s="55" t="n"/>
      <c r="K112" s="68" t="n"/>
      <c r="L112" s="68" t="n"/>
      <c r="M112" s="59">
        <f>IF(OR(L112="",K112=""),"",MAX(L112-K112,0))</f>
        <v/>
      </c>
      <c r="N112" s="59">
        <f>IF(M112="","",IF(N(J112)=0,1,J112))</f>
        <v/>
      </c>
    </row>
    <row r="113">
      <c r="A113" s="53" t="n">
        <v>93</v>
      </c>
      <c r="B113" s="67" t="n"/>
      <c r="C113" s="55" t="n"/>
      <c r="D113" s="68" t="n"/>
      <c r="E113" s="68" t="n"/>
      <c r="F113" s="59">
        <f>IF(OR(E113="",D113=""),"",MAX(E113-D113,0))</f>
        <v/>
      </c>
      <c r="G113" s="59">
        <f>IF(F113="","",IF(N(C113)=0,1,C113))</f>
        <v/>
      </c>
      <c r="H113" s="53" t="n">
        <v>93</v>
      </c>
      <c r="I113" s="67" t="n"/>
      <c r="J113" s="55" t="n"/>
      <c r="K113" s="68" t="n"/>
      <c r="L113" s="68" t="n"/>
      <c r="M113" s="59">
        <f>IF(OR(L113="",K113=""),"",MAX(L113-K113,0))</f>
        <v/>
      </c>
      <c r="N113" s="59">
        <f>IF(M113="","",IF(N(J113)=0,1,J113))</f>
        <v/>
      </c>
    </row>
    <row r="114">
      <c r="A114" s="53" t="n">
        <v>94</v>
      </c>
      <c r="B114" s="67" t="n"/>
      <c r="C114" s="55" t="n"/>
      <c r="D114" s="68" t="n"/>
      <c r="E114" s="68" t="n"/>
      <c r="F114" s="59">
        <f>IF(OR(E114="",D114=""),"",MAX(E114-D114,0))</f>
        <v/>
      </c>
      <c r="G114" s="59">
        <f>IF(F114="","",IF(N(C114)=0,1,C114))</f>
        <v/>
      </c>
      <c r="H114" s="53" t="n">
        <v>94</v>
      </c>
      <c r="I114" s="67" t="n"/>
      <c r="J114" s="55" t="n"/>
      <c r="K114" s="68" t="n"/>
      <c r="L114" s="68" t="n"/>
      <c r="M114" s="59">
        <f>IF(OR(L114="",K114=""),"",MAX(L114-K114,0))</f>
        <v/>
      </c>
      <c r="N114" s="59">
        <f>IF(M114="","",IF(N(J114)=0,1,J114))</f>
        <v/>
      </c>
    </row>
    <row r="115">
      <c r="A115" s="53" t="n">
        <v>95</v>
      </c>
      <c r="B115" s="67" t="n"/>
      <c r="C115" s="55" t="n"/>
      <c r="D115" s="68" t="n"/>
      <c r="E115" s="68" t="n"/>
      <c r="F115" s="59">
        <f>IF(OR(E115="",D115=""),"",MAX(E115-D115,0))</f>
        <v/>
      </c>
      <c r="G115" s="59">
        <f>IF(F115="","",IF(N(C115)=0,1,C115))</f>
        <v/>
      </c>
      <c r="H115" s="53" t="n">
        <v>95</v>
      </c>
      <c r="I115" s="67" t="n"/>
      <c r="J115" s="55" t="n"/>
      <c r="K115" s="68" t="n"/>
      <c r="L115" s="68" t="n"/>
      <c r="M115" s="59">
        <f>IF(OR(L115="",K115=""),"",MAX(L115-K115,0))</f>
        <v/>
      </c>
      <c r="N115" s="59">
        <f>IF(M115="","",IF(N(J115)=0,1,J115))</f>
        <v/>
      </c>
    </row>
    <row r="116">
      <c r="A116" s="53" t="n">
        <v>96</v>
      </c>
      <c r="B116" s="67" t="n"/>
      <c r="C116" s="55" t="n"/>
      <c r="D116" s="68" t="n"/>
      <c r="E116" s="68" t="n"/>
      <c r="F116" s="59">
        <f>IF(OR(E116="",D116=""),"",MAX(E116-D116,0))</f>
        <v/>
      </c>
      <c r="G116" s="59">
        <f>IF(F116="","",IF(N(C116)=0,1,C116))</f>
        <v/>
      </c>
      <c r="H116" s="53" t="n">
        <v>96</v>
      </c>
      <c r="I116" s="67" t="n"/>
      <c r="J116" s="55" t="n"/>
      <c r="K116" s="68" t="n"/>
      <c r="L116" s="68" t="n"/>
      <c r="M116" s="59">
        <f>IF(OR(L116="",K116=""),"",MAX(L116-K116,0))</f>
        <v/>
      </c>
      <c r="N116" s="59">
        <f>IF(M116="","",IF(N(J116)=0,1,J116))</f>
        <v/>
      </c>
    </row>
    <row r="117">
      <c r="A117" s="53" t="n">
        <v>97</v>
      </c>
      <c r="B117" s="67" t="n"/>
      <c r="C117" s="55" t="n"/>
      <c r="D117" s="68" t="n"/>
      <c r="E117" s="68" t="n"/>
      <c r="F117" s="59">
        <f>IF(OR(E117="",D117=""),"",MAX(E117-D117,0))</f>
        <v/>
      </c>
      <c r="G117" s="59">
        <f>IF(F117="","",IF(N(C117)=0,1,C117))</f>
        <v/>
      </c>
      <c r="H117" s="53" t="n">
        <v>97</v>
      </c>
      <c r="I117" s="67" t="n"/>
      <c r="J117" s="55" t="n"/>
      <c r="K117" s="68" t="n"/>
      <c r="L117" s="68" t="n"/>
      <c r="M117" s="59">
        <f>IF(OR(L117="",K117=""),"",MAX(L117-K117,0))</f>
        <v/>
      </c>
      <c r="N117" s="59">
        <f>IF(M117="","",IF(N(J117)=0,1,J117))</f>
        <v/>
      </c>
    </row>
    <row r="118">
      <c r="A118" s="53" t="n">
        <v>98</v>
      </c>
      <c r="B118" s="67" t="n"/>
      <c r="C118" s="55" t="n"/>
      <c r="D118" s="68" t="n"/>
      <c r="E118" s="68" t="n"/>
      <c r="F118" s="59">
        <f>IF(OR(E118="",D118=""),"",MAX(E118-D118,0))</f>
        <v/>
      </c>
      <c r="G118" s="59">
        <f>IF(F118="","",IF(N(C118)=0,1,C118))</f>
        <v/>
      </c>
      <c r="H118" s="53" t="n">
        <v>98</v>
      </c>
      <c r="I118" s="67" t="n"/>
      <c r="J118" s="55" t="n"/>
      <c r="K118" s="68" t="n"/>
      <c r="L118" s="68" t="n"/>
      <c r="M118" s="59">
        <f>IF(OR(L118="",K118=""),"",MAX(L118-K118,0))</f>
        <v/>
      </c>
      <c r="N118" s="59">
        <f>IF(M118="","",IF(N(J118)=0,1,J118))</f>
        <v/>
      </c>
    </row>
    <row r="119">
      <c r="A119" s="53" t="n">
        <v>99</v>
      </c>
      <c r="B119" s="67" t="n"/>
      <c r="C119" s="55" t="n"/>
      <c r="D119" s="68" t="n"/>
      <c r="E119" s="68" t="n"/>
      <c r="F119" s="59">
        <f>IF(OR(E119="",D119=""),"",MAX(E119-D119,0))</f>
        <v/>
      </c>
      <c r="G119" s="59">
        <f>IF(F119="","",IF(N(C119)=0,1,C119))</f>
        <v/>
      </c>
      <c r="H119" s="53" t="n">
        <v>99</v>
      </c>
      <c r="I119" s="67" t="n"/>
      <c r="J119" s="55" t="n"/>
      <c r="K119" s="68" t="n"/>
      <c r="L119" s="68" t="n"/>
      <c r="M119" s="59">
        <f>IF(OR(L119="",K119=""),"",MAX(L119-K119,0))</f>
        <v/>
      </c>
      <c r="N119" s="59">
        <f>IF(M119="","",IF(N(J119)=0,1,J119))</f>
        <v/>
      </c>
    </row>
    <row r="120">
      <c r="A120" s="53" t="n">
        <v>100</v>
      </c>
      <c r="B120" s="67" t="n"/>
      <c r="C120" s="55" t="n"/>
      <c r="D120" s="68" t="n"/>
      <c r="E120" s="68" t="n"/>
      <c r="F120" s="59">
        <f>IF(OR(E120="",D120=""),"",MAX(E120-D120,0))</f>
        <v/>
      </c>
      <c r="G120" s="59">
        <f>IF(F120="","",IF(N(C120)=0,1,C120))</f>
        <v/>
      </c>
      <c r="H120" s="53" t="n">
        <v>100</v>
      </c>
      <c r="I120" s="67" t="n"/>
      <c r="J120" s="55" t="n"/>
      <c r="K120" s="68" t="n"/>
      <c r="L120" s="68" t="n"/>
      <c r="M120" s="59">
        <f>IF(OR(L120="",K120=""),"",MAX(L120-K120,0))</f>
        <v/>
      </c>
      <c r="N120" s="59">
        <f>IF(M120="","",IF(N(J120)=0,1,J120))</f>
        <v/>
      </c>
    </row>
    <row r="121">
      <c r="A121" s="53" t="n">
        <v>101</v>
      </c>
      <c r="B121" s="67" t="n"/>
      <c r="C121" s="55" t="n"/>
      <c r="D121" s="68" t="n"/>
      <c r="E121" s="68" t="n"/>
      <c r="F121" s="59">
        <f>IF(OR(E121="",D121=""),"",MAX(E121-D121,0))</f>
        <v/>
      </c>
      <c r="G121" s="59">
        <f>IF(F121="","",IF(N(C121)=0,1,C121))</f>
        <v/>
      </c>
      <c r="H121" s="53" t="n">
        <v>101</v>
      </c>
      <c r="I121" s="67" t="n"/>
      <c r="J121" s="55" t="n"/>
      <c r="K121" s="68" t="n"/>
      <c r="L121" s="68" t="n"/>
      <c r="M121" s="59">
        <f>IF(OR(L121="",K121=""),"",MAX(L121-K121,0))</f>
        <v/>
      </c>
      <c r="N121" s="59">
        <f>IF(M121="","",IF(N(J121)=0,1,J121))</f>
        <v/>
      </c>
    </row>
    <row r="122">
      <c r="A122" s="53" t="n">
        <v>102</v>
      </c>
      <c r="B122" s="67" t="n"/>
      <c r="C122" s="55" t="n"/>
      <c r="D122" s="68" t="n"/>
      <c r="E122" s="68" t="n"/>
      <c r="F122" s="59">
        <f>IF(OR(E122="",D122=""),"",MAX(E122-D122,0))</f>
        <v/>
      </c>
      <c r="G122" s="59">
        <f>IF(F122="","",IF(N(C122)=0,1,C122))</f>
        <v/>
      </c>
      <c r="H122" s="53" t="n">
        <v>102</v>
      </c>
      <c r="I122" s="67" t="n"/>
      <c r="J122" s="55" t="n"/>
      <c r="K122" s="68" t="n"/>
      <c r="L122" s="68" t="n"/>
      <c r="M122" s="59">
        <f>IF(OR(L122="",K122=""),"",MAX(L122-K122,0))</f>
        <v/>
      </c>
      <c r="N122" s="59">
        <f>IF(M122="","",IF(N(J122)=0,1,J122))</f>
        <v/>
      </c>
    </row>
    <row r="123">
      <c r="A123" s="53" t="n">
        <v>103</v>
      </c>
      <c r="B123" s="67" t="n"/>
      <c r="C123" s="55" t="n"/>
      <c r="D123" s="68" t="n"/>
      <c r="E123" s="68" t="n"/>
      <c r="F123" s="59">
        <f>IF(OR(E123="",D123=""),"",MAX(E123-D123,0))</f>
        <v/>
      </c>
      <c r="G123" s="59">
        <f>IF(F123="","",IF(N(C123)=0,1,C123))</f>
        <v/>
      </c>
      <c r="H123" s="53" t="n">
        <v>103</v>
      </c>
      <c r="I123" s="67" t="n"/>
      <c r="J123" s="55" t="n"/>
      <c r="K123" s="68" t="n"/>
      <c r="L123" s="68" t="n"/>
      <c r="M123" s="59">
        <f>IF(OR(L123="",K123=""),"",MAX(L123-K123,0))</f>
        <v/>
      </c>
      <c r="N123" s="59">
        <f>IF(M123="","",IF(N(J123)=0,1,J123))</f>
        <v/>
      </c>
    </row>
    <row r="124">
      <c r="A124" s="53" t="n">
        <v>104</v>
      </c>
      <c r="B124" s="67" t="n"/>
      <c r="C124" s="55" t="n"/>
      <c r="D124" s="68" t="n"/>
      <c r="E124" s="68" t="n"/>
      <c r="F124" s="59">
        <f>IF(OR(E124="",D124=""),"",MAX(E124-D124,0))</f>
        <v/>
      </c>
      <c r="G124" s="59">
        <f>IF(F124="","",IF(N(C124)=0,1,C124))</f>
        <v/>
      </c>
      <c r="H124" s="53" t="n">
        <v>104</v>
      </c>
      <c r="I124" s="67" t="n"/>
      <c r="J124" s="55" t="n"/>
      <c r="K124" s="68" t="n"/>
      <c r="L124" s="68" t="n"/>
      <c r="M124" s="59">
        <f>IF(OR(L124="",K124=""),"",MAX(L124-K124,0))</f>
        <v/>
      </c>
      <c r="N124" s="59">
        <f>IF(M124="","",IF(N(J124)=0,1,J124))</f>
        <v/>
      </c>
    </row>
    <row r="125">
      <c r="A125" s="53" t="n">
        <v>105</v>
      </c>
      <c r="B125" s="67" t="n"/>
      <c r="C125" s="55" t="n"/>
      <c r="D125" s="68" t="n"/>
      <c r="E125" s="68" t="n"/>
      <c r="F125" s="59">
        <f>IF(OR(E125="",D125=""),"",MAX(E125-D125,0))</f>
        <v/>
      </c>
      <c r="G125" s="59">
        <f>IF(F125="","",IF(N(C125)=0,1,C125))</f>
        <v/>
      </c>
      <c r="H125" s="53" t="n">
        <v>105</v>
      </c>
      <c r="I125" s="67" t="n"/>
      <c r="J125" s="55" t="n"/>
      <c r="K125" s="68" t="n"/>
      <c r="L125" s="68" t="n"/>
      <c r="M125" s="59">
        <f>IF(OR(L125="",K125=""),"",MAX(L125-K125,0))</f>
        <v/>
      </c>
      <c r="N125" s="59">
        <f>IF(M125="","",IF(N(J125)=0,1,J125))</f>
        <v/>
      </c>
    </row>
    <row r="126">
      <c r="A126" s="53" t="n">
        <v>106</v>
      </c>
      <c r="B126" s="67" t="n"/>
      <c r="C126" s="55" t="n"/>
      <c r="D126" s="68" t="n"/>
      <c r="E126" s="68" t="n"/>
      <c r="F126" s="59">
        <f>IF(OR(E126="",D126=""),"",MAX(E126-D126,0))</f>
        <v/>
      </c>
      <c r="G126" s="59">
        <f>IF(F126="","",IF(N(C126)=0,1,C126))</f>
        <v/>
      </c>
      <c r="H126" s="53" t="n">
        <v>106</v>
      </c>
      <c r="I126" s="67" t="n"/>
      <c r="J126" s="55" t="n"/>
      <c r="K126" s="68" t="n"/>
      <c r="L126" s="68" t="n"/>
      <c r="M126" s="59">
        <f>IF(OR(L126="",K126=""),"",MAX(L126-K126,0))</f>
        <v/>
      </c>
      <c r="N126" s="59">
        <f>IF(M126="","",IF(N(J126)=0,1,J126))</f>
        <v/>
      </c>
    </row>
    <row r="127">
      <c r="A127" s="53" t="n">
        <v>107</v>
      </c>
      <c r="B127" s="67" t="n"/>
      <c r="C127" s="55" t="n"/>
      <c r="D127" s="68" t="n"/>
      <c r="E127" s="68" t="n"/>
      <c r="F127" s="59">
        <f>IF(OR(E127="",D127=""),"",MAX(E127-D127,0))</f>
        <v/>
      </c>
      <c r="G127" s="59">
        <f>IF(F127="","",IF(N(C127)=0,1,C127))</f>
        <v/>
      </c>
      <c r="H127" s="53" t="n">
        <v>107</v>
      </c>
      <c r="I127" s="67" t="n"/>
      <c r="J127" s="55" t="n"/>
      <c r="K127" s="68" t="n"/>
      <c r="L127" s="68" t="n"/>
      <c r="M127" s="59">
        <f>IF(OR(L127="",K127=""),"",MAX(L127-K127,0))</f>
        <v/>
      </c>
      <c r="N127" s="59">
        <f>IF(M127="","",IF(N(J127)=0,1,J127))</f>
        <v/>
      </c>
    </row>
    <row r="128">
      <c r="A128" s="53" t="n">
        <v>108</v>
      </c>
      <c r="B128" s="67" t="n"/>
      <c r="C128" s="55" t="n"/>
      <c r="D128" s="68" t="n"/>
      <c r="E128" s="68" t="n"/>
      <c r="F128" s="59">
        <f>IF(OR(E128="",D128=""),"",MAX(E128-D128,0))</f>
        <v/>
      </c>
      <c r="G128" s="59">
        <f>IF(F128="","",IF(N(C128)=0,1,C128))</f>
        <v/>
      </c>
      <c r="H128" s="53" t="n">
        <v>108</v>
      </c>
      <c r="I128" s="67" t="n"/>
      <c r="J128" s="55" t="n"/>
      <c r="K128" s="68" t="n"/>
      <c r="L128" s="68" t="n"/>
      <c r="M128" s="59">
        <f>IF(OR(L128="",K128=""),"",MAX(L128-K128,0))</f>
        <v/>
      </c>
      <c r="N128" s="59">
        <f>IF(M128="","",IF(N(J128)=0,1,J128))</f>
        <v/>
      </c>
    </row>
    <row r="129">
      <c r="A129" s="53" t="n">
        <v>109</v>
      </c>
      <c r="B129" s="67" t="n"/>
      <c r="C129" s="55" t="n"/>
      <c r="D129" s="68" t="n"/>
      <c r="E129" s="68" t="n"/>
      <c r="F129" s="59">
        <f>IF(OR(E129="",D129=""),"",MAX(E129-D129,0))</f>
        <v/>
      </c>
      <c r="G129" s="59">
        <f>IF(F129="","",IF(N(C129)=0,1,C129))</f>
        <v/>
      </c>
      <c r="H129" s="53" t="n">
        <v>109</v>
      </c>
      <c r="I129" s="67" t="n"/>
      <c r="J129" s="55" t="n"/>
      <c r="K129" s="68" t="n"/>
      <c r="L129" s="68" t="n"/>
      <c r="M129" s="59">
        <f>IF(OR(L129="",K129=""),"",MAX(L129-K129,0))</f>
        <v/>
      </c>
      <c r="N129" s="59">
        <f>IF(M129="","",IF(N(J129)=0,1,J129))</f>
        <v/>
      </c>
    </row>
    <row r="130">
      <c r="A130" s="53" t="n">
        <v>110</v>
      </c>
      <c r="B130" s="67" t="n"/>
      <c r="C130" s="55" t="n"/>
      <c r="D130" s="68" t="n"/>
      <c r="E130" s="68" t="n"/>
      <c r="F130" s="59">
        <f>IF(OR(E130="",D130=""),"",MAX(E130-D130,0))</f>
        <v/>
      </c>
      <c r="G130" s="59">
        <f>IF(F130="","",IF(N(C130)=0,1,C130))</f>
        <v/>
      </c>
      <c r="H130" s="53" t="n">
        <v>110</v>
      </c>
      <c r="I130" s="67" t="n"/>
      <c r="J130" s="55" t="n"/>
      <c r="K130" s="68" t="n"/>
      <c r="L130" s="68" t="n"/>
      <c r="M130" s="59">
        <f>IF(OR(L130="",K130=""),"",MAX(L130-K130,0))</f>
        <v/>
      </c>
      <c r="N130" s="59">
        <f>IF(M130="","",IF(N(J130)=0,1,J130))</f>
        <v/>
      </c>
    </row>
    <row r="131">
      <c r="A131" s="53" t="n">
        <v>111</v>
      </c>
      <c r="B131" s="67" t="n"/>
      <c r="C131" s="55" t="n"/>
      <c r="D131" s="68" t="n"/>
      <c r="E131" s="68" t="n"/>
      <c r="F131" s="59">
        <f>IF(OR(E131="",D131=""),"",MAX(E131-D131,0))</f>
        <v/>
      </c>
      <c r="G131" s="59">
        <f>IF(F131="","",IF(N(C131)=0,1,C131))</f>
        <v/>
      </c>
      <c r="H131" s="53" t="n">
        <v>111</v>
      </c>
      <c r="I131" s="67" t="n"/>
      <c r="J131" s="55" t="n"/>
      <c r="K131" s="68" t="n"/>
      <c r="L131" s="68" t="n"/>
      <c r="M131" s="59">
        <f>IF(OR(L131="",K131=""),"",MAX(L131-K131,0))</f>
        <v/>
      </c>
      <c r="N131" s="59">
        <f>IF(M131="","",IF(N(J131)=0,1,J131))</f>
        <v/>
      </c>
    </row>
    <row r="132">
      <c r="A132" s="53" t="n">
        <v>112</v>
      </c>
      <c r="B132" s="67" t="n"/>
      <c r="C132" s="55" t="n"/>
      <c r="D132" s="68" t="n"/>
      <c r="E132" s="68" t="n"/>
      <c r="F132" s="59">
        <f>IF(OR(E132="",D132=""),"",MAX(E132-D132,0))</f>
        <v/>
      </c>
      <c r="G132" s="59">
        <f>IF(F132="","",IF(N(C132)=0,1,C132))</f>
        <v/>
      </c>
      <c r="H132" s="53" t="n">
        <v>112</v>
      </c>
      <c r="I132" s="67" t="n"/>
      <c r="J132" s="55" t="n"/>
      <c r="K132" s="68" t="n"/>
      <c r="L132" s="68" t="n"/>
      <c r="M132" s="59">
        <f>IF(OR(L132="",K132=""),"",MAX(L132-K132,0))</f>
        <v/>
      </c>
      <c r="N132" s="59">
        <f>IF(M132="","",IF(N(J132)=0,1,J132))</f>
        <v/>
      </c>
    </row>
    <row r="133">
      <c r="A133" s="53" t="n">
        <v>113</v>
      </c>
      <c r="B133" s="67" t="n"/>
      <c r="C133" s="55" t="n"/>
      <c r="D133" s="68" t="n"/>
      <c r="E133" s="68" t="n"/>
      <c r="F133" s="59">
        <f>IF(OR(E133="",D133=""),"",MAX(E133-D133,0))</f>
        <v/>
      </c>
      <c r="G133" s="59">
        <f>IF(F133="","",IF(N(C133)=0,1,C133))</f>
        <v/>
      </c>
      <c r="H133" s="53" t="n">
        <v>113</v>
      </c>
      <c r="I133" s="67" t="n"/>
      <c r="J133" s="55" t="n"/>
      <c r="K133" s="68" t="n"/>
      <c r="L133" s="68" t="n"/>
      <c r="M133" s="59">
        <f>IF(OR(L133="",K133=""),"",MAX(L133-K133,0))</f>
        <v/>
      </c>
      <c r="N133" s="59">
        <f>IF(M133="","",IF(N(J133)=0,1,J133))</f>
        <v/>
      </c>
    </row>
    <row r="134">
      <c r="A134" s="53" t="n">
        <v>114</v>
      </c>
      <c r="B134" s="67" t="n"/>
      <c r="C134" s="55" t="n"/>
      <c r="D134" s="68" t="n"/>
      <c r="E134" s="68" t="n"/>
      <c r="F134" s="59">
        <f>IF(OR(E134="",D134=""),"",MAX(E134-D134,0))</f>
        <v/>
      </c>
      <c r="G134" s="59">
        <f>IF(F134="","",IF(N(C134)=0,1,C134))</f>
        <v/>
      </c>
      <c r="H134" s="53" t="n">
        <v>114</v>
      </c>
      <c r="I134" s="67" t="n"/>
      <c r="J134" s="55" t="n"/>
      <c r="K134" s="68" t="n"/>
      <c r="L134" s="68" t="n"/>
      <c r="M134" s="59">
        <f>IF(OR(L134="",K134=""),"",MAX(L134-K134,0))</f>
        <v/>
      </c>
      <c r="N134" s="59">
        <f>IF(M134="","",IF(N(J134)=0,1,J134))</f>
        <v/>
      </c>
    </row>
    <row r="135">
      <c r="A135" s="53" t="n">
        <v>115</v>
      </c>
      <c r="B135" s="67" t="n"/>
      <c r="C135" s="55" t="n"/>
      <c r="D135" s="68" t="n"/>
      <c r="E135" s="68" t="n"/>
      <c r="F135" s="59">
        <f>IF(OR(E135="",D135=""),"",MAX(E135-D135,0))</f>
        <v/>
      </c>
      <c r="G135" s="59">
        <f>IF(F135="","",IF(N(C135)=0,1,C135))</f>
        <v/>
      </c>
      <c r="H135" s="53" t="n">
        <v>115</v>
      </c>
      <c r="I135" s="67" t="n"/>
      <c r="J135" s="55" t="n"/>
      <c r="K135" s="68" t="n"/>
      <c r="L135" s="68" t="n"/>
      <c r="M135" s="59">
        <f>IF(OR(L135="",K135=""),"",MAX(L135-K135,0))</f>
        <v/>
      </c>
      <c r="N135" s="59">
        <f>IF(M135="","",IF(N(J135)=0,1,J135))</f>
        <v/>
      </c>
    </row>
    <row r="136">
      <c r="A136" s="53" t="n">
        <v>116</v>
      </c>
      <c r="B136" s="67" t="n"/>
      <c r="C136" s="55" t="n"/>
      <c r="D136" s="68" t="n"/>
      <c r="E136" s="68" t="n"/>
      <c r="F136" s="59">
        <f>IF(OR(E136="",D136=""),"",MAX(E136-D136,0))</f>
        <v/>
      </c>
      <c r="G136" s="59">
        <f>IF(F136="","",IF(N(C136)=0,1,C136))</f>
        <v/>
      </c>
      <c r="H136" s="53" t="n">
        <v>116</v>
      </c>
      <c r="I136" s="67" t="n"/>
      <c r="J136" s="55" t="n"/>
      <c r="K136" s="68" t="n"/>
      <c r="L136" s="68" t="n"/>
      <c r="M136" s="59">
        <f>IF(OR(L136="",K136=""),"",MAX(L136-K136,0))</f>
        <v/>
      </c>
      <c r="N136" s="59">
        <f>IF(M136="","",IF(N(J136)=0,1,J136))</f>
        <v/>
      </c>
    </row>
    <row r="137">
      <c r="A137" s="53" t="n">
        <v>117</v>
      </c>
      <c r="B137" s="67" t="n"/>
      <c r="C137" s="55" t="n"/>
      <c r="D137" s="68" t="n"/>
      <c r="E137" s="68" t="n"/>
      <c r="F137" s="59">
        <f>IF(OR(E137="",D137=""),"",MAX(E137-D137,0))</f>
        <v/>
      </c>
      <c r="G137" s="59">
        <f>IF(F137="","",IF(N(C137)=0,1,C137))</f>
        <v/>
      </c>
      <c r="H137" s="53" t="n">
        <v>117</v>
      </c>
      <c r="I137" s="67" t="n"/>
      <c r="J137" s="55" t="n"/>
      <c r="K137" s="68" t="n"/>
      <c r="L137" s="68" t="n"/>
      <c r="M137" s="59">
        <f>IF(OR(L137="",K137=""),"",MAX(L137-K137,0))</f>
        <v/>
      </c>
      <c r="N137" s="59">
        <f>IF(M137="","",IF(N(J137)=0,1,J137))</f>
        <v/>
      </c>
    </row>
    <row r="138">
      <c r="A138" s="53" t="n">
        <v>118</v>
      </c>
      <c r="B138" s="67" t="n"/>
      <c r="C138" s="55" t="n"/>
      <c r="D138" s="68" t="n"/>
      <c r="E138" s="68" t="n"/>
      <c r="F138" s="59">
        <f>IF(OR(E138="",D138=""),"",MAX(E138-D138,0))</f>
        <v/>
      </c>
      <c r="G138" s="59">
        <f>IF(F138="","",IF(N(C138)=0,1,C138))</f>
        <v/>
      </c>
      <c r="H138" s="53" t="n">
        <v>118</v>
      </c>
      <c r="I138" s="67" t="n"/>
      <c r="J138" s="55" t="n"/>
      <c r="K138" s="68" t="n"/>
      <c r="L138" s="68" t="n"/>
      <c r="M138" s="59">
        <f>IF(OR(L138="",K138=""),"",MAX(L138-K138,0))</f>
        <v/>
      </c>
      <c r="N138" s="59">
        <f>IF(M138="","",IF(N(J138)=0,1,J138))</f>
        <v/>
      </c>
    </row>
    <row r="139">
      <c r="A139" s="53" t="n">
        <v>119</v>
      </c>
      <c r="B139" s="67" t="n"/>
      <c r="C139" s="55" t="n"/>
      <c r="D139" s="68" t="n"/>
      <c r="E139" s="68" t="n"/>
      <c r="F139" s="59">
        <f>IF(OR(E139="",D139=""),"",MAX(E139-D139,0))</f>
        <v/>
      </c>
      <c r="G139" s="59">
        <f>IF(F139="","",IF(N(C139)=0,1,C139))</f>
        <v/>
      </c>
      <c r="H139" s="53" t="n">
        <v>119</v>
      </c>
      <c r="I139" s="67" t="n"/>
      <c r="J139" s="55" t="n"/>
      <c r="K139" s="68" t="n"/>
      <c r="L139" s="68" t="n"/>
      <c r="M139" s="59">
        <f>IF(OR(L139="",K139=""),"",MAX(L139-K139,0))</f>
        <v/>
      </c>
      <c r="N139" s="59">
        <f>IF(M139="","",IF(N(J139)=0,1,J139))</f>
        <v/>
      </c>
    </row>
    <row r="140">
      <c r="A140" s="53" t="n">
        <v>120</v>
      </c>
      <c r="B140" s="67" t="n"/>
      <c r="C140" s="55" t="n"/>
      <c r="D140" s="68" t="n"/>
      <c r="E140" s="68" t="n"/>
      <c r="F140" s="59">
        <f>IF(OR(E140="",D140=""),"",MAX(E140-D140,0))</f>
        <v/>
      </c>
      <c r="G140" s="59">
        <f>IF(F140="","",IF(N(C140)=0,1,C140))</f>
        <v/>
      </c>
      <c r="H140" s="53" t="n">
        <v>120</v>
      </c>
      <c r="I140" s="67" t="n"/>
      <c r="J140" s="55" t="n"/>
      <c r="K140" s="68" t="n"/>
      <c r="L140" s="68" t="n"/>
      <c r="M140" s="59">
        <f>IF(OR(L140="",K140=""),"",MAX(L140-K140,0))</f>
        <v/>
      </c>
      <c r="N140" s="59">
        <f>IF(M140="","",IF(N(J140)=0,1,J140))</f>
        <v/>
      </c>
    </row>
    <row r="141">
      <c r="A141" s="60" t="n"/>
      <c r="B141" s="61" t="inlineStr">
        <is>
          <t>Total</t>
        </is>
      </c>
      <c r="C141" s="65">
        <f>SUM(C21:C140)</f>
        <v/>
      </c>
      <c r="D141" s="60" t="n"/>
      <c r="E141" s="60" t="n"/>
      <c r="F141" s="62">
        <f>IF(N(G141)=0,"",SUMPRODUCT(F21:F140,G21:G140)/G141)</f>
        <v/>
      </c>
      <c r="G141" s="65">
        <f>SUM(G21:G140)</f>
        <v/>
      </c>
      <c r="H141" s="60" t="n"/>
      <c r="I141" s="61" t="inlineStr">
        <is>
          <t>Total</t>
        </is>
      </c>
      <c r="J141" s="65">
        <f>SUM(J21:J140)</f>
        <v/>
      </c>
      <c r="K141" s="60" t="n"/>
      <c r="L141" s="60" t="n"/>
      <c r="M141" s="62">
        <f>IF(N(N141)=0,"",SUMPRODUCT(M21:M140,N21:N140)/N141)</f>
        <v/>
      </c>
      <c r="N141" s="65">
        <f>SUM(N21:N140)</f>
        <v/>
      </c>
    </row>
    <row r="142">
      <c r="B142" s="66" t="inlineStr">
        <is>
          <t>Insert rows above the Total row as necessary and copy the formulas of the 'Time to Hire' and 'Posts Filled' columns into the new rows. Blank 'No. of Posts' on a filled position counts as 1 post.</t>
        </is>
      </c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IK1mo3n2o9zLr8wGMYhctA==" formatRows="0" sort="1" spinCount="100000" hashValue="BxtlLJhy4LlRWdVEjwrO4taZuxvjBDAYtqNtPV4JxIOlFYuzAu35PaQ28q55hr5X/YUx3By7q0/tp1NhUSsxrA=="/>
  <mergeCells count="24">
    <mergeCell ref="Y2:AA2"/>
    <mergeCell ref="Y1:AA1"/>
    <mergeCell ref="A18:C18"/>
    <mergeCell ref="Q1:S1"/>
    <mergeCell ref="D18:E19"/>
    <mergeCell ref="O1:O2"/>
    <mergeCell ref="A2:C2"/>
    <mergeCell ref="D1:F2"/>
    <mergeCell ref="W1:W2"/>
    <mergeCell ref="M18:N19"/>
    <mergeCell ref="H19:J19"/>
    <mergeCell ref="I1:K1"/>
    <mergeCell ref="AB1:AD2"/>
    <mergeCell ref="AE1:AE2"/>
    <mergeCell ref="Q2:S2"/>
    <mergeCell ref="A19:C19"/>
    <mergeCell ref="H18:J18"/>
    <mergeCell ref="K18:L19"/>
    <mergeCell ref="G1:G2"/>
    <mergeCell ref="L1:N2"/>
    <mergeCell ref="I2:K2"/>
    <mergeCell ref="A1:C1"/>
    <mergeCell ref="T1:V2"/>
    <mergeCell ref="F18:G19"/>
  </mergeCells>
  <dataValidations count="5">
    <dataValidation sqref="D21:E14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C21:C140" showDropDown="0" showInputMessage="0" showErrorMessage="1" allowBlank="1" error="No. of Posts must be a whole number &gt;= 1." type="whole" operator="greaterThanOrEqual">
      <formula1>1</formula1>
    </dataValidation>
    <dataValidation sqref="K21:L14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J21:J140" showDropDown="0" showInputMessage="0" showErrorMessage="1" allowBlank="1" error="No. of Posts must be a whole number &gt;= 1." type="whole" operator="greaterThanOrEqual">
      <formula1>1</formula1>
    </dataValidation>
    <dataValidation sqref="D4:D15" showDropDown="0" showInputMessage="0" showErrorMessage="1" allowBlank="1" error="Working days must be between 0 and 31." type="whole" operator="between">
      <formula1>0</formula1>
      <formula2>31</formula2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72"/>
  <sheetViews>
    <sheetView showGridLines="0" zoomScale="80" workbookViewId="0">
      <selection activeCell="A1" sqref="A1"/>
    </sheetView>
  </sheetViews>
  <sheetFormatPr baseColWidth="8" defaultRowHeight="15"/>
  <cols>
    <col width="5.5" customWidth="1" min="1" max="1"/>
    <col width="16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5.5" customWidth="1" min="8" max="8"/>
    <col width="16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3" customWidth="1" min="15" max="15"/>
    <col width="3" customWidth="1" min="16" max="16"/>
    <col width="5.5" customWidth="1" min="17" max="17"/>
    <col width="16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3" customWidth="1" min="24" max="24"/>
    <col width="5.5" customWidth="1" min="25" max="25"/>
    <col width="1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4.75" customHeight="1">
      <c r="A1" s="40" t="inlineStr">
        <is>
          <t>GCG Aviation Ground Honduras</t>
        </is>
      </c>
      <c r="B1" s="41" t="n"/>
      <c r="C1" s="42" t="n"/>
      <c r="D1" s="40" t="inlineStr">
        <is>
          <t>ABSENCE RATE YTD</t>
        </is>
      </c>
      <c r="E1" s="43" t="n"/>
      <c r="F1" s="44" t="n"/>
      <c r="G1" s="45">
        <f>G16</f>
        <v/>
      </c>
      <c r="I1" s="40">
        <f>A1</f>
        <v/>
      </c>
      <c r="J1" s="41" t="n"/>
      <c r="K1" s="42" t="n"/>
      <c r="L1" s="40" t="inlineStr">
        <is>
          <t>ABSENCE RATE YTD</t>
        </is>
      </c>
      <c r="M1" s="43" t="n"/>
      <c r="N1" s="44" t="n"/>
      <c r="O1" s="45">
        <f>O16</f>
        <v/>
      </c>
      <c r="Q1" s="40">
        <f>A1</f>
        <v/>
      </c>
      <c r="R1" s="41" t="n"/>
      <c r="S1" s="42" t="n"/>
      <c r="T1" s="40" t="inlineStr">
        <is>
          <t>ABSENCE RATE YTD</t>
        </is>
      </c>
      <c r="U1" s="43" t="n"/>
      <c r="V1" s="44" t="n"/>
      <c r="W1" s="45">
        <f>W16</f>
        <v/>
      </c>
      <c r="Y1" s="40">
        <f>A1</f>
        <v/>
      </c>
      <c r="Z1" s="41" t="n"/>
      <c r="AA1" s="42" t="n"/>
      <c r="AB1" s="40" t="inlineStr">
        <is>
          <t>TIME TO HIRE YTD (Days)</t>
        </is>
      </c>
      <c r="AC1" s="43" t="n"/>
      <c r="AD1" s="44" t="n"/>
      <c r="AE1" s="46">
        <f>AE16</f>
        <v/>
      </c>
    </row>
    <row r="2" ht="18.75" customHeight="1">
      <c r="A2" s="47" t="inlineStr">
        <is>
          <t>NON-CERTIFIED</t>
        </is>
      </c>
      <c r="B2" s="41" t="n"/>
      <c r="C2" s="42" t="n"/>
      <c r="D2" s="48" t="n"/>
      <c r="E2" s="49" t="n"/>
      <c r="F2" s="50" t="n"/>
      <c r="G2" s="51" t="n"/>
      <c r="I2" s="47" t="inlineStr">
        <is>
          <t>CERTIFIED</t>
        </is>
      </c>
      <c r="J2" s="41" t="n"/>
      <c r="K2" s="42" t="n"/>
      <c r="L2" s="48" t="n"/>
      <c r="M2" s="49" t="n"/>
      <c r="N2" s="50" t="n"/>
      <c r="O2" s="51" t="n"/>
      <c r="Q2" s="47" t="inlineStr">
        <is>
          <t>TOTAL ABSENCES</t>
        </is>
      </c>
      <c r="R2" s="41" t="n"/>
      <c r="S2" s="42" t="n"/>
      <c r="T2" s="48" t="n"/>
      <c r="U2" s="49" t="n"/>
      <c r="V2" s="50" t="n"/>
      <c r="W2" s="51" t="n"/>
      <c r="Y2" s="47" t="inlineStr">
        <is>
          <t>TIME TO HIRE BY MONTH</t>
        </is>
      </c>
      <c r="Z2" s="41" t="n"/>
      <c r="AA2" s="42" t="n"/>
      <c r="AB2" s="48" t="n"/>
      <c r="AC2" s="49" t="n"/>
      <c r="AD2" s="50" t="n"/>
      <c r="AE2" s="51" t="n"/>
    </row>
    <row r="3" ht="55" customHeight="1">
      <c r="A3" s="52" t="inlineStr">
        <is>
          <t>No.</t>
        </is>
      </c>
      <c r="B3" s="52" t="inlineStr">
        <is>
          <t>Month</t>
        </is>
      </c>
      <c r="C3" s="52" t="inlineStr">
        <is>
          <t>Total Employees</t>
        </is>
      </c>
      <c r="D3" s="52" t="inlineStr">
        <is>
          <t>Working Days</t>
        </is>
      </c>
      <c r="E3" s="52" t="inlineStr">
        <is>
          <t>Total Days Lost</t>
        </is>
      </c>
      <c r="F3" s="52" t="inlineStr">
        <is>
          <t>Total Working Days</t>
        </is>
      </c>
      <c r="G3" s="52" t="inlineStr">
        <is>
          <t>Monthly Absence Rate</t>
        </is>
      </c>
      <c r="I3" s="52" t="inlineStr">
        <is>
          <t>No.</t>
        </is>
      </c>
      <c r="J3" s="52" t="inlineStr">
        <is>
          <t>Month</t>
        </is>
      </c>
      <c r="K3" s="52" t="inlineStr">
        <is>
          <t>Total Employees</t>
        </is>
      </c>
      <c r="L3" s="52" t="inlineStr">
        <is>
          <t>Working Days</t>
        </is>
      </c>
      <c r="M3" s="52" t="inlineStr">
        <is>
          <t>Total Days Lost</t>
        </is>
      </c>
      <c r="N3" s="52" t="inlineStr">
        <is>
          <t>Total Working Days</t>
        </is>
      </c>
      <c r="O3" s="52" t="inlineStr">
        <is>
          <t>Monthly Absence Rate</t>
        </is>
      </c>
      <c r="Q3" s="52" t="inlineStr">
        <is>
          <t>No.</t>
        </is>
      </c>
      <c r="R3" s="52" t="inlineStr">
        <is>
          <t>Month</t>
        </is>
      </c>
      <c r="S3" s="52" t="inlineStr">
        <is>
          <t>Total Employees</t>
        </is>
      </c>
      <c r="T3" s="52" t="inlineStr">
        <is>
          <t>Working Days</t>
        </is>
      </c>
      <c r="U3" s="52" t="inlineStr">
        <is>
          <t>Total Days Lost</t>
        </is>
      </c>
      <c r="V3" s="52" t="inlineStr">
        <is>
          <t>Total Working Days</t>
        </is>
      </c>
      <c r="W3" s="52" t="inlineStr">
        <is>
          <t>Monthly Absence Rate</t>
        </is>
      </c>
      <c r="Y3" s="52" t="inlineStr">
        <is>
          <t>No.</t>
        </is>
      </c>
      <c r="Z3" s="52" t="inlineStr">
        <is>
          <t>Month</t>
        </is>
      </c>
      <c r="AA3" s="52" t="inlineStr">
        <is>
          <t>Permanent Posts Filled YTD</t>
        </is>
      </c>
      <c r="AB3" s="52" t="inlineStr">
        <is>
          <t>Permanent Time to Hire YTD (Days)</t>
        </is>
      </c>
      <c r="AC3" s="52" t="inlineStr">
        <is>
          <t>Temporary Posts Filled YTD</t>
        </is>
      </c>
      <c r="AD3" s="52" t="inlineStr">
        <is>
          <t>Temporary Time to Hire YTD (Days)</t>
        </is>
      </c>
      <c r="AE3" s="52" t="inlineStr">
        <is>
          <t>Total Time to Hire YTD (Days)</t>
        </is>
      </c>
    </row>
    <row r="4" ht="18.75" customHeight="1">
      <c r="A4" s="53" t="n">
        <v>1</v>
      </c>
      <c r="B4" s="54" t="n">
        <v>46296</v>
      </c>
      <c r="C4" s="53">
        <f>IF(OCT!$F$5="","",OCT!$F$5)</f>
        <v/>
      </c>
      <c r="D4" s="55" t="n"/>
      <c r="E4" s="56">
        <f>IF(OCT!$F$43="","",OCT!$F$43)</f>
        <v/>
      </c>
      <c r="F4" s="57">
        <f>IF(OR(C4="",D4=""),"",C4*D4)</f>
        <v/>
      </c>
      <c r="G4" s="58">
        <f>IF(OR(E4="",N(F4)=0),"",E4/F4)</f>
        <v/>
      </c>
      <c r="I4" s="53" t="n">
        <v>1</v>
      </c>
      <c r="J4" s="54" t="n">
        <v>46296</v>
      </c>
      <c r="K4" s="53">
        <f>C4</f>
        <v/>
      </c>
      <c r="L4" s="59">
        <f>IF(D4="","",D4)</f>
        <v/>
      </c>
      <c r="M4" s="56">
        <f>IF(OCT!$F$44="","",OCT!$F$44)</f>
        <v/>
      </c>
      <c r="N4" s="57">
        <f>IF(OR(K4="",L4=""),"",K4*L4)</f>
        <v/>
      </c>
      <c r="O4" s="58">
        <f>IF(OR(M4="",N(N4)=0),"",M4/N4)</f>
        <v/>
      </c>
      <c r="Q4" s="53" t="n">
        <v>1</v>
      </c>
      <c r="R4" s="54" t="n">
        <v>46296</v>
      </c>
      <c r="S4" s="53">
        <f>C4</f>
        <v/>
      </c>
      <c r="T4" s="59">
        <f>IF(D4="","",D4)</f>
        <v/>
      </c>
      <c r="U4" s="56">
        <f>IF(COUNT(E4,M4)=0,"",SUM(E4,M4))</f>
        <v/>
      </c>
      <c r="V4" s="57">
        <f>IF(OR(S4="",T4=""),"",S4*T4)</f>
        <v/>
      </c>
      <c r="W4" s="58">
        <f>IF(OR(U4="",N(V4)=0),"",U4/V4)</f>
        <v/>
      </c>
      <c r="Y4" s="53" t="n">
        <v>1</v>
      </c>
      <c r="Z4" s="54" t="n">
        <v>46296</v>
      </c>
      <c r="AA4" s="59">
        <f>IF($C4="","",SUMPRODUCT(($E$21:$E$70&gt;=$Z$4)*($E$21:$E$70&lt;=EOMONTH($Z4,0)),$G$21:$G$70))</f>
        <v/>
      </c>
      <c r="AB4" s="56">
        <f>IF(N(AA4)=0,"",SUMPRODUCT(($E$21:$E$70&gt;=$Z$4)*($E$21:$E$70&lt;=EOMONTH($Z4,0)),$F$21:$F$70,$G$21:$G$70)/AA4)</f>
        <v/>
      </c>
      <c r="AC4" s="59">
        <f>IF($C4="","",SUMPRODUCT(($L$21:$L$70&gt;=$Z$4)*($L$21:$L$70&lt;=EOMONTH($Z4,0)),$N$21:$N$70))</f>
        <v/>
      </c>
      <c r="AD4" s="56">
        <f>IF(N(AC4)=0,"",SUMPRODUCT(($L$21:$L$70&gt;=$Z$4)*($L$21:$L$70&lt;=EOMONTH($Z4,0)),$M$21:$M$70,$N$21:$N$70)/AC4)</f>
        <v/>
      </c>
      <c r="AE4" s="56">
        <f>IF(N(AA4)+N(AC4)=0,"",(N(AB4)*N(AA4)+N(AD4)*N(AC4))/(N(AA4)+N(AC4)))</f>
        <v/>
      </c>
    </row>
    <row r="5" ht="18.75" customHeight="1">
      <c r="A5" s="53" t="n">
        <v>2</v>
      </c>
      <c r="B5" s="54" t="n">
        <v>46327</v>
      </c>
      <c r="C5" s="53">
        <f>IF(NOV!$F$5="","",NOV!$F$5)</f>
        <v/>
      </c>
      <c r="D5" s="55" t="n"/>
      <c r="E5" s="56">
        <f>IF(NOV!$F$43="","",NOV!$F$43)</f>
        <v/>
      </c>
      <c r="F5" s="57">
        <f>IF(OR(C5="",D5=""),"",C5*D5)</f>
        <v/>
      </c>
      <c r="G5" s="58">
        <f>IF(OR(E5="",N(F5)=0),"",E5/F5)</f>
        <v/>
      </c>
      <c r="I5" s="53" t="n">
        <v>2</v>
      </c>
      <c r="J5" s="54" t="n">
        <v>46327</v>
      </c>
      <c r="K5" s="53">
        <f>C5</f>
        <v/>
      </c>
      <c r="L5" s="59">
        <f>IF(D5="","",D5)</f>
        <v/>
      </c>
      <c r="M5" s="56">
        <f>IF(NOV!$F$44="","",NOV!$F$44)</f>
        <v/>
      </c>
      <c r="N5" s="57">
        <f>IF(OR(K5="",L5=""),"",K5*L5)</f>
        <v/>
      </c>
      <c r="O5" s="58">
        <f>IF(OR(M5="",N(N5)=0),"",M5/N5)</f>
        <v/>
      </c>
      <c r="Q5" s="53" t="n">
        <v>2</v>
      </c>
      <c r="R5" s="54" t="n">
        <v>46327</v>
      </c>
      <c r="S5" s="53">
        <f>C5</f>
        <v/>
      </c>
      <c r="T5" s="59">
        <f>IF(D5="","",D5)</f>
        <v/>
      </c>
      <c r="U5" s="56">
        <f>IF(COUNT(E5,M5)=0,"",SUM(E5,M5))</f>
        <v/>
      </c>
      <c r="V5" s="57">
        <f>IF(OR(S5="",T5=""),"",S5*T5)</f>
        <v/>
      </c>
      <c r="W5" s="58">
        <f>IF(OR(U5="",N(V5)=0),"",U5/V5)</f>
        <v/>
      </c>
      <c r="Y5" s="53" t="n">
        <v>2</v>
      </c>
      <c r="Z5" s="54" t="n">
        <v>46327</v>
      </c>
      <c r="AA5" s="59">
        <f>IF($C5="","",SUMPRODUCT(($E$21:$E$70&gt;=$Z$4)*($E$21:$E$70&lt;=EOMONTH($Z5,0)),$G$21:$G$70))</f>
        <v/>
      </c>
      <c r="AB5" s="56">
        <f>IF(N(AA5)=0,"",SUMPRODUCT(($E$21:$E$70&gt;=$Z$4)*($E$21:$E$70&lt;=EOMONTH($Z5,0)),$F$21:$F$70,$G$21:$G$70)/AA5)</f>
        <v/>
      </c>
      <c r="AC5" s="59">
        <f>IF($C5="","",SUMPRODUCT(($L$21:$L$70&gt;=$Z$4)*($L$21:$L$70&lt;=EOMONTH($Z5,0)),$N$21:$N$70))</f>
        <v/>
      </c>
      <c r="AD5" s="56">
        <f>IF(N(AC5)=0,"",SUMPRODUCT(($L$21:$L$70&gt;=$Z$4)*($L$21:$L$70&lt;=EOMONTH($Z5,0)),$M$21:$M$70,$N$21:$N$70)/AC5)</f>
        <v/>
      </c>
      <c r="AE5" s="56">
        <f>IF(N(AA5)+N(AC5)=0,"",(N(AB5)*N(AA5)+N(AD5)*N(AC5))/(N(AA5)+N(AC5)))</f>
        <v/>
      </c>
    </row>
    <row r="6" ht="18.75" customHeight="1">
      <c r="A6" s="53" t="n">
        <v>3</v>
      </c>
      <c r="B6" s="54" t="n">
        <v>46357</v>
      </c>
      <c r="C6" s="53">
        <f>IF(DEC!$F$5="","",DEC!$F$5)</f>
        <v/>
      </c>
      <c r="D6" s="55" t="n"/>
      <c r="E6" s="56">
        <f>IF(DEC!$F$43="","",DEC!$F$43)</f>
        <v/>
      </c>
      <c r="F6" s="57">
        <f>IF(OR(C6="",D6=""),"",C6*D6)</f>
        <v/>
      </c>
      <c r="G6" s="58">
        <f>IF(OR(E6="",N(F6)=0),"",E6/F6)</f>
        <v/>
      </c>
      <c r="I6" s="53" t="n">
        <v>3</v>
      </c>
      <c r="J6" s="54" t="n">
        <v>46357</v>
      </c>
      <c r="K6" s="53">
        <f>C6</f>
        <v/>
      </c>
      <c r="L6" s="59">
        <f>IF(D6="","",D6)</f>
        <v/>
      </c>
      <c r="M6" s="56">
        <f>IF(DEC!$F$44="","",DEC!$F$44)</f>
        <v/>
      </c>
      <c r="N6" s="57">
        <f>IF(OR(K6="",L6=""),"",K6*L6)</f>
        <v/>
      </c>
      <c r="O6" s="58">
        <f>IF(OR(M6="",N(N6)=0),"",M6/N6)</f>
        <v/>
      </c>
      <c r="Q6" s="53" t="n">
        <v>3</v>
      </c>
      <c r="R6" s="54" t="n">
        <v>46357</v>
      </c>
      <c r="S6" s="53">
        <f>C6</f>
        <v/>
      </c>
      <c r="T6" s="59">
        <f>IF(D6="","",D6)</f>
        <v/>
      </c>
      <c r="U6" s="56">
        <f>IF(COUNT(E6,M6)=0,"",SUM(E6,M6))</f>
        <v/>
      </c>
      <c r="V6" s="57">
        <f>IF(OR(S6="",T6=""),"",S6*T6)</f>
        <v/>
      </c>
      <c r="W6" s="58">
        <f>IF(OR(U6="",N(V6)=0),"",U6/V6)</f>
        <v/>
      </c>
      <c r="Y6" s="53" t="n">
        <v>3</v>
      </c>
      <c r="Z6" s="54" t="n">
        <v>46357</v>
      </c>
      <c r="AA6" s="59">
        <f>IF($C6="","",SUMPRODUCT(($E$21:$E$70&gt;=$Z$4)*($E$21:$E$70&lt;=EOMONTH($Z6,0)),$G$21:$G$70))</f>
        <v/>
      </c>
      <c r="AB6" s="56">
        <f>IF(N(AA6)=0,"",SUMPRODUCT(($E$21:$E$70&gt;=$Z$4)*($E$21:$E$70&lt;=EOMONTH($Z6,0)),$F$21:$F$70,$G$21:$G$70)/AA6)</f>
        <v/>
      </c>
      <c r="AC6" s="59">
        <f>IF($C6="","",SUMPRODUCT(($L$21:$L$70&gt;=$Z$4)*($L$21:$L$70&lt;=EOMONTH($Z6,0)),$N$21:$N$70))</f>
        <v/>
      </c>
      <c r="AD6" s="56">
        <f>IF(N(AC6)=0,"",SUMPRODUCT(($L$21:$L$70&gt;=$Z$4)*($L$21:$L$70&lt;=EOMONTH($Z6,0)),$M$21:$M$70,$N$21:$N$70)/AC6)</f>
        <v/>
      </c>
      <c r="AE6" s="56">
        <f>IF(N(AA6)+N(AC6)=0,"",(N(AB6)*N(AA6)+N(AD6)*N(AC6))/(N(AA6)+N(AC6)))</f>
        <v/>
      </c>
    </row>
    <row r="7" ht="18.75" customHeight="1">
      <c r="A7" s="53" t="n">
        <v>4</v>
      </c>
      <c r="B7" s="54" t="n">
        <v>46388</v>
      </c>
      <c r="C7" s="53">
        <f>IF(JAN!$F$5="","",JAN!$F$5)</f>
        <v/>
      </c>
      <c r="D7" s="55" t="n"/>
      <c r="E7" s="56">
        <f>IF(JAN!$F$43="","",JAN!$F$43)</f>
        <v/>
      </c>
      <c r="F7" s="57">
        <f>IF(OR(C7="",D7=""),"",C7*D7)</f>
        <v/>
      </c>
      <c r="G7" s="58">
        <f>IF(OR(E7="",N(F7)=0),"",E7/F7)</f>
        <v/>
      </c>
      <c r="I7" s="53" t="n">
        <v>4</v>
      </c>
      <c r="J7" s="54" t="n">
        <v>46388</v>
      </c>
      <c r="K7" s="53">
        <f>C7</f>
        <v/>
      </c>
      <c r="L7" s="59">
        <f>IF(D7="","",D7)</f>
        <v/>
      </c>
      <c r="M7" s="56">
        <f>IF(JAN!$F$44="","",JAN!$F$44)</f>
        <v/>
      </c>
      <c r="N7" s="57">
        <f>IF(OR(K7="",L7=""),"",K7*L7)</f>
        <v/>
      </c>
      <c r="O7" s="58">
        <f>IF(OR(M7="",N(N7)=0),"",M7/N7)</f>
        <v/>
      </c>
      <c r="Q7" s="53" t="n">
        <v>4</v>
      </c>
      <c r="R7" s="54" t="n">
        <v>46388</v>
      </c>
      <c r="S7" s="53">
        <f>C7</f>
        <v/>
      </c>
      <c r="T7" s="59">
        <f>IF(D7="","",D7)</f>
        <v/>
      </c>
      <c r="U7" s="56">
        <f>IF(COUNT(E7,M7)=0,"",SUM(E7,M7))</f>
        <v/>
      </c>
      <c r="V7" s="57">
        <f>IF(OR(S7="",T7=""),"",S7*T7)</f>
        <v/>
      </c>
      <c r="W7" s="58">
        <f>IF(OR(U7="",N(V7)=0),"",U7/V7)</f>
        <v/>
      </c>
      <c r="Y7" s="53" t="n">
        <v>4</v>
      </c>
      <c r="Z7" s="54" t="n">
        <v>46388</v>
      </c>
      <c r="AA7" s="59">
        <f>IF($C7="","",SUMPRODUCT(($E$21:$E$70&gt;=$Z$4)*($E$21:$E$70&lt;=EOMONTH($Z7,0)),$G$21:$G$70))</f>
        <v/>
      </c>
      <c r="AB7" s="56">
        <f>IF(N(AA7)=0,"",SUMPRODUCT(($E$21:$E$70&gt;=$Z$4)*($E$21:$E$70&lt;=EOMONTH($Z7,0)),$F$21:$F$70,$G$21:$G$70)/AA7)</f>
        <v/>
      </c>
      <c r="AC7" s="59">
        <f>IF($C7="","",SUMPRODUCT(($L$21:$L$70&gt;=$Z$4)*($L$21:$L$70&lt;=EOMONTH($Z7,0)),$N$21:$N$70))</f>
        <v/>
      </c>
      <c r="AD7" s="56">
        <f>IF(N(AC7)=0,"",SUMPRODUCT(($L$21:$L$70&gt;=$Z$4)*($L$21:$L$70&lt;=EOMONTH($Z7,0)),$M$21:$M$70,$N$21:$N$70)/AC7)</f>
        <v/>
      </c>
      <c r="AE7" s="56">
        <f>IF(N(AA7)+N(AC7)=0,"",(N(AB7)*N(AA7)+N(AD7)*N(AC7))/(N(AA7)+N(AC7)))</f>
        <v/>
      </c>
    </row>
    <row r="8" ht="18.75" customHeight="1">
      <c r="A8" s="53" t="n">
        <v>5</v>
      </c>
      <c r="B8" s="54" t="n">
        <v>46419</v>
      </c>
      <c r="C8" s="53">
        <f>IF(FEB!$F$5="","",FEB!$F$5)</f>
        <v/>
      </c>
      <c r="D8" s="55" t="n"/>
      <c r="E8" s="56">
        <f>IF(FEB!$F$43="","",FEB!$F$43)</f>
        <v/>
      </c>
      <c r="F8" s="57">
        <f>IF(OR(C8="",D8=""),"",C8*D8)</f>
        <v/>
      </c>
      <c r="G8" s="58">
        <f>IF(OR(E8="",N(F8)=0),"",E8/F8)</f>
        <v/>
      </c>
      <c r="I8" s="53" t="n">
        <v>5</v>
      </c>
      <c r="J8" s="54" t="n">
        <v>46419</v>
      </c>
      <c r="K8" s="53">
        <f>C8</f>
        <v/>
      </c>
      <c r="L8" s="59">
        <f>IF(D8="","",D8)</f>
        <v/>
      </c>
      <c r="M8" s="56">
        <f>IF(FEB!$F$44="","",FEB!$F$44)</f>
        <v/>
      </c>
      <c r="N8" s="57">
        <f>IF(OR(K8="",L8=""),"",K8*L8)</f>
        <v/>
      </c>
      <c r="O8" s="58">
        <f>IF(OR(M8="",N(N8)=0),"",M8/N8)</f>
        <v/>
      </c>
      <c r="Q8" s="53" t="n">
        <v>5</v>
      </c>
      <c r="R8" s="54" t="n">
        <v>46419</v>
      </c>
      <c r="S8" s="53">
        <f>C8</f>
        <v/>
      </c>
      <c r="T8" s="59">
        <f>IF(D8="","",D8)</f>
        <v/>
      </c>
      <c r="U8" s="56">
        <f>IF(COUNT(E8,M8)=0,"",SUM(E8,M8))</f>
        <v/>
      </c>
      <c r="V8" s="57">
        <f>IF(OR(S8="",T8=""),"",S8*T8)</f>
        <v/>
      </c>
      <c r="W8" s="58">
        <f>IF(OR(U8="",N(V8)=0),"",U8/V8)</f>
        <v/>
      </c>
      <c r="Y8" s="53" t="n">
        <v>5</v>
      </c>
      <c r="Z8" s="54" t="n">
        <v>46419</v>
      </c>
      <c r="AA8" s="59">
        <f>IF($C8="","",SUMPRODUCT(($E$21:$E$70&gt;=$Z$4)*($E$21:$E$70&lt;=EOMONTH($Z8,0)),$G$21:$G$70))</f>
        <v/>
      </c>
      <c r="AB8" s="56">
        <f>IF(N(AA8)=0,"",SUMPRODUCT(($E$21:$E$70&gt;=$Z$4)*($E$21:$E$70&lt;=EOMONTH($Z8,0)),$F$21:$F$70,$G$21:$G$70)/AA8)</f>
        <v/>
      </c>
      <c r="AC8" s="59">
        <f>IF($C8="","",SUMPRODUCT(($L$21:$L$70&gt;=$Z$4)*($L$21:$L$70&lt;=EOMONTH($Z8,0)),$N$21:$N$70))</f>
        <v/>
      </c>
      <c r="AD8" s="56">
        <f>IF(N(AC8)=0,"",SUMPRODUCT(($L$21:$L$70&gt;=$Z$4)*($L$21:$L$70&lt;=EOMONTH($Z8,0)),$M$21:$M$70,$N$21:$N$70)/AC8)</f>
        <v/>
      </c>
      <c r="AE8" s="56">
        <f>IF(N(AA8)+N(AC8)=0,"",(N(AB8)*N(AA8)+N(AD8)*N(AC8))/(N(AA8)+N(AC8)))</f>
        <v/>
      </c>
    </row>
    <row r="9" ht="18.75" customHeight="1">
      <c r="A9" s="53" t="n">
        <v>6</v>
      </c>
      <c r="B9" s="54" t="n">
        <v>46447</v>
      </c>
      <c r="C9" s="53">
        <f>IF(MAR!$F$5="","",MAR!$F$5)</f>
        <v/>
      </c>
      <c r="D9" s="55" t="n"/>
      <c r="E9" s="56">
        <f>IF(MAR!$F$43="","",MAR!$F$43)</f>
        <v/>
      </c>
      <c r="F9" s="57">
        <f>IF(OR(C9="",D9=""),"",C9*D9)</f>
        <v/>
      </c>
      <c r="G9" s="58">
        <f>IF(OR(E9="",N(F9)=0),"",E9/F9)</f>
        <v/>
      </c>
      <c r="I9" s="53" t="n">
        <v>6</v>
      </c>
      <c r="J9" s="54" t="n">
        <v>46447</v>
      </c>
      <c r="K9" s="53">
        <f>C9</f>
        <v/>
      </c>
      <c r="L9" s="59">
        <f>IF(D9="","",D9)</f>
        <v/>
      </c>
      <c r="M9" s="56">
        <f>IF(MAR!$F$44="","",MAR!$F$44)</f>
        <v/>
      </c>
      <c r="N9" s="57">
        <f>IF(OR(K9="",L9=""),"",K9*L9)</f>
        <v/>
      </c>
      <c r="O9" s="58">
        <f>IF(OR(M9="",N(N9)=0),"",M9/N9)</f>
        <v/>
      </c>
      <c r="Q9" s="53" t="n">
        <v>6</v>
      </c>
      <c r="R9" s="54" t="n">
        <v>46447</v>
      </c>
      <c r="S9" s="53">
        <f>C9</f>
        <v/>
      </c>
      <c r="T9" s="59">
        <f>IF(D9="","",D9)</f>
        <v/>
      </c>
      <c r="U9" s="56">
        <f>IF(COUNT(E9,M9)=0,"",SUM(E9,M9))</f>
        <v/>
      </c>
      <c r="V9" s="57">
        <f>IF(OR(S9="",T9=""),"",S9*T9)</f>
        <v/>
      </c>
      <c r="W9" s="58">
        <f>IF(OR(U9="",N(V9)=0),"",U9/V9)</f>
        <v/>
      </c>
      <c r="Y9" s="53" t="n">
        <v>6</v>
      </c>
      <c r="Z9" s="54" t="n">
        <v>46447</v>
      </c>
      <c r="AA9" s="59">
        <f>IF($C9="","",SUMPRODUCT(($E$21:$E$70&gt;=$Z$4)*($E$21:$E$70&lt;=EOMONTH($Z9,0)),$G$21:$G$70))</f>
        <v/>
      </c>
      <c r="AB9" s="56">
        <f>IF(N(AA9)=0,"",SUMPRODUCT(($E$21:$E$70&gt;=$Z$4)*($E$21:$E$70&lt;=EOMONTH($Z9,0)),$F$21:$F$70,$G$21:$G$70)/AA9)</f>
        <v/>
      </c>
      <c r="AC9" s="59">
        <f>IF($C9="","",SUMPRODUCT(($L$21:$L$70&gt;=$Z$4)*($L$21:$L$70&lt;=EOMONTH($Z9,0)),$N$21:$N$70))</f>
        <v/>
      </c>
      <c r="AD9" s="56">
        <f>IF(N(AC9)=0,"",SUMPRODUCT(($L$21:$L$70&gt;=$Z$4)*($L$21:$L$70&lt;=EOMONTH($Z9,0)),$M$21:$M$70,$N$21:$N$70)/AC9)</f>
        <v/>
      </c>
      <c r="AE9" s="56">
        <f>IF(N(AA9)+N(AC9)=0,"",(N(AB9)*N(AA9)+N(AD9)*N(AC9))/(N(AA9)+N(AC9)))</f>
        <v/>
      </c>
    </row>
    <row r="10" ht="18.75" customHeight="1">
      <c r="A10" s="53" t="n">
        <v>7</v>
      </c>
      <c r="B10" s="54" t="n">
        <v>46478</v>
      </c>
      <c r="C10" s="53">
        <f>IF(APR!$F$5="","",APR!$F$5)</f>
        <v/>
      </c>
      <c r="D10" s="55" t="n"/>
      <c r="E10" s="56">
        <f>IF(APR!$F$43="","",APR!$F$43)</f>
        <v/>
      </c>
      <c r="F10" s="57">
        <f>IF(OR(C10="",D10=""),"",C10*D10)</f>
        <v/>
      </c>
      <c r="G10" s="58">
        <f>IF(OR(E10="",N(F10)=0),"",E10/F10)</f>
        <v/>
      </c>
      <c r="I10" s="53" t="n">
        <v>7</v>
      </c>
      <c r="J10" s="54" t="n">
        <v>46478</v>
      </c>
      <c r="K10" s="53">
        <f>C10</f>
        <v/>
      </c>
      <c r="L10" s="59">
        <f>IF(D10="","",D10)</f>
        <v/>
      </c>
      <c r="M10" s="56">
        <f>IF(APR!$F$44="","",APR!$F$44)</f>
        <v/>
      </c>
      <c r="N10" s="57">
        <f>IF(OR(K10="",L10=""),"",K10*L10)</f>
        <v/>
      </c>
      <c r="O10" s="58">
        <f>IF(OR(M10="",N(N10)=0),"",M10/N10)</f>
        <v/>
      </c>
      <c r="Q10" s="53" t="n">
        <v>7</v>
      </c>
      <c r="R10" s="54" t="n">
        <v>46478</v>
      </c>
      <c r="S10" s="53">
        <f>C10</f>
        <v/>
      </c>
      <c r="T10" s="59">
        <f>IF(D10="","",D10)</f>
        <v/>
      </c>
      <c r="U10" s="56">
        <f>IF(COUNT(E10,M10)=0,"",SUM(E10,M10))</f>
        <v/>
      </c>
      <c r="V10" s="57">
        <f>IF(OR(S10="",T10=""),"",S10*T10)</f>
        <v/>
      </c>
      <c r="W10" s="58">
        <f>IF(OR(U10="",N(V10)=0),"",U10/V10)</f>
        <v/>
      </c>
      <c r="Y10" s="53" t="n">
        <v>7</v>
      </c>
      <c r="Z10" s="54" t="n">
        <v>46478</v>
      </c>
      <c r="AA10" s="59">
        <f>IF($C10="","",SUMPRODUCT(($E$21:$E$70&gt;=$Z$4)*($E$21:$E$70&lt;=EOMONTH($Z10,0)),$G$21:$G$70))</f>
        <v/>
      </c>
      <c r="AB10" s="56">
        <f>IF(N(AA10)=0,"",SUMPRODUCT(($E$21:$E$70&gt;=$Z$4)*($E$21:$E$70&lt;=EOMONTH($Z10,0)),$F$21:$F$70,$G$21:$G$70)/AA10)</f>
        <v/>
      </c>
      <c r="AC10" s="59">
        <f>IF($C10="","",SUMPRODUCT(($L$21:$L$70&gt;=$Z$4)*($L$21:$L$70&lt;=EOMONTH($Z10,0)),$N$21:$N$70))</f>
        <v/>
      </c>
      <c r="AD10" s="56">
        <f>IF(N(AC10)=0,"",SUMPRODUCT(($L$21:$L$70&gt;=$Z$4)*($L$21:$L$70&lt;=EOMONTH($Z10,0)),$M$21:$M$70,$N$21:$N$70)/AC10)</f>
        <v/>
      </c>
      <c r="AE10" s="56">
        <f>IF(N(AA10)+N(AC10)=0,"",(N(AB10)*N(AA10)+N(AD10)*N(AC10))/(N(AA10)+N(AC10)))</f>
        <v/>
      </c>
    </row>
    <row r="11" ht="18.75" customHeight="1">
      <c r="A11" s="53" t="n">
        <v>8</v>
      </c>
      <c r="B11" s="54" t="n">
        <v>46508</v>
      </c>
      <c r="C11" s="53">
        <f>IF(MAY!$F$5="","",MAY!$F$5)</f>
        <v/>
      </c>
      <c r="D11" s="55" t="n"/>
      <c r="E11" s="56">
        <f>IF(MAY!$F$43="","",MAY!$F$43)</f>
        <v/>
      </c>
      <c r="F11" s="57">
        <f>IF(OR(C11="",D11=""),"",C11*D11)</f>
        <v/>
      </c>
      <c r="G11" s="58">
        <f>IF(OR(E11="",N(F11)=0),"",E11/F11)</f>
        <v/>
      </c>
      <c r="I11" s="53" t="n">
        <v>8</v>
      </c>
      <c r="J11" s="54" t="n">
        <v>46508</v>
      </c>
      <c r="K11" s="53">
        <f>C11</f>
        <v/>
      </c>
      <c r="L11" s="59">
        <f>IF(D11="","",D11)</f>
        <v/>
      </c>
      <c r="M11" s="56">
        <f>IF(MAY!$F$44="","",MAY!$F$44)</f>
        <v/>
      </c>
      <c r="N11" s="57">
        <f>IF(OR(K11="",L11=""),"",K11*L11)</f>
        <v/>
      </c>
      <c r="O11" s="58">
        <f>IF(OR(M11="",N(N11)=0),"",M11/N11)</f>
        <v/>
      </c>
      <c r="Q11" s="53" t="n">
        <v>8</v>
      </c>
      <c r="R11" s="54" t="n">
        <v>46508</v>
      </c>
      <c r="S11" s="53">
        <f>C11</f>
        <v/>
      </c>
      <c r="T11" s="59">
        <f>IF(D11="","",D11)</f>
        <v/>
      </c>
      <c r="U11" s="56">
        <f>IF(COUNT(E11,M11)=0,"",SUM(E11,M11))</f>
        <v/>
      </c>
      <c r="V11" s="57">
        <f>IF(OR(S11="",T11=""),"",S11*T11)</f>
        <v/>
      </c>
      <c r="W11" s="58">
        <f>IF(OR(U11="",N(V11)=0),"",U11/V11)</f>
        <v/>
      </c>
      <c r="Y11" s="53" t="n">
        <v>8</v>
      </c>
      <c r="Z11" s="54" t="n">
        <v>46508</v>
      </c>
      <c r="AA11" s="59">
        <f>IF($C11="","",SUMPRODUCT(($E$21:$E$70&gt;=$Z$4)*($E$21:$E$70&lt;=EOMONTH($Z11,0)),$G$21:$G$70))</f>
        <v/>
      </c>
      <c r="AB11" s="56">
        <f>IF(N(AA11)=0,"",SUMPRODUCT(($E$21:$E$70&gt;=$Z$4)*($E$21:$E$70&lt;=EOMONTH($Z11,0)),$F$21:$F$70,$G$21:$G$70)/AA11)</f>
        <v/>
      </c>
      <c r="AC11" s="59">
        <f>IF($C11="","",SUMPRODUCT(($L$21:$L$70&gt;=$Z$4)*($L$21:$L$70&lt;=EOMONTH($Z11,0)),$N$21:$N$70))</f>
        <v/>
      </c>
      <c r="AD11" s="56">
        <f>IF(N(AC11)=0,"",SUMPRODUCT(($L$21:$L$70&gt;=$Z$4)*($L$21:$L$70&lt;=EOMONTH($Z11,0)),$M$21:$M$70,$N$21:$N$70)/AC11)</f>
        <v/>
      </c>
      <c r="AE11" s="56">
        <f>IF(N(AA11)+N(AC11)=0,"",(N(AB11)*N(AA11)+N(AD11)*N(AC11))/(N(AA11)+N(AC11)))</f>
        <v/>
      </c>
    </row>
    <row r="12" ht="18.75" customHeight="1">
      <c r="A12" s="53" t="n">
        <v>9</v>
      </c>
      <c r="B12" s="54" t="n">
        <v>46539</v>
      </c>
      <c r="C12" s="53">
        <f>IF(JUN!$F$5="","",JUN!$F$5)</f>
        <v/>
      </c>
      <c r="D12" s="55" t="n"/>
      <c r="E12" s="56">
        <f>IF(JUN!$F$43="","",JUN!$F$43)</f>
        <v/>
      </c>
      <c r="F12" s="57">
        <f>IF(OR(C12="",D12=""),"",C12*D12)</f>
        <v/>
      </c>
      <c r="G12" s="58">
        <f>IF(OR(E12="",N(F12)=0),"",E12/F12)</f>
        <v/>
      </c>
      <c r="I12" s="53" t="n">
        <v>9</v>
      </c>
      <c r="J12" s="54" t="n">
        <v>46539</v>
      </c>
      <c r="K12" s="53">
        <f>C12</f>
        <v/>
      </c>
      <c r="L12" s="59">
        <f>IF(D12="","",D12)</f>
        <v/>
      </c>
      <c r="M12" s="56">
        <f>IF(JUN!$F$44="","",JUN!$F$44)</f>
        <v/>
      </c>
      <c r="N12" s="57">
        <f>IF(OR(K12="",L12=""),"",K12*L12)</f>
        <v/>
      </c>
      <c r="O12" s="58">
        <f>IF(OR(M12="",N(N12)=0),"",M12/N12)</f>
        <v/>
      </c>
      <c r="Q12" s="53" t="n">
        <v>9</v>
      </c>
      <c r="R12" s="54" t="n">
        <v>46539</v>
      </c>
      <c r="S12" s="53">
        <f>C12</f>
        <v/>
      </c>
      <c r="T12" s="59">
        <f>IF(D12="","",D12)</f>
        <v/>
      </c>
      <c r="U12" s="56">
        <f>IF(COUNT(E12,M12)=0,"",SUM(E12,M12))</f>
        <v/>
      </c>
      <c r="V12" s="57">
        <f>IF(OR(S12="",T12=""),"",S12*T12)</f>
        <v/>
      </c>
      <c r="W12" s="58">
        <f>IF(OR(U12="",N(V12)=0),"",U12/V12)</f>
        <v/>
      </c>
      <c r="Y12" s="53" t="n">
        <v>9</v>
      </c>
      <c r="Z12" s="54" t="n">
        <v>46539</v>
      </c>
      <c r="AA12" s="59">
        <f>IF($C12="","",SUMPRODUCT(($E$21:$E$70&gt;=$Z$4)*($E$21:$E$70&lt;=EOMONTH($Z12,0)),$G$21:$G$70))</f>
        <v/>
      </c>
      <c r="AB12" s="56">
        <f>IF(N(AA12)=0,"",SUMPRODUCT(($E$21:$E$70&gt;=$Z$4)*($E$21:$E$70&lt;=EOMONTH($Z12,0)),$F$21:$F$70,$G$21:$G$70)/AA12)</f>
        <v/>
      </c>
      <c r="AC12" s="59">
        <f>IF($C12="","",SUMPRODUCT(($L$21:$L$70&gt;=$Z$4)*($L$21:$L$70&lt;=EOMONTH($Z12,0)),$N$21:$N$70))</f>
        <v/>
      </c>
      <c r="AD12" s="56">
        <f>IF(N(AC12)=0,"",SUMPRODUCT(($L$21:$L$70&gt;=$Z$4)*($L$21:$L$70&lt;=EOMONTH($Z12,0)),$M$21:$M$70,$N$21:$N$70)/AC12)</f>
        <v/>
      </c>
      <c r="AE12" s="56">
        <f>IF(N(AA12)+N(AC12)=0,"",(N(AB12)*N(AA12)+N(AD12)*N(AC12))/(N(AA12)+N(AC12)))</f>
        <v/>
      </c>
    </row>
    <row r="13" ht="18.75" customHeight="1">
      <c r="A13" s="53" t="n">
        <v>10</v>
      </c>
      <c r="B13" s="54" t="n">
        <v>46569</v>
      </c>
      <c r="C13" s="53">
        <f>IF(JUL!$F$5="","",JUL!$F$5)</f>
        <v/>
      </c>
      <c r="D13" s="55" t="n"/>
      <c r="E13" s="56">
        <f>IF(JUL!$F$43="","",JUL!$F$43)</f>
        <v/>
      </c>
      <c r="F13" s="57">
        <f>IF(OR(C13="",D13=""),"",C13*D13)</f>
        <v/>
      </c>
      <c r="G13" s="58">
        <f>IF(OR(E13="",N(F13)=0),"",E13/F13)</f>
        <v/>
      </c>
      <c r="I13" s="53" t="n">
        <v>10</v>
      </c>
      <c r="J13" s="54" t="n">
        <v>46569</v>
      </c>
      <c r="K13" s="53">
        <f>C13</f>
        <v/>
      </c>
      <c r="L13" s="59">
        <f>IF(D13="","",D13)</f>
        <v/>
      </c>
      <c r="M13" s="56">
        <f>IF(JUL!$F$44="","",JUL!$F$44)</f>
        <v/>
      </c>
      <c r="N13" s="57">
        <f>IF(OR(K13="",L13=""),"",K13*L13)</f>
        <v/>
      </c>
      <c r="O13" s="58">
        <f>IF(OR(M13="",N(N13)=0),"",M13/N13)</f>
        <v/>
      </c>
      <c r="Q13" s="53" t="n">
        <v>10</v>
      </c>
      <c r="R13" s="54" t="n">
        <v>46569</v>
      </c>
      <c r="S13" s="53">
        <f>C13</f>
        <v/>
      </c>
      <c r="T13" s="59">
        <f>IF(D13="","",D13)</f>
        <v/>
      </c>
      <c r="U13" s="56">
        <f>IF(COUNT(E13,M13)=0,"",SUM(E13,M13))</f>
        <v/>
      </c>
      <c r="V13" s="57">
        <f>IF(OR(S13="",T13=""),"",S13*T13)</f>
        <v/>
      </c>
      <c r="W13" s="58">
        <f>IF(OR(U13="",N(V13)=0),"",U13/V13)</f>
        <v/>
      </c>
      <c r="Y13" s="53" t="n">
        <v>10</v>
      </c>
      <c r="Z13" s="54" t="n">
        <v>46569</v>
      </c>
      <c r="AA13" s="59">
        <f>IF($C13="","",SUMPRODUCT(($E$21:$E$70&gt;=$Z$4)*($E$21:$E$70&lt;=EOMONTH($Z13,0)),$G$21:$G$70))</f>
        <v/>
      </c>
      <c r="AB13" s="56">
        <f>IF(N(AA13)=0,"",SUMPRODUCT(($E$21:$E$70&gt;=$Z$4)*($E$21:$E$70&lt;=EOMONTH($Z13,0)),$F$21:$F$70,$G$21:$G$70)/AA13)</f>
        <v/>
      </c>
      <c r="AC13" s="59">
        <f>IF($C13="","",SUMPRODUCT(($L$21:$L$70&gt;=$Z$4)*($L$21:$L$70&lt;=EOMONTH($Z13,0)),$N$21:$N$70))</f>
        <v/>
      </c>
      <c r="AD13" s="56">
        <f>IF(N(AC13)=0,"",SUMPRODUCT(($L$21:$L$70&gt;=$Z$4)*($L$21:$L$70&lt;=EOMONTH($Z13,0)),$M$21:$M$70,$N$21:$N$70)/AC13)</f>
        <v/>
      </c>
      <c r="AE13" s="56">
        <f>IF(N(AA13)+N(AC13)=0,"",(N(AB13)*N(AA13)+N(AD13)*N(AC13))/(N(AA13)+N(AC13)))</f>
        <v/>
      </c>
    </row>
    <row r="14" ht="18.75" customHeight="1">
      <c r="A14" s="53" t="n">
        <v>11</v>
      </c>
      <c r="B14" s="54" t="n">
        <v>46600</v>
      </c>
      <c r="C14" s="53">
        <f>IF(AUG!$F$5="","",AUG!$F$5)</f>
        <v/>
      </c>
      <c r="D14" s="55" t="n"/>
      <c r="E14" s="56">
        <f>IF(AUG!$F$43="","",AUG!$F$43)</f>
        <v/>
      </c>
      <c r="F14" s="57">
        <f>IF(OR(C14="",D14=""),"",C14*D14)</f>
        <v/>
      </c>
      <c r="G14" s="58">
        <f>IF(OR(E14="",N(F14)=0),"",E14/F14)</f>
        <v/>
      </c>
      <c r="I14" s="53" t="n">
        <v>11</v>
      </c>
      <c r="J14" s="54" t="n">
        <v>46600</v>
      </c>
      <c r="K14" s="53">
        <f>C14</f>
        <v/>
      </c>
      <c r="L14" s="59">
        <f>IF(D14="","",D14)</f>
        <v/>
      </c>
      <c r="M14" s="56">
        <f>IF(AUG!$F$44="","",AUG!$F$44)</f>
        <v/>
      </c>
      <c r="N14" s="57">
        <f>IF(OR(K14="",L14=""),"",K14*L14)</f>
        <v/>
      </c>
      <c r="O14" s="58">
        <f>IF(OR(M14="",N(N14)=0),"",M14/N14)</f>
        <v/>
      </c>
      <c r="Q14" s="53" t="n">
        <v>11</v>
      </c>
      <c r="R14" s="54" t="n">
        <v>46600</v>
      </c>
      <c r="S14" s="53">
        <f>C14</f>
        <v/>
      </c>
      <c r="T14" s="59">
        <f>IF(D14="","",D14)</f>
        <v/>
      </c>
      <c r="U14" s="56">
        <f>IF(COUNT(E14,M14)=0,"",SUM(E14,M14))</f>
        <v/>
      </c>
      <c r="V14" s="57">
        <f>IF(OR(S14="",T14=""),"",S14*T14)</f>
        <v/>
      </c>
      <c r="W14" s="58">
        <f>IF(OR(U14="",N(V14)=0),"",U14/V14)</f>
        <v/>
      </c>
      <c r="Y14" s="53" t="n">
        <v>11</v>
      </c>
      <c r="Z14" s="54" t="n">
        <v>46600</v>
      </c>
      <c r="AA14" s="59">
        <f>IF($C14="","",SUMPRODUCT(($E$21:$E$70&gt;=$Z$4)*($E$21:$E$70&lt;=EOMONTH($Z14,0)),$G$21:$G$70))</f>
        <v/>
      </c>
      <c r="AB14" s="56">
        <f>IF(N(AA14)=0,"",SUMPRODUCT(($E$21:$E$70&gt;=$Z$4)*($E$21:$E$70&lt;=EOMONTH($Z14,0)),$F$21:$F$70,$G$21:$G$70)/AA14)</f>
        <v/>
      </c>
      <c r="AC14" s="59">
        <f>IF($C14="","",SUMPRODUCT(($L$21:$L$70&gt;=$Z$4)*($L$21:$L$70&lt;=EOMONTH($Z14,0)),$N$21:$N$70))</f>
        <v/>
      </c>
      <c r="AD14" s="56">
        <f>IF(N(AC14)=0,"",SUMPRODUCT(($L$21:$L$70&gt;=$Z$4)*($L$21:$L$70&lt;=EOMONTH($Z14,0)),$M$21:$M$70,$N$21:$N$70)/AC14)</f>
        <v/>
      </c>
      <c r="AE14" s="56">
        <f>IF(N(AA14)+N(AC14)=0,"",(N(AB14)*N(AA14)+N(AD14)*N(AC14))/(N(AA14)+N(AC14)))</f>
        <v/>
      </c>
    </row>
    <row r="15" ht="18.75" customHeight="1">
      <c r="A15" s="53" t="n">
        <v>12</v>
      </c>
      <c r="B15" s="54" t="n">
        <v>46631</v>
      </c>
      <c r="C15" s="53">
        <f>IF(SEP!$F$5="","",SEP!$F$5)</f>
        <v/>
      </c>
      <c r="D15" s="55" t="n"/>
      <c r="E15" s="56">
        <f>IF(SEP!$F$43="","",SEP!$F$43)</f>
        <v/>
      </c>
      <c r="F15" s="57">
        <f>IF(OR(C15="",D15=""),"",C15*D15)</f>
        <v/>
      </c>
      <c r="G15" s="58">
        <f>IF(OR(E15="",N(F15)=0),"",E15/F15)</f>
        <v/>
      </c>
      <c r="I15" s="53" t="n">
        <v>12</v>
      </c>
      <c r="J15" s="54" t="n">
        <v>46631</v>
      </c>
      <c r="K15" s="53">
        <f>C15</f>
        <v/>
      </c>
      <c r="L15" s="59">
        <f>IF(D15="","",D15)</f>
        <v/>
      </c>
      <c r="M15" s="56">
        <f>IF(SEP!$F$44="","",SEP!$F$44)</f>
        <v/>
      </c>
      <c r="N15" s="57">
        <f>IF(OR(K15="",L15=""),"",K15*L15)</f>
        <v/>
      </c>
      <c r="O15" s="58">
        <f>IF(OR(M15="",N(N15)=0),"",M15/N15)</f>
        <v/>
      </c>
      <c r="Q15" s="53" t="n">
        <v>12</v>
      </c>
      <c r="R15" s="54" t="n">
        <v>46631</v>
      </c>
      <c r="S15" s="53">
        <f>C15</f>
        <v/>
      </c>
      <c r="T15" s="59">
        <f>IF(D15="","",D15)</f>
        <v/>
      </c>
      <c r="U15" s="56">
        <f>IF(COUNT(E15,M15)=0,"",SUM(E15,M15))</f>
        <v/>
      </c>
      <c r="V15" s="57">
        <f>IF(OR(S15="",T15=""),"",S15*T15)</f>
        <v/>
      </c>
      <c r="W15" s="58">
        <f>IF(OR(U15="",N(V15)=0),"",U15/V15)</f>
        <v/>
      </c>
      <c r="Y15" s="53" t="n">
        <v>12</v>
      </c>
      <c r="Z15" s="54" t="n">
        <v>46631</v>
      </c>
      <c r="AA15" s="59">
        <f>IF($C15="","",SUMPRODUCT(($E$21:$E$70&gt;=$Z$4)*($E$21:$E$70&lt;=EOMONTH($Z15,0)),$G$21:$G$70))</f>
        <v/>
      </c>
      <c r="AB15" s="56">
        <f>IF(N(AA15)=0,"",SUMPRODUCT(($E$21:$E$70&gt;=$Z$4)*($E$21:$E$70&lt;=EOMONTH($Z15,0)),$F$21:$F$70,$G$21:$G$70)/AA15)</f>
        <v/>
      </c>
      <c r="AC15" s="59">
        <f>IF($C15="","",SUMPRODUCT(($L$21:$L$70&gt;=$Z$4)*($L$21:$L$70&lt;=EOMONTH($Z15,0)),$N$21:$N$70))</f>
        <v/>
      </c>
      <c r="AD15" s="56">
        <f>IF(N(AC15)=0,"",SUMPRODUCT(($L$21:$L$70&gt;=$Z$4)*($L$21:$L$70&lt;=EOMONTH($Z15,0)),$M$21:$M$70,$N$21:$N$70)/AC15)</f>
        <v/>
      </c>
      <c r="AE15" s="56">
        <f>IF(N(AA15)+N(AC15)=0,"",(N(AB15)*N(AA15)+N(AD15)*N(AC15))/(N(AA15)+N(AC15)))</f>
        <v/>
      </c>
    </row>
    <row r="16" ht="18.75" customHeight="1">
      <c r="A16" s="60" t="n"/>
      <c r="B16" s="60" t="n"/>
      <c r="C16" s="60" t="n"/>
      <c r="D16" s="61" t="inlineStr">
        <is>
          <t>Total YTD</t>
        </is>
      </c>
      <c r="E16" s="62">
        <f>IF(COUNT(E4:E15)=0,"",SUM(E4:E15))</f>
        <v/>
      </c>
      <c r="F16" s="63">
        <f>SUMPRODUCT(--ISNUMBER(E4:E15),F4:F15)</f>
        <v/>
      </c>
      <c r="G16" s="64">
        <f>IF(COUNT(E4:E15)=0,"",IFERROR(E16/F16,""))</f>
        <v/>
      </c>
      <c r="I16" s="60" t="n"/>
      <c r="J16" s="60" t="n"/>
      <c r="K16" s="60" t="n"/>
      <c r="L16" s="61" t="inlineStr">
        <is>
          <t>Total YTD</t>
        </is>
      </c>
      <c r="M16" s="62">
        <f>IF(COUNT(M4:M15)=0,"",SUM(M4:M15))</f>
        <v/>
      </c>
      <c r="N16" s="63">
        <f>SUMPRODUCT(--ISNUMBER(M4:M15),N4:N15)</f>
        <v/>
      </c>
      <c r="O16" s="64">
        <f>IF(COUNT(M4:M15)=0,"",IFERROR(M16/N16,""))</f>
        <v/>
      </c>
      <c r="Q16" s="60" t="n"/>
      <c r="R16" s="60" t="n"/>
      <c r="S16" s="60" t="n"/>
      <c r="T16" s="61" t="inlineStr">
        <is>
          <t>Total YTD</t>
        </is>
      </c>
      <c r="U16" s="62">
        <f>IF(COUNT(U4:U15)=0,"",SUM(U4:U15))</f>
        <v/>
      </c>
      <c r="V16" s="63">
        <f>SUMPRODUCT(--ISNUMBER(U4:U15),V4:V15)</f>
        <v/>
      </c>
      <c r="W16" s="64">
        <f>IF(COUNT(U4:U15)=0,"",IFERROR(U16/V16,""))</f>
        <v/>
      </c>
      <c r="Y16" s="60" t="n"/>
      <c r="Z16" s="61" t="inlineStr">
        <is>
          <t>FY2027 YTD</t>
        </is>
      </c>
      <c r="AA16" s="65">
        <f>SUMPRODUCT(($E$21:$E$70&gt;=$Z$4)*($E$21:$E$70&lt;=EOMONTH($Z$15,0)),$G$21:$G$70)</f>
        <v/>
      </c>
      <c r="AB16" s="62">
        <f>IF(N(AA16)=0,"",SUMPRODUCT(($E$21:$E$70&gt;=$Z$4)*($E$21:$E$70&lt;=EOMONTH($Z$15,0)),$F$21:$F$70,$G$21:$G$70)/AA16)</f>
        <v/>
      </c>
      <c r="AC16" s="65">
        <f>SUMPRODUCT(($L$21:$L$70&gt;=$Z$4)*($L$21:$L$70&lt;=EOMONTH($Z$15,0)),$N$21:$N$70)</f>
        <v/>
      </c>
      <c r="AD16" s="62">
        <f>IF(N(AC16)=0,"",SUMPRODUCT(($L$21:$L$70&gt;=$Z$4)*($L$21:$L$70&lt;=EOMONTH($Z$15,0)),$M$21:$M$70,$N$21:$N$70)/AC16)</f>
        <v/>
      </c>
      <c r="AE16" s="62">
        <f>IF(N(AA16)+N(AC16)=0,"",(N(AB16)*N(AA16)+N(AD16)*N(AC16))/(N(AA16)+N(AC16)))</f>
        <v/>
      </c>
    </row>
    <row r="17">
      <c r="Y17" s="66" t="inlineStr">
        <is>
          <t>Only contracts signed within FY2027 (Oct-2026 to the month shown) are counted; weighted by posts filled.</t>
        </is>
      </c>
    </row>
    <row r="18" ht="24.75" customHeight="1">
      <c r="A18" s="40">
        <f>A1</f>
        <v/>
      </c>
      <c r="B18" s="41" t="n"/>
      <c r="C18" s="42" t="n"/>
      <c r="D18" s="40" t="inlineStr">
        <is>
          <t>TIME TO HIRE YTD (Days)</t>
        </is>
      </c>
      <c r="E18" s="44" t="n"/>
      <c r="F18" s="46">
        <f>AB16</f>
        <v/>
      </c>
      <c r="G18" s="44" t="n"/>
      <c r="H18" s="40">
        <f>A1</f>
        <v/>
      </c>
      <c r="I18" s="41" t="n"/>
      <c r="J18" s="42" t="n"/>
      <c r="K18" s="40" t="inlineStr">
        <is>
          <t>TIME TO HIRE YTD (Days)</t>
        </is>
      </c>
      <c r="L18" s="44" t="n"/>
      <c r="M18" s="46">
        <f>AD16</f>
        <v/>
      </c>
      <c r="N18" s="44" t="n"/>
    </row>
    <row r="19" ht="21.75" customHeight="1">
      <c r="A19" s="47" t="inlineStr">
        <is>
          <t>PERMANENT EE</t>
        </is>
      </c>
      <c r="B19" s="41" t="n"/>
      <c r="C19" s="42" t="n"/>
      <c r="D19" s="48" t="n"/>
      <c r="E19" s="50" t="n"/>
      <c r="F19" s="48" t="n"/>
      <c r="G19" s="50" t="n"/>
      <c r="H19" s="47" t="inlineStr">
        <is>
          <t>TEMPORARY EE</t>
        </is>
      </c>
      <c r="I19" s="41" t="n"/>
      <c r="J19" s="42" t="n"/>
      <c r="K19" s="48" t="n"/>
      <c r="L19" s="50" t="n"/>
      <c r="M19" s="48" t="n"/>
      <c r="N19" s="50" t="n"/>
    </row>
    <row r="20" ht="60" customHeight="1">
      <c r="A20" s="52" t="inlineStr">
        <is>
          <t>No.</t>
        </is>
      </c>
      <c r="B20" s="52" t="inlineStr">
        <is>
          <t>Job Title</t>
        </is>
      </c>
      <c r="C20" s="52" t="inlineStr">
        <is>
          <t>No. of Posts</t>
        </is>
      </c>
      <c r="D20" s="52" t="inlineStr">
        <is>
          <t>Job Opening Date (mm/dd/yyyy)</t>
        </is>
      </c>
      <c r="E20" s="52" t="inlineStr">
        <is>
          <t>Contract Signed Date (mm/dd/yyyy)</t>
        </is>
      </c>
      <c r="F20" s="52" t="inlineStr">
        <is>
          <t>Time to Hire by Position (Days)</t>
        </is>
      </c>
      <c r="G20" s="52" t="inlineStr">
        <is>
          <t>Posts Filled (auto)</t>
        </is>
      </c>
      <c r="H20" s="52" t="inlineStr">
        <is>
          <t>No.</t>
        </is>
      </c>
      <c r="I20" s="52" t="inlineStr">
        <is>
          <t>Job Title</t>
        </is>
      </c>
      <c r="J20" s="52" t="inlineStr">
        <is>
          <t>No. of Posts</t>
        </is>
      </c>
      <c r="K20" s="52" t="inlineStr">
        <is>
          <t>Job Opening Date (mm/dd/yyyy)</t>
        </is>
      </c>
      <c r="L20" s="52" t="inlineStr">
        <is>
          <t>Contract Signed Date (mm/dd/yyyy)</t>
        </is>
      </c>
      <c r="M20" s="52" t="inlineStr">
        <is>
          <t>Time to Hire by Position (Days)</t>
        </is>
      </c>
      <c r="N20" s="52" t="inlineStr">
        <is>
          <t>Posts Filled (auto)</t>
        </is>
      </c>
    </row>
    <row r="21">
      <c r="A21" s="53" t="n">
        <v>1</v>
      </c>
      <c r="B21" s="67" t="n"/>
      <c r="C21" s="55" t="n"/>
      <c r="D21" s="68" t="n"/>
      <c r="E21" s="68" t="n"/>
      <c r="F21" s="59">
        <f>IF(OR(E21="",D21=""),"",MAX(E21-D21,0))</f>
        <v/>
      </c>
      <c r="G21" s="59">
        <f>IF(F21="","",IF(N(C21)=0,1,C21))</f>
        <v/>
      </c>
      <c r="H21" s="53" t="n">
        <v>1</v>
      </c>
      <c r="I21" s="67" t="n"/>
      <c r="J21" s="55" t="n"/>
      <c r="K21" s="68" t="n"/>
      <c r="L21" s="68" t="n"/>
      <c r="M21" s="59">
        <f>IF(OR(L21="",K21=""),"",MAX(L21-K21,0))</f>
        <v/>
      </c>
      <c r="N21" s="59">
        <f>IF(M21="","",IF(N(J21)=0,1,J21))</f>
        <v/>
      </c>
    </row>
    <row r="22">
      <c r="A22" s="53" t="n">
        <v>2</v>
      </c>
      <c r="B22" s="67" t="n"/>
      <c r="C22" s="55" t="n"/>
      <c r="D22" s="68" t="n"/>
      <c r="E22" s="68" t="n"/>
      <c r="F22" s="59">
        <f>IF(OR(E22="",D22=""),"",MAX(E22-D22,0))</f>
        <v/>
      </c>
      <c r="G22" s="59">
        <f>IF(F22="","",IF(N(C22)=0,1,C22))</f>
        <v/>
      </c>
      <c r="H22" s="53" t="n">
        <v>2</v>
      </c>
      <c r="I22" s="67" t="n"/>
      <c r="J22" s="55" t="n"/>
      <c r="K22" s="68" t="n"/>
      <c r="L22" s="68" t="n"/>
      <c r="M22" s="59">
        <f>IF(OR(L22="",K22=""),"",MAX(L22-K22,0))</f>
        <v/>
      </c>
      <c r="N22" s="59">
        <f>IF(M22="","",IF(N(J22)=0,1,J22))</f>
        <v/>
      </c>
    </row>
    <row r="23">
      <c r="A23" s="53" t="n">
        <v>3</v>
      </c>
      <c r="B23" s="67" t="n"/>
      <c r="C23" s="55" t="n"/>
      <c r="D23" s="68" t="n"/>
      <c r="E23" s="68" t="n"/>
      <c r="F23" s="59">
        <f>IF(OR(E23="",D23=""),"",MAX(E23-D23,0))</f>
        <v/>
      </c>
      <c r="G23" s="59">
        <f>IF(F23="","",IF(N(C23)=0,1,C23))</f>
        <v/>
      </c>
      <c r="H23" s="53" t="n">
        <v>3</v>
      </c>
      <c r="I23" s="67" t="n"/>
      <c r="J23" s="55" t="n"/>
      <c r="K23" s="68" t="n"/>
      <c r="L23" s="68" t="n"/>
      <c r="M23" s="59">
        <f>IF(OR(L23="",K23=""),"",MAX(L23-K23,0))</f>
        <v/>
      </c>
      <c r="N23" s="59">
        <f>IF(M23="","",IF(N(J23)=0,1,J23))</f>
        <v/>
      </c>
    </row>
    <row r="24">
      <c r="A24" s="53" t="n">
        <v>4</v>
      </c>
      <c r="B24" s="67" t="n"/>
      <c r="C24" s="55" t="n"/>
      <c r="D24" s="68" t="n"/>
      <c r="E24" s="68" t="n"/>
      <c r="F24" s="59">
        <f>IF(OR(E24="",D24=""),"",MAX(E24-D24,0))</f>
        <v/>
      </c>
      <c r="G24" s="59">
        <f>IF(F24="","",IF(N(C24)=0,1,C24))</f>
        <v/>
      </c>
      <c r="H24" s="53" t="n">
        <v>4</v>
      </c>
      <c r="I24" s="67" t="n"/>
      <c r="J24" s="55" t="n"/>
      <c r="K24" s="68" t="n"/>
      <c r="L24" s="68" t="n"/>
      <c r="M24" s="59">
        <f>IF(OR(L24="",K24=""),"",MAX(L24-K24,0))</f>
        <v/>
      </c>
      <c r="N24" s="59">
        <f>IF(M24="","",IF(N(J24)=0,1,J24))</f>
        <v/>
      </c>
    </row>
    <row r="25">
      <c r="A25" s="53" t="n">
        <v>5</v>
      </c>
      <c r="B25" s="67" t="n"/>
      <c r="C25" s="55" t="n"/>
      <c r="D25" s="68" t="n"/>
      <c r="E25" s="68" t="n"/>
      <c r="F25" s="59">
        <f>IF(OR(E25="",D25=""),"",MAX(E25-D25,0))</f>
        <v/>
      </c>
      <c r="G25" s="59">
        <f>IF(F25="","",IF(N(C25)=0,1,C25))</f>
        <v/>
      </c>
      <c r="H25" s="53" t="n">
        <v>5</v>
      </c>
      <c r="I25" s="67" t="n"/>
      <c r="J25" s="55" t="n"/>
      <c r="K25" s="68" t="n"/>
      <c r="L25" s="68" t="n"/>
      <c r="M25" s="59">
        <f>IF(OR(L25="",K25=""),"",MAX(L25-K25,0))</f>
        <v/>
      </c>
      <c r="N25" s="59">
        <f>IF(M25="","",IF(N(J25)=0,1,J25))</f>
        <v/>
      </c>
    </row>
    <row r="26">
      <c r="A26" s="53" t="n">
        <v>6</v>
      </c>
      <c r="B26" s="67" t="n"/>
      <c r="C26" s="55" t="n"/>
      <c r="D26" s="68" t="n"/>
      <c r="E26" s="68" t="n"/>
      <c r="F26" s="59">
        <f>IF(OR(E26="",D26=""),"",MAX(E26-D26,0))</f>
        <v/>
      </c>
      <c r="G26" s="59">
        <f>IF(F26="","",IF(N(C26)=0,1,C26))</f>
        <v/>
      </c>
      <c r="H26" s="53" t="n">
        <v>6</v>
      </c>
      <c r="I26" s="67" t="n"/>
      <c r="J26" s="55" t="n"/>
      <c r="K26" s="68" t="n"/>
      <c r="L26" s="68" t="n"/>
      <c r="M26" s="59">
        <f>IF(OR(L26="",K26=""),"",MAX(L26-K26,0))</f>
        <v/>
      </c>
      <c r="N26" s="59">
        <f>IF(M26="","",IF(N(J26)=0,1,J26))</f>
        <v/>
      </c>
    </row>
    <row r="27">
      <c r="A27" s="53" t="n">
        <v>7</v>
      </c>
      <c r="B27" s="67" t="n"/>
      <c r="C27" s="55" t="n"/>
      <c r="D27" s="68" t="n"/>
      <c r="E27" s="68" t="n"/>
      <c r="F27" s="59">
        <f>IF(OR(E27="",D27=""),"",MAX(E27-D27,0))</f>
        <v/>
      </c>
      <c r="G27" s="59">
        <f>IF(F27="","",IF(N(C27)=0,1,C27))</f>
        <v/>
      </c>
      <c r="H27" s="53" t="n">
        <v>7</v>
      </c>
      <c r="I27" s="67" t="n"/>
      <c r="J27" s="55" t="n"/>
      <c r="K27" s="68" t="n"/>
      <c r="L27" s="68" t="n"/>
      <c r="M27" s="59">
        <f>IF(OR(L27="",K27=""),"",MAX(L27-K27,0))</f>
        <v/>
      </c>
      <c r="N27" s="59">
        <f>IF(M27="","",IF(N(J27)=0,1,J27))</f>
        <v/>
      </c>
    </row>
    <row r="28">
      <c r="A28" s="53" t="n">
        <v>8</v>
      </c>
      <c r="B28" s="67" t="n"/>
      <c r="C28" s="55" t="n"/>
      <c r="D28" s="68" t="n"/>
      <c r="E28" s="68" t="n"/>
      <c r="F28" s="59">
        <f>IF(OR(E28="",D28=""),"",MAX(E28-D28,0))</f>
        <v/>
      </c>
      <c r="G28" s="59">
        <f>IF(F28="","",IF(N(C28)=0,1,C28))</f>
        <v/>
      </c>
      <c r="H28" s="53" t="n">
        <v>8</v>
      </c>
      <c r="I28" s="67" t="n"/>
      <c r="J28" s="55" t="n"/>
      <c r="K28" s="68" t="n"/>
      <c r="L28" s="68" t="n"/>
      <c r="M28" s="59">
        <f>IF(OR(L28="",K28=""),"",MAX(L28-K28,0))</f>
        <v/>
      </c>
      <c r="N28" s="59">
        <f>IF(M28="","",IF(N(J28)=0,1,J28))</f>
        <v/>
      </c>
    </row>
    <row r="29">
      <c r="A29" s="53" t="n">
        <v>9</v>
      </c>
      <c r="B29" s="67" t="n"/>
      <c r="C29" s="55" t="n"/>
      <c r="D29" s="68" t="n"/>
      <c r="E29" s="68" t="n"/>
      <c r="F29" s="59">
        <f>IF(OR(E29="",D29=""),"",MAX(E29-D29,0))</f>
        <v/>
      </c>
      <c r="G29" s="59">
        <f>IF(F29="","",IF(N(C29)=0,1,C29))</f>
        <v/>
      </c>
      <c r="H29" s="53" t="n">
        <v>9</v>
      </c>
      <c r="I29" s="67" t="n"/>
      <c r="J29" s="55" t="n"/>
      <c r="K29" s="68" t="n"/>
      <c r="L29" s="68" t="n"/>
      <c r="M29" s="59">
        <f>IF(OR(L29="",K29=""),"",MAX(L29-K29,0))</f>
        <v/>
      </c>
      <c r="N29" s="59">
        <f>IF(M29="","",IF(N(J29)=0,1,J29))</f>
        <v/>
      </c>
    </row>
    <row r="30">
      <c r="A30" s="53" t="n">
        <v>10</v>
      </c>
      <c r="B30" s="67" t="n"/>
      <c r="C30" s="55" t="n"/>
      <c r="D30" s="68" t="n"/>
      <c r="E30" s="68" t="n"/>
      <c r="F30" s="59">
        <f>IF(OR(E30="",D30=""),"",MAX(E30-D30,0))</f>
        <v/>
      </c>
      <c r="G30" s="59">
        <f>IF(F30="","",IF(N(C30)=0,1,C30))</f>
        <v/>
      </c>
      <c r="H30" s="53" t="n">
        <v>10</v>
      </c>
      <c r="I30" s="67" t="n"/>
      <c r="J30" s="55" t="n"/>
      <c r="K30" s="68" t="n"/>
      <c r="L30" s="68" t="n"/>
      <c r="M30" s="59">
        <f>IF(OR(L30="",K30=""),"",MAX(L30-K30,0))</f>
        <v/>
      </c>
      <c r="N30" s="59">
        <f>IF(M30="","",IF(N(J30)=0,1,J30))</f>
        <v/>
      </c>
    </row>
    <row r="31">
      <c r="A31" s="53" t="n">
        <v>11</v>
      </c>
      <c r="B31" s="67" t="n"/>
      <c r="C31" s="55" t="n"/>
      <c r="D31" s="68" t="n"/>
      <c r="E31" s="68" t="n"/>
      <c r="F31" s="59">
        <f>IF(OR(E31="",D31=""),"",MAX(E31-D31,0))</f>
        <v/>
      </c>
      <c r="G31" s="59">
        <f>IF(F31="","",IF(N(C31)=0,1,C31))</f>
        <v/>
      </c>
      <c r="H31" s="53" t="n">
        <v>11</v>
      </c>
      <c r="I31" s="67" t="n"/>
      <c r="J31" s="55" t="n"/>
      <c r="K31" s="68" t="n"/>
      <c r="L31" s="68" t="n"/>
      <c r="M31" s="59">
        <f>IF(OR(L31="",K31=""),"",MAX(L31-K31,0))</f>
        <v/>
      </c>
      <c r="N31" s="59">
        <f>IF(M31="","",IF(N(J31)=0,1,J31))</f>
        <v/>
      </c>
    </row>
    <row r="32">
      <c r="A32" s="53" t="n">
        <v>12</v>
      </c>
      <c r="B32" s="67" t="n"/>
      <c r="C32" s="55" t="n"/>
      <c r="D32" s="68" t="n"/>
      <c r="E32" s="68" t="n"/>
      <c r="F32" s="59">
        <f>IF(OR(E32="",D32=""),"",MAX(E32-D32,0))</f>
        <v/>
      </c>
      <c r="G32" s="59">
        <f>IF(F32="","",IF(N(C32)=0,1,C32))</f>
        <v/>
      </c>
      <c r="H32" s="53" t="n">
        <v>12</v>
      </c>
      <c r="I32" s="67" t="n"/>
      <c r="J32" s="55" t="n"/>
      <c r="K32" s="68" t="n"/>
      <c r="L32" s="68" t="n"/>
      <c r="M32" s="59">
        <f>IF(OR(L32="",K32=""),"",MAX(L32-K32,0))</f>
        <v/>
      </c>
      <c r="N32" s="59">
        <f>IF(M32="","",IF(N(J32)=0,1,J32))</f>
        <v/>
      </c>
    </row>
    <row r="33">
      <c r="A33" s="53" t="n">
        <v>13</v>
      </c>
      <c r="B33" s="67" t="n"/>
      <c r="C33" s="55" t="n"/>
      <c r="D33" s="68" t="n"/>
      <c r="E33" s="68" t="n"/>
      <c r="F33" s="59">
        <f>IF(OR(E33="",D33=""),"",MAX(E33-D33,0))</f>
        <v/>
      </c>
      <c r="G33" s="59">
        <f>IF(F33="","",IF(N(C33)=0,1,C33))</f>
        <v/>
      </c>
      <c r="H33" s="53" t="n">
        <v>13</v>
      </c>
      <c r="I33" s="67" t="n"/>
      <c r="J33" s="55" t="n"/>
      <c r="K33" s="68" t="n"/>
      <c r="L33" s="68" t="n"/>
      <c r="M33" s="59">
        <f>IF(OR(L33="",K33=""),"",MAX(L33-K33,0))</f>
        <v/>
      </c>
      <c r="N33" s="59">
        <f>IF(M33="","",IF(N(J33)=0,1,J33))</f>
        <v/>
      </c>
    </row>
    <row r="34">
      <c r="A34" s="53" t="n">
        <v>14</v>
      </c>
      <c r="B34" s="67" t="n"/>
      <c r="C34" s="55" t="n"/>
      <c r="D34" s="68" t="n"/>
      <c r="E34" s="68" t="n"/>
      <c r="F34" s="59">
        <f>IF(OR(E34="",D34=""),"",MAX(E34-D34,0))</f>
        <v/>
      </c>
      <c r="G34" s="59">
        <f>IF(F34="","",IF(N(C34)=0,1,C34))</f>
        <v/>
      </c>
      <c r="H34" s="53" t="n">
        <v>14</v>
      </c>
      <c r="I34" s="67" t="n"/>
      <c r="J34" s="55" t="n"/>
      <c r="K34" s="68" t="n"/>
      <c r="L34" s="68" t="n"/>
      <c r="M34" s="59">
        <f>IF(OR(L34="",K34=""),"",MAX(L34-K34,0))</f>
        <v/>
      </c>
      <c r="N34" s="59">
        <f>IF(M34="","",IF(N(J34)=0,1,J34))</f>
        <v/>
      </c>
    </row>
    <row r="35">
      <c r="A35" s="53" t="n">
        <v>15</v>
      </c>
      <c r="B35" s="67" t="n"/>
      <c r="C35" s="55" t="n"/>
      <c r="D35" s="68" t="n"/>
      <c r="E35" s="68" t="n"/>
      <c r="F35" s="59">
        <f>IF(OR(E35="",D35=""),"",MAX(E35-D35,0))</f>
        <v/>
      </c>
      <c r="G35" s="59">
        <f>IF(F35="","",IF(N(C35)=0,1,C35))</f>
        <v/>
      </c>
      <c r="H35" s="53" t="n">
        <v>15</v>
      </c>
      <c r="I35" s="67" t="n"/>
      <c r="J35" s="55" t="n"/>
      <c r="K35" s="68" t="n"/>
      <c r="L35" s="68" t="n"/>
      <c r="M35" s="59">
        <f>IF(OR(L35="",K35=""),"",MAX(L35-K35,0))</f>
        <v/>
      </c>
      <c r="N35" s="59">
        <f>IF(M35="","",IF(N(J35)=0,1,J35))</f>
        <v/>
      </c>
    </row>
    <row r="36">
      <c r="A36" s="53" t="n">
        <v>16</v>
      </c>
      <c r="B36" s="67" t="n"/>
      <c r="C36" s="55" t="n"/>
      <c r="D36" s="68" t="n"/>
      <c r="E36" s="68" t="n"/>
      <c r="F36" s="59">
        <f>IF(OR(E36="",D36=""),"",MAX(E36-D36,0))</f>
        <v/>
      </c>
      <c r="G36" s="59">
        <f>IF(F36="","",IF(N(C36)=0,1,C36))</f>
        <v/>
      </c>
      <c r="H36" s="53" t="n">
        <v>16</v>
      </c>
      <c r="I36" s="67" t="n"/>
      <c r="J36" s="55" t="n"/>
      <c r="K36" s="68" t="n"/>
      <c r="L36" s="68" t="n"/>
      <c r="M36" s="59">
        <f>IF(OR(L36="",K36=""),"",MAX(L36-K36,0))</f>
        <v/>
      </c>
      <c r="N36" s="59">
        <f>IF(M36="","",IF(N(J36)=0,1,J36))</f>
        <v/>
      </c>
    </row>
    <row r="37">
      <c r="A37" s="53" t="n">
        <v>17</v>
      </c>
      <c r="B37" s="67" t="n"/>
      <c r="C37" s="55" t="n"/>
      <c r="D37" s="68" t="n"/>
      <c r="E37" s="68" t="n"/>
      <c r="F37" s="59">
        <f>IF(OR(E37="",D37=""),"",MAX(E37-D37,0))</f>
        <v/>
      </c>
      <c r="G37" s="59">
        <f>IF(F37="","",IF(N(C37)=0,1,C37))</f>
        <v/>
      </c>
      <c r="H37" s="53" t="n">
        <v>17</v>
      </c>
      <c r="I37" s="67" t="n"/>
      <c r="J37" s="55" t="n"/>
      <c r="K37" s="68" t="n"/>
      <c r="L37" s="68" t="n"/>
      <c r="M37" s="59">
        <f>IF(OR(L37="",K37=""),"",MAX(L37-K37,0))</f>
        <v/>
      </c>
      <c r="N37" s="59">
        <f>IF(M37="","",IF(N(J37)=0,1,J37))</f>
        <v/>
      </c>
    </row>
    <row r="38">
      <c r="A38" s="53" t="n">
        <v>18</v>
      </c>
      <c r="B38" s="67" t="n"/>
      <c r="C38" s="55" t="n"/>
      <c r="D38" s="68" t="n"/>
      <c r="E38" s="68" t="n"/>
      <c r="F38" s="59">
        <f>IF(OR(E38="",D38=""),"",MAX(E38-D38,0))</f>
        <v/>
      </c>
      <c r="G38" s="59">
        <f>IF(F38="","",IF(N(C38)=0,1,C38))</f>
        <v/>
      </c>
      <c r="H38" s="53" t="n">
        <v>18</v>
      </c>
      <c r="I38" s="67" t="n"/>
      <c r="J38" s="55" t="n"/>
      <c r="K38" s="68" t="n"/>
      <c r="L38" s="68" t="n"/>
      <c r="M38" s="59">
        <f>IF(OR(L38="",K38=""),"",MAX(L38-K38,0))</f>
        <v/>
      </c>
      <c r="N38" s="59">
        <f>IF(M38="","",IF(N(J38)=0,1,J38))</f>
        <v/>
      </c>
    </row>
    <row r="39">
      <c r="A39" s="53" t="n">
        <v>19</v>
      </c>
      <c r="B39" s="67" t="n"/>
      <c r="C39" s="55" t="n"/>
      <c r="D39" s="68" t="n"/>
      <c r="E39" s="68" t="n"/>
      <c r="F39" s="59">
        <f>IF(OR(E39="",D39=""),"",MAX(E39-D39,0))</f>
        <v/>
      </c>
      <c r="G39" s="59">
        <f>IF(F39="","",IF(N(C39)=0,1,C39))</f>
        <v/>
      </c>
      <c r="H39" s="53" t="n">
        <v>19</v>
      </c>
      <c r="I39" s="67" t="n"/>
      <c r="J39" s="55" t="n"/>
      <c r="K39" s="68" t="n"/>
      <c r="L39" s="68" t="n"/>
      <c r="M39" s="59">
        <f>IF(OR(L39="",K39=""),"",MAX(L39-K39,0))</f>
        <v/>
      </c>
      <c r="N39" s="59">
        <f>IF(M39="","",IF(N(J39)=0,1,J39))</f>
        <v/>
      </c>
    </row>
    <row r="40">
      <c r="A40" s="53" t="n">
        <v>20</v>
      </c>
      <c r="B40" s="67" t="n"/>
      <c r="C40" s="55" t="n"/>
      <c r="D40" s="68" t="n"/>
      <c r="E40" s="68" t="n"/>
      <c r="F40" s="59">
        <f>IF(OR(E40="",D40=""),"",MAX(E40-D40,0))</f>
        <v/>
      </c>
      <c r="G40" s="59">
        <f>IF(F40="","",IF(N(C40)=0,1,C40))</f>
        <v/>
      </c>
      <c r="H40" s="53" t="n">
        <v>20</v>
      </c>
      <c r="I40" s="67" t="n"/>
      <c r="J40" s="55" t="n"/>
      <c r="K40" s="68" t="n"/>
      <c r="L40" s="68" t="n"/>
      <c r="M40" s="59">
        <f>IF(OR(L40="",K40=""),"",MAX(L40-K40,0))</f>
        <v/>
      </c>
      <c r="N40" s="59">
        <f>IF(M40="","",IF(N(J40)=0,1,J40))</f>
        <v/>
      </c>
    </row>
    <row r="41">
      <c r="A41" s="53" t="n">
        <v>21</v>
      </c>
      <c r="B41" s="67" t="n"/>
      <c r="C41" s="55" t="n"/>
      <c r="D41" s="68" t="n"/>
      <c r="E41" s="68" t="n"/>
      <c r="F41" s="59">
        <f>IF(OR(E41="",D41=""),"",MAX(E41-D41,0))</f>
        <v/>
      </c>
      <c r="G41" s="59">
        <f>IF(F41="","",IF(N(C41)=0,1,C41))</f>
        <v/>
      </c>
      <c r="H41" s="53" t="n">
        <v>21</v>
      </c>
      <c r="I41" s="67" t="n"/>
      <c r="J41" s="55" t="n"/>
      <c r="K41" s="68" t="n"/>
      <c r="L41" s="68" t="n"/>
      <c r="M41" s="59">
        <f>IF(OR(L41="",K41=""),"",MAX(L41-K41,0))</f>
        <v/>
      </c>
      <c r="N41" s="59">
        <f>IF(M41="","",IF(N(J41)=0,1,J41))</f>
        <v/>
      </c>
    </row>
    <row r="42">
      <c r="A42" s="53" t="n">
        <v>22</v>
      </c>
      <c r="B42" s="67" t="n"/>
      <c r="C42" s="55" t="n"/>
      <c r="D42" s="68" t="n"/>
      <c r="E42" s="68" t="n"/>
      <c r="F42" s="59">
        <f>IF(OR(E42="",D42=""),"",MAX(E42-D42,0))</f>
        <v/>
      </c>
      <c r="G42" s="59">
        <f>IF(F42="","",IF(N(C42)=0,1,C42))</f>
        <v/>
      </c>
      <c r="H42" s="53" t="n">
        <v>22</v>
      </c>
      <c r="I42" s="67" t="n"/>
      <c r="J42" s="55" t="n"/>
      <c r="K42" s="68" t="n"/>
      <c r="L42" s="68" t="n"/>
      <c r="M42" s="59">
        <f>IF(OR(L42="",K42=""),"",MAX(L42-K42,0))</f>
        <v/>
      </c>
      <c r="N42" s="59">
        <f>IF(M42="","",IF(N(J42)=0,1,J42))</f>
        <v/>
      </c>
    </row>
    <row r="43">
      <c r="A43" s="53" t="n">
        <v>23</v>
      </c>
      <c r="B43" s="67" t="n"/>
      <c r="C43" s="55" t="n"/>
      <c r="D43" s="68" t="n"/>
      <c r="E43" s="68" t="n"/>
      <c r="F43" s="59">
        <f>IF(OR(E43="",D43=""),"",MAX(E43-D43,0))</f>
        <v/>
      </c>
      <c r="G43" s="59">
        <f>IF(F43="","",IF(N(C43)=0,1,C43))</f>
        <v/>
      </c>
      <c r="H43" s="53" t="n">
        <v>23</v>
      </c>
      <c r="I43" s="67" t="n"/>
      <c r="J43" s="55" t="n"/>
      <c r="K43" s="68" t="n"/>
      <c r="L43" s="68" t="n"/>
      <c r="M43" s="59">
        <f>IF(OR(L43="",K43=""),"",MAX(L43-K43,0))</f>
        <v/>
      </c>
      <c r="N43" s="59">
        <f>IF(M43="","",IF(N(J43)=0,1,J43))</f>
        <v/>
      </c>
    </row>
    <row r="44">
      <c r="A44" s="53" t="n">
        <v>24</v>
      </c>
      <c r="B44" s="67" t="n"/>
      <c r="C44" s="55" t="n"/>
      <c r="D44" s="68" t="n"/>
      <c r="E44" s="68" t="n"/>
      <c r="F44" s="59">
        <f>IF(OR(E44="",D44=""),"",MAX(E44-D44,0))</f>
        <v/>
      </c>
      <c r="G44" s="59">
        <f>IF(F44="","",IF(N(C44)=0,1,C44))</f>
        <v/>
      </c>
      <c r="H44" s="53" t="n">
        <v>24</v>
      </c>
      <c r="I44" s="67" t="n"/>
      <c r="J44" s="55" t="n"/>
      <c r="K44" s="68" t="n"/>
      <c r="L44" s="68" t="n"/>
      <c r="M44" s="59">
        <f>IF(OR(L44="",K44=""),"",MAX(L44-K44,0))</f>
        <v/>
      </c>
      <c r="N44" s="59">
        <f>IF(M44="","",IF(N(J44)=0,1,J44))</f>
        <v/>
      </c>
    </row>
    <row r="45">
      <c r="A45" s="53" t="n">
        <v>25</v>
      </c>
      <c r="B45" s="67" t="n"/>
      <c r="C45" s="55" t="n"/>
      <c r="D45" s="68" t="n"/>
      <c r="E45" s="68" t="n"/>
      <c r="F45" s="59">
        <f>IF(OR(E45="",D45=""),"",MAX(E45-D45,0))</f>
        <v/>
      </c>
      <c r="G45" s="59">
        <f>IF(F45="","",IF(N(C45)=0,1,C45))</f>
        <v/>
      </c>
      <c r="H45" s="53" t="n">
        <v>25</v>
      </c>
      <c r="I45" s="67" t="n"/>
      <c r="J45" s="55" t="n"/>
      <c r="K45" s="68" t="n"/>
      <c r="L45" s="68" t="n"/>
      <c r="M45" s="59">
        <f>IF(OR(L45="",K45=""),"",MAX(L45-K45,0))</f>
        <v/>
      </c>
      <c r="N45" s="59">
        <f>IF(M45="","",IF(N(J45)=0,1,J45))</f>
        <v/>
      </c>
    </row>
    <row r="46">
      <c r="A46" s="53" t="n">
        <v>26</v>
      </c>
      <c r="B46" s="67" t="n"/>
      <c r="C46" s="55" t="n"/>
      <c r="D46" s="68" t="n"/>
      <c r="E46" s="68" t="n"/>
      <c r="F46" s="59">
        <f>IF(OR(E46="",D46=""),"",MAX(E46-D46,0))</f>
        <v/>
      </c>
      <c r="G46" s="59">
        <f>IF(F46="","",IF(N(C46)=0,1,C46))</f>
        <v/>
      </c>
      <c r="H46" s="53" t="n">
        <v>26</v>
      </c>
      <c r="I46" s="67" t="n"/>
      <c r="J46" s="55" t="n"/>
      <c r="K46" s="68" t="n"/>
      <c r="L46" s="68" t="n"/>
      <c r="M46" s="59">
        <f>IF(OR(L46="",K46=""),"",MAX(L46-K46,0))</f>
        <v/>
      </c>
      <c r="N46" s="59">
        <f>IF(M46="","",IF(N(J46)=0,1,J46))</f>
        <v/>
      </c>
    </row>
    <row r="47">
      <c r="A47" s="53" t="n">
        <v>27</v>
      </c>
      <c r="B47" s="67" t="n"/>
      <c r="C47" s="55" t="n"/>
      <c r="D47" s="68" t="n"/>
      <c r="E47" s="68" t="n"/>
      <c r="F47" s="59">
        <f>IF(OR(E47="",D47=""),"",MAX(E47-D47,0))</f>
        <v/>
      </c>
      <c r="G47" s="59">
        <f>IF(F47="","",IF(N(C47)=0,1,C47))</f>
        <v/>
      </c>
      <c r="H47" s="53" t="n">
        <v>27</v>
      </c>
      <c r="I47" s="67" t="n"/>
      <c r="J47" s="55" t="n"/>
      <c r="K47" s="68" t="n"/>
      <c r="L47" s="68" t="n"/>
      <c r="M47" s="59">
        <f>IF(OR(L47="",K47=""),"",MAX(L47-K47,0))</f>
        <v/>
      </c>
      <c r="N47" s="59">
        <f>IF(M47="","",IF(N(J47)=0,1,J47))</f>
        <v/>
      </c>
    </row>
    <row r="48">
      <c r="A48" s="53" t="n">
        <v>28</v>
      </c>
      <c r="B48" s="67" t="n"/>
      <c r="C48" s="55" t="n"/>
      <c r="D48" s="68" t="n"/>
      <c r="E48" s="68" t="n"/>
      <c r="F48" s="59">
        <f>IF(OR(E48="",D48=""),"",MAX(E48-D48,0))</f>
        <v/>
      </c>
      <c r="G48" s="59">
        <f>IF(F48="","",IF(N(C48)=0,1,C48))</f>
        <v/>
      </c>
      <c r="H48" s="53" t="n">
        <v>28</v>
      </c>
      <c r="I48" s="67" t="n"/>
      <c r="J48" s="55" t="n"/>
      <c r="K48" s="68" t="n"/>
      <c r="L48" s="68" t="n"/>
      <c r="M48" s="59">
        <f>IF(OR(L48="",K48=""),"",MAX(L48-K48,0))</f>
        <v/>
      </c>
      <c r="N48" s="59">
        <f>IF(M48="","",IF(N(J48)=0,1,J48))</f>
        <v/>
      </c>
    </row>
    <row r="49">
      <c r="A49" s="53" t="n">
        <v>29</v>
      </c>
      <c r="B49" s="67" t="n"/>
      <c r="C49" s="55" t="n"/>
      <c r="D49" s="68" t="n"/>
      <c r="E49" s="68" t="n"/>
      <c r="F49" s="59">
        <f>IF(OR(E49="",D49=""),"",MAX(E49-D49,0))</f>
        <v/>
      </c>
      <c r="G49" s="59">
        <f>IF(F49="","",IF(N(C49)=0,1,C49))</f>
        <v/>
      </c>
      <c r="H49" s="53" t="n">
        <v>29</v>
      </c>
      <c r="I49" s="67" t="n"/>
      <c r="J49" s="55" t="n"/>
      <c r="K49" s="68" t="n"/>
      <c r="L49" s="68" t="n"/>
      <c r="M49" s="59">
        <f>IF(OR(L49="",K49=""),"",MAX(L49-K49,0))</f>
        <v/>
      </c>
      <c r="N49" s="59">
        <f>IF(M49="","",IF(N(J49)=0,1,J49))</f>
        <v/>
      </c>
    </row>
    <row r="50">
      <c r="A50" s="53" t="n">
        <v>30</v>
      </c>
      <c r="B50" s="67" t="n"/>
      <c r="C50" s="55" t="n"/>
      <c r="D50" s="68" t="n"/>
      <c r="E50" s="68" t="n"/>
      <c r="F50" s="59">
        <f>IF(OR(E50="",D50=""),"",MAX(E50-D50,0))</f>
        <v/>
      </c>
      <c r="G50" s="59">
        <f>IF(F50="","",IF(N(C50)=0,1,C50))</f>
        <v/>
      </c>
      <c r="H50" s="53" t="n">
        <v>30</v>
      </c>
      <c r="I50" s="67" t="n"/>
      <c r="J50" s="55" t="n"/>
      <c r="K50" s="68" t="n"/>
      <c r="L50" s="68" t="n"/>
      <c r="M50" s="59">
        <f>IF(OR(L50="",K50=""),"",MAX(L50-K50,0))</f>
        <v/>
      </c>
      <c r="N50" s="59">
        <f>IF(M50="","",IF(N(J50)=0,1,J50))</f>
        <v/>
      </c>
    </row>
    <row r="51">
      <c r="A51" s="53" t="n">
        <v>31</v>
      </c>
      <c r="B51" s="67" t="n"/>
      <c r="C51" s="55" t="n"/>
      <c r="D51" s="68" t="n"/>
      <c r="E51" s="68" t="n"/>
      <c r="F51" s="59">
        <f>IF(OR(E51="",D51=""),"",MAX(E51-D51,0))</f>
        <v/>
      </c>
      <c r="G51" s="59">
        <f>IF(F51="","",IF(N(C51)=0,1,C51))</f>
        <v/>
      </c>
      <c r="H51" s="53" t="n">
        <v>31</v>
      </c>
      <c r="I51" s="67" t="n"/>
      <c r="J51" s="55" t="n"/>
      <c r="K51" s="68" t="n"/>
      <c r="L51" s="68" t="n"/>
      <c r="M51" s="59">
        <f>IF(OR(L51="",K51=""),"",MAX(L51-K51,0))</f>
        <v/>
      </c>
      <c r="N51" s="59">
        <f>IF(M51="","",IF(N(J51)=0,1,J51))</f>
        <v/>
      </c>
    </row>
    <row r="52">
      <c r="A52" s="53" t="n">
        <v>32</v>
      </c>
      <c r="B52" s="67" t="n"/>
      <c r="C52" s="55" t="n"/>
      <c r="D52" s="68" t="n"/>
      <c r="E52" s="68" t="n"/>
      <c r="F52" s="59">
        <f>IF(OR(E52="",D52=""),"",MAX(E52-D52,0))</f>
        <v/>
      </c>
      <c r="G52" s="59">
        <f>IF(F52="","",IF(N(C52)=0,1,C52))</f>
        <v/>
      </c>
      <c r="H52" s="53" t="n">
        <v>32</v>
      </c>
      <c r="I52" s="67" t="n"/>
      <c r="J52" s="55" t="n"/>
      <c r="K52" s="68" t="n"/>
      <c r="L52" s="68" t="n"/>
      <c r="M52" s="59">
        <f>IF(OR(L52="",K52=""),"",MAX(L52-K52,0))</f>
        <v/>
      </c>
      <c r="N52" s="59">
        <f>IF(M52="","",IF(N(J52)=0,1,J52))</f>
        <v/>
      </c>
    </row>
    <row r="53">
      <c r="A53" s="53" t="n">
        <v>33</v>
      </c>
      <c r="B53" s="67" t="n"/>
      <c r="C53" s="55" t="n"/>
      <c r="D53" s="68" t="n"/>
      <c r="E53" s="68" t="n"/>
      <c r="F53" s="59">
        <f>IF(OR(E53="",D53=""),"",MAX(E53-D53,0))</f>
        <v/>
      </c>
      <c r="G53" s="59">
        <f>IF(F53="","",IF(N(C53)=0,1,C53))</f>
        <v/>
      </c>
      <c r="H53" s="53" t="n">
        <v>33</v>
      </c>
      <c r="I53" s="67" t="n"/>
      <c r="J53" s="55" t="n"/>
      <c r="K53" s="68" t="n"/>
      <c r="L53" s="68" t="n"/>
      <c r="M53" s="59">
        <f>IF(OR(L53="",K53=""),"",MAX(L53-K53,0))</f>
        <v/>
      </c>
      <c r="N53" s="59">
        <f>IF(M53="","",IF(N(J53)=0,1,J53))</f>
        <v/>
      </c>
    </row>
    <row r="54">
      <c r="A54" s="53" t="n">
        <v>34</v>
      </c>
      <c r="B54" s="67" t="n"/>
      <c r="C54" s="55" t="n"/>
      <c r="D54" s="68" t="n"/>
      <c r="E54" s="68" t="n"/>
      <c r="F54" s="59">
        <f>IF(OR(E54="",D54=""),"",MAX(E54-D54,0))</f>
        <v/>
      </c>
      <c r="G54" s="59">
        <f>IF(F54="","",IF(N(C54)=0,1,C54))</f>
        <v/>
      </c>
      <c r="H54" s="53" t="n">
        <v>34</v>
      </c>
      <c r="I54" s="67" t="n"/>
      <c r="J54" s="55" t="n"/>
      <c r="K54" s="68" t="n"/>
      <c r="L54" s="68" t="n"/>
      <c r="M54" s="59">
        <f>IF(OR(L54="",K54=""),"",MAX(L54-K54,0))</f>
        <v/>
      </c>
      <c r="N54" s="59">
        <f>IF(M54="","",IF(N(J54)=0,1,J54))</f>
        <v/>
      </c>
    </row>
    <row r="55">
      <c r="A55" s="53" t="n">
        <v>35</v>
      </c>
      <c r="B55" s="67" t="n"/>
      <c r="C55" s="55" t="n"/>
      <c r="D55" s="68" t="n"/>
      <c r="E55" s="68" t="n"/>
      <c r="F55" s="59">
        <f>IF(OR(E55="",D55=""),"",MAX(E55-D55,0))</f>
        <v/>
      </c>
      <c r="G55" s="59">
        <f>IF(F55="","",IF(N(C55)=0,1,C55))</f>
        <v/>
      </c>
      <c r="H55" s="53" t="n">
        <v>35</v>
      </c>
      <c r="I55" s="67" t="n"/>
      <c r="J55" s="55" t="n"/>
      <c r="K55" s="68" t="n"/>
      <c r="L55" s="68" t="n"/>
      <c r="M55" s="59">
        <f>IF(OR(L55="",K55=""),"",MAX(L55-K55,0))</f>
        <v/>
      </c>
      <c r="N55" s="59">
        <f>IF(M55="","",IF(N(J55)=0,1,J55))</f>
        <v/>
      </c>
    </row>
    <row r="56">
      <c r="A56" s="53" t="n">
        <v>36</v>
      </c>
      <c r="B56" s="67" t="n"/>
      <c r="C56" s="55" t="n"/>
      <c r="D56" s="68" t="n"/>
      <c r="E56" s="68" t="n"/>
      <c r="F56" s="59">
        <f>IF(OR(E56="",D56=""),"",MAX(E56-D56,0))</f>
        <v/>
      </c>
      <c r="G56" s="59">
        <f>IF(F56="","",IF(N(C56)=0,1,C56))</f>
        <v/>
      </c>
      <c r="H56" s="53" t="n">
        <v>36</v>
      </c>
      <c r="I56" s="67" t="n"/>
      <c r="J56" s="55" t="n"/>
      <c r="K56" s="68" t="n"/>
      <c r="L56" s="68" t="n"/>
      <c r="M56" s="59">
        <f>IF(OR(L56="",K56=""),"",MAX(L56-K56,0))</f>
        <v/>
      </c>
      <c r="N56" s="59">
        <f>IF(M56="","",IF(N(J56)=0,1,J56))</f>
        <v/>
      </c>
    </row>
    <row r="57">
      <c r="A57" s="53" t="n">
        <v>37</v>
      </c>
      <c r="B57" s="67" t="n"/>
      <c r="C57" s="55" t="n"/>
      <c r="D57" s="68" t="n"/>
      <c r="E57" s="68" t="n"/>
      <c r="F57" s="59">
        <f>IF(OR(E57="",D57=""),"",MAX(E57-D57,0))</f>
        <v/>
      </c>
      <c r="G57" s="59">
        <f>IF(F57="","",IF(N(C57)=0,1,C57))</f>
        <v/>
      </c>
      <c r="H57" s="53" t="n">
        <v>37</v>
      </c>
      <c r="I57" s="67" t="n"/>
      <c r="J57" s="55" t="n"/>
      <c r="K57" s="68" t="n"/>
      <c r="L57" s="68" t="n"/>
      <c r="M57" s="59">
        <f>IF(OR(L57="",K57=""),"",MAX(L57-K57,0))</f>
        <v/>
      </c>
      <c r="N57" s="59">
        <f>IF(M57="","",IF(N(J57)=0,1,J57))</f>
        <v/>
      </c>
    </row>
    <row r="58">
      <c r="A58" s="53" t="n">
        <v>38</v>
      </c>
      <c r="B58" s="67" t="n"/>
      <c r="C58" s="55" t="n"/>
      <c r="D58" s="68" t="n"/>
      <c r="E58" s="68" t="n"/>
      <c r="F58" s="59">
        <f>IF(OR(E58="",D58=""),"",MAX(E58-D58,0))</f>
        <v/>
      </c>
      <c r="G58" s="59">
        <f>IF(F58="","",IF(N(C58)=0,1,C58))</f>
        <v/>
      </c>
      <c r="H58" s="53" t="n">
        <v>38</v>
      </c>
      <c r="I58" s="67" t="n"/>
      <c r="J58" s="55" t="n"/>
      <c r="K58" s="68" t="n"/>
      <c r="L58" s="68" t="n"/>
      <c r="M58" s="59">
        <f>IF(OR(L58="",K58=""),"",MAX(L58-K58,0))</f>
        <v/>
      </c>
      <c r="N58" s="59">
        <f>IF(M58="","",IF(N(J58)=0,1,J58))</f>
        <v/>
      </c>
    </row>
    <row r="59">
      <c r="A59" s="53" t="n">
        <v>39</v>
      </c>
      <c r="B59" s="67" t="n"/>
      <c r="C59" s="55" t="n"/>
      <c r="D59" s="68" t="n"/>
      <c r="E59" s="68" t="n"/>
      <c r="F59" s="59">
        <f>IF(OR(E59="",D59=""),"",MAX(E59-D59,0))</f>
        <v/>
      </c>
      <c r="G59" s="59">
        <f>IF(F59="","",IF(N(C59)=0,1,C59))</f>
        <v/>
      </c>
      <c r="H59" s="53" t="n">
        <v>39</v>
      </c>
      <c r="I59" s="67" t="n"/>
      <c r="J59" s="55" t="n"/>
      <c r="K59" s="68" t="n"/>
      <c r="L59" s="68" t="n"/>
      <c r="M59" s="59">
        <f>IF(OR(L59="",K59=""),"",MAX(L59-K59,0))</f>
        <v/>
      </c>
      <c r="N59" s="59">
        <f>IF(M59="","",IF(N(J59)=0,1,J59))</f>
        <v/>
      </c>
    </row>
    <row r="60">
      <c r="A60" s="53" t="n">
        <v>40</v>
      </c>
      <c r="B60" s="67" t="n"/>
      <c r="C60" s="55" t="n"/>
      <c r="D60" s="68" t="n"/>
      <c r="E60" s="68" t="n"/>
      <c r="F60" s="59">
        <f>IF(OR(E60="",D60=""),"",MAX(E60-D60,0))</f>
        <v/>
      </c>
      <c r="G60" s="59">
        <f>IF(F60="","",IF(N(C60)=0,1,C60))</f>
        <v/>
      </c>
      <c r="H60" s="53" t="n">
        <v>40</v>
      </c>
      <c r="I60" s="67" t="n"/>
      <c r="J60" s="55" t="n"/>
      <c r="K60" s="68" t="n"/>
      <c r="L60" s="68" t="n"/>
      <c r="M60" s="59">
        <f>IF(OR(L60="",K60=""),"",MAX(L60-K60,0))</f>
        <v/>
      </c>
      <c r="N60" s="59">
        <f>IF(M60="","",IF(N(J60)=0,1,J60))</f>
        <v/>
      </c>
    </row>
    <row r="61">
      <c r="A61" s="53" t="n">
        <v>41</v>
      </c>
      <c r="B61" s="67" t="n"/>
      <c r="C61" s="55" t="n"/>
      <c r="D61" s="68" t="n"/>
      <c r="E61" s="68" t="n"/>
      <c r="F61" s="59">
        <f>IF(OR(E61="",D61=""),"",MAX(E61-D61,0))</f>
        <v/>
      </c>
      <c r="G61" s="59">
        <f>IF(F61="","",IF(N(C61)=0,1,C61))</f>
        <v/>
      </c>
      <c r="H61" s="53" t="n">
        <v>41</v>
      </c>
      <c r="I61" s="67" t="n"/>
      <c r="J61" s="55" t="n"/>
      <c r="K61" s="68" t="n"/>
      <c r="L61" s="68" t="n"/>
      <c r="M61" s="59">
        <f>IF(OR(L61="",K61=""),"",MAX(L61-K61,0))</f>
        <v/>
      </c>
      <c r="N61" s="59">
        <f>IF(M61="","",IF(N(J61)=0,1,J61))</f>
        <v/>
      </c>
    </row>
    <row r="62">
      <c r="A62" s="53" t="n">
        <v>42</v>
      </c>
      <c r="B62" s="67" t="n"/>
      <c r="C62" s="55" t="n"/>
      <c r="D62" s="68" t="n"/>
      <c r="E62" s="68" t="n"/>
      <c r="F62" s="59">
        <f>IF(OR(E62="",D62=""),"",MAX(E62-D62,0))</f>
        <v/>
      </c>
      <c r="G62" s="59">
        <f>IF(F62="","",IF(N(C62)=0,1,C62))</f>
        <v/>
      </c>
      <c r="H62" s="53" t="n">
        <v>42</v>
      </c>
      <c r="I62" s="67" t="n"/>
      <c r="J62" s="55" t="n"/>
      <c r="K62" s="68" t="n"/>
      <c r="L62" s="68" t="n"/>
      <c r="M62" s="59">
        <f>IF(OR(L62="",K62=""),"",MAX(L62-K62,0))</f>
        <v/>
      </c>
      <c r="N62" s="59">
        <f>IF(M62="","",IF(N(J62)=0,1,J62))</f>
        <v/>
      </c>
    </row>
    <row r="63">
      <c r="A63" s="53" t="n">
        <v>43</v>
      </c>
      <c r="B63" s="67" t="n"/>
      <c r="C63" s="55" t="n"/>
      <c r="D63" s="68" t="n"/>
      <c r="E63" s="68" t="n"/>
      <c r="F63" s="59">
        <f>IF(OR(E63="",D63=""),"",MAX(E63-D63,0))</f>
        <v/>
      </c>
      <c r="G63" s="59">
        <f>IF(F63="","",IF(N(C63)=0,1,C63))</f>
        <v/>
      </c>
      <c r="H63" s="53" t="n">
        <v>43</v>
      </c>
      <c r="I63" s="67" t="n"/>
      <c r="J63" s="55" t="n"/>
      <c r="K63" s="68" t="n"/>
      <c r="L63" s="68" t="n"/>
      <c r="M63" s="59">
        <f>IF(OR(L63="",K63=""),"",MAX(L63-K63,0))</f>
        <v/>
      </c>
      <c r="N63" s="59">
        <f>IF(M63="","",IF(N(J63)=0,1,J63))</f>
        <v/>
      </c>
    </row>
    <row r="64">
      <c r="A64" s="53" t="n">
        <v>44</v>
      </c>
      <c r="B64" s="67" t="n"/>
      <c r="C64" s="55" t="n"/>
      <c r="D64" s="68" t="n"/>
      <c r="E64" s="68" t="n"/>
      <c r="F64" s="59">
        <f>IF(OR(E64="",D64=""),"",MAX(E64-D64,0))</f>
        <v/>
      </c>
      <c r="G64" s="59">
        <f>IF(F64="","",IF(N(C64)=0,1,C64))</f>
        <v/>
      </c>
      <c r="H64" s="53" t="n">
        <v>44</v>
      </c>
      <c r="I64" s="67" t="n"/>
      <c r="J64" s="55" t="n"/>
      <c r="K64" s="68" t="n"/>
      <c r="L64" s="68" t="n"/>
      <c r="M64" s="59">
        <f>IF(OR(L64="",K64=""),"",MAX(L64-K64,0))</f>
        <v/>
      </c>
      <c r="N64" s="59">
        <f>IF(M64="","",IF(N(J64)=0,1,J64))</f>
        <v/>
      </c>
    </row>
    <row r="65">
      <c r="A65" s="53" t="n">
        <v>45</v>
      </c>
      <c r="B65" s="67" t="n"/>
      <c r="C65" s="55" t="n"/>
      <c r="D65" s="68" t="n"/>
      <c r="E65" s="68" t="n"/>
      <c r="F65" s="59">
        <f>IF(OR(E65="",D65=""),"",MAX(E65-D65,0))</f>
        <v/>
      </c>
      <c r="G65" s="59">
        <f>IF(F65="","",IF(N(C65)=0,1,C65))</f>
        <v/>
      </c>
      <c r="H65" s="53" t="n">
        <v>45</v>
      </c>
      <c r="I65" s="67" t="n"/>
      <c r="J65" s="55" t="n"/>
      <c r="K65" s="68" t="n"/>
      <c r="L65" s="68" t="n"/>
      <c r="M65" s="59">
        <f>IF(OR(L65="",K65=""),"",MAX(L65-K65,0))</f>
        <v/>
      </c>
      <c r="N65" s="59">
        <f>IF(M65="","",IF(N(J65)=0,1,J65))</f>
        <v/>
      </c>
    </row>
    <row r="66">
      <c r="A66" s="53" t="n">
        <v>46</v>
      </c>
      <c r="B66" s="67" t="n"/>
      <c r="C66" s="55" t="n"/>
      <c r="D66" s="68" t="n"/>
      <c r="E66" s="68" t="n"/>
      <c r="F66" s="59">
        <f>IF(OR(E66="",D66=""),"",MAX(E66-D66,0))</f>
        <v/>
      </c>
      <c r="G66" s="59">
        <f>IF(F66="","",IF(N(C66)=0,1,C66))</f>
        <v/>
      </c>
      <c r="H66" s="53" t="n">
        <v>46</v>
      </c>
      <c r="I66" s="67" t="n"/>
      <c r="J66" s="55" t="n"/>
      <c r="K66" s="68" t="n"/>
      <c r="L66" s="68" t="n"/>
      <c r="M66" s="59">
        <f>IF(OR(L66="",K66=""),"",MAX(L66-K66,0))</f>
        <v/>
      </c>
      <c r="N66" s="59">
        <f>IF(M66="","",IF(N(J66)=0,1,J66))</f>
        <v/>
      </c>
    </row>
    <row r="67">
      <c r="A67" s="53" t="n">
        <v>47</v>
      </c>
      <c r="B67" s="67" t="n"/>
      <c r="C67" s="55" t="n"/>
      <c r="D67" s="68" t="n"/>
      <c r="E67" s="68" t="n"/>
      <c r="F67" s="59">
        <f>IF(OR(E67="",D67=""),"",MAX(E67-D67,0))</f>
        <v/>
      </c>
      <c r="G67" s="59">
        <f>IF(F67="","",IF(N(C67)=0,1,C67))</f>
        <v/>
      </c>
      <c r="H67" s="53" t="n">
        <v>47</v>
      </c>
      <c r="I67" s="67" t="n"/>
      <c r="J67" s="55" t="n"/>
      <c r="K67" s="68" t="n"/>
      <c r="L67" s="68" t="n"/>
      <c r="M67" s="59">
        <f>IF(OR(L67="",K67=""),"",MAX(L67-K67,0))</f>
        <v/>
      </c>
      <c r="N67" s="59">
        <f>IF(M67="","",IF(N(J67)=0,1,J67))</f>
        <v/>
      </c>
    </row>
    <row r="68">
      <c r="A68" s="53" t="n">
        <v>48</v>
      </c>
      <c r="B68" s="67" t="n"/>
      <c r="C68" s="55" t="n"/>
      <c r="D68" s="68" t="n"/>
      <c r="E68" s="68" t="n"/>
      <c r="F68" s="59">
        <f>IF(OR(E68="",D68=""),"",MAX(E68-D68,0))</f>
        <v/>
      </c>
      <c r="G68" s="59">
        <f>IF(F68="","",IF(N(C68)=0,1,C68))</f>
        <v/>
      </c>
      <c r="H68" s="53" t="n">
        <v>48</v>
      </c>
      <c r="I68" s="67" t="n"/>
      <c r="J68" s="55" t="n"/>
      <c r="K68" s="68" t="n"/>
      <c r="L68" s="68" t="n"/>
      <c r="M68" s="59">
        <f>IF(OR(L68="",K68=""),"",MAX(L68-K68,0))</f>
        <v/>
      </c>
      <c r="N68" s="59">
        <f>IF(M68="","",IF(N(J68)=0,1,J68))</f>
        <v/>
      </c>
    </row>
    <row r="69">
      <c r="A69" s="53" t="n">
        <v>49</v>
      </c>
      <c r="B69" s="67" t="n"/>
      <c r="C69" s="55" t="n"/>
      <c r="D69" s="68" t="n"/>
      <c r="E69" s="68" t="n"/>
      <c r="F69" s="59">
        <f>IF(OR(E69="",D69=""),"",MAX(E69-D69,0))</f>
        <v/>
      </c>
      <c r="G69" s="59">
        <f>IF(F69="","",IF(N(C69)=0,1,C69))</f>
        <v/>
      </c>
      <c r="H69" s="53" t="n">
        <v>49</v>
      </c>
      <c r="I69" s="67" t="n"/>
      <c r="J69" s="55" t="n"/>
      <c r="K69" s="68" t="n"/>
      <c r="L69" s="68" t="n"/>
      <c r="M69" s="59">
        <f>IF(OR(L69="",K69=""),"",MAX(L69-K69,0))</f>
        <v/>
      </c>
      <c r="N69" s="59">
        <f>IF(M69="","",IF(N(J69)=0,1,J69))</f>
        <v/>
      </c>
    </row>
    <row r="70">
      <c r="A70" s="53" t="n">
        <v>50</v>
      </c>
      <c r="B70" s="67" t="n"/>
      <c r="C70" s="55" t="n"/>
      <c r="D70" s="68" t="n"/>
      <c r="E70" s="68" t="n"/>
      <c r="F70" s="59">
        <f>IF(OR(E70="",D70=""),"",MAX(E70-D70,0))</f>
        <v/>
      </c>
      <c r="G70" s="59">
        <f>IF(F70="","",IF(N(C70)=0,1,C70))</f>
        <v/>
      </c>
      <c r="H70" s="53" t="n">
        <v>50</v>
      </c>
      <c r="I70" s="67" t="n"/>
      <c r="J70" s="55" t="n"/>
      <c r="K70" s="68" t="n"/>
      <c r="L70" s="68" t="n"/>
      <c r="M70" s="59">
        <f>IF(OR(L70="",K70=""),"",MAX(L70-K70,0))</f>
        <v/>
      </c>
      <c r="N70" s="59">
        <f>IF(M70="","",IF(N(J70)=0,1,J70))</f>
        <v/>
      </c>
    </row>
    <row r="71">
      <c r="A71" s="60" t="n"/>
      <c r="B71" s="61" t="inlineStr">
        <is>
          <t>Total</t>
        </is>
      </c>
      <c r="C71" s="65">
        <f>SUM(C21:C70)</f>
        <v/>
      </c>
      <c r="D71" s="60" t="n"/>
      <c r="E71" s="60" t="n"/>
      <c r="F71" s="62">
        <f>IF(N(G71)=0,"",SUMPRODUCT(F21:F70,G21:G70)/G71)</f>
        <v/>
      </c>
      <c r="G71" s="65">
        <f>SUM(G21:G70)</f>
        <v/>
      </c>
      <c r="H71" s="60" t="n"/>
      <c r="I71" s="61" t="inlineStr">
        <is>
          <t>Total</t>
        </is>
      </c>
      <c r="J71" s="65">
        <f>SUM(J21:J70)</f>
        <v/>
      </c>
      <c r="K71" s="60" t="n"/>
      <c r="L71" s="60" t="n"/>
      <c r="M71" s="62">
        <f>IF(N(N71)=0,"",SUMPRODUCT(M21:M70,N21:N70)/N71)</f>
        <v/>
      </c>
      <c r="N71" s="65">
        <f>SUM(N21:N70)</f>
        <v/>
      </c>
    </row>
    <row r="72">
      <c r="B72" s="66" t="inlineStr">
        <is>
          <t>Insert rows above the Total row as necessary and copy the formulas of the 'Time to Hire' and 'Posts Filled' columns into the new rows. Blank 'No. of Posts' on a filled position counts as 1 post.</t>
        </is>
      </c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IK1mo3n2o9zLr8wGMYhctA==" formatRows="0" sort="1" spinCount="100000" hashValue="BxtlLJhy4LlRWdVEjwrO4taZuxvjBDAYtqNtPV4JxIOlFYuzAu35PaQ28q55hr5X/YUx3By7q0/tp1NhUSsxrA=="/>
  <mergeCells count="24">
    <mergeCell ref="Y2:AA2"/>
    <mergeCell ref="Y1:AA1"/>
    <mergeCell ref="A18:C18"/>
    <mergeCell ref="Q1:S1"/>
    <mergeCell ref="D18:E19"/>
    <mergeCell ref="O1:O2"/>
    <mergeCell ref="A2:C2"/>
    <mergeCell ref="D1:F2"/>
    <mergeCell ref="W1:W2"/>
    <mergeCell ref="M18:N19"/>
    <mergeCell ref="H19:J19"/>
    <mergeCell ref="I1:K1"/>
    <mergeCell ref="AB1:AD2"/>
    <mergeCell ref="AE1:AE2"/>
    <mergeCell ref="Q2:S2"/>
    <mergeCell ref="A19:C19"/>
    <mergeCell ref="H18:J18"/>
    <mergeCell ref="K18:L19"/>
    <mergeCell ref="G1:G2"/>
    <mergeCell ref="L1:N2"/>
    <mergeCell ref="I2:K2"/>
    <mergeCell ref="A1:C1"/>
    <mergeCell ref="T1:V2"/>
    <mergeCell ref="F18:G19"/>
  </mergeCells>
  <dataValidations count="5">
    <dataValidation sqref="D21:E7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C21:C70" showDropDown="0" showInputMessage="0" showErrorMessage="1" allowBlank="1" error="No. of Posts must be a whole number &gt;= 1." type="whole" operator="greaterThanOrEqual">
      <formula1>1</formula1>
    </dataValidation>
    <dataValidation sqref="K21:L7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J21:J70" showDropDown="0" showInputMessage="0" showErrorMessage="1" allowBlank="1" error="No. of Posts must be a whole number &gt;= 1." type="whole" operator="greaterThanOrEqual">
      <formula1>1</formula1>
    </dataValidation>
    <dataValidation sqref="D4:D15" showDropDown="0" showInputMessage="0" showErrorMessage="1" allowBlank="1" error="Working days must be between 0 and 31." type="whole" operator="between">
      <formula1>0</formula1>
      <formula2>31</formula2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82"/>
  <sheetViews>
    <sheetView showGridLines="0" zoomScale="80" workbookViewId="0">
      <selection activeCell="A1" sqref="A1"/>
    </sheetView>
  </sheetViews>
  <sheetFormatPr baseColWidth="8" defaultRowHeight="15"/>
  <cols>
    <col width="5.5" customWidth="1" min="1" max="1"/>
    <col width="16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5.5" customWidth="1" min="8" max="8"/>
    <col width="16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3" customWidth="1" min="15" max="15"/>
    <col width="3" customWidth="1" min="16" max="16"/>
    <col width="5.5" customWidth="1" min="17" max="17"/>
    <col width="16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3" customWidth="1" min="24" max="24"/>
    <col width="5.5" customWidth="1" min="25" max="25"/>
    <col width="1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4.75" customHeight="1">
      <c r="A1" s="40" t="inlineStr">
        <is>
          <t>GCG Honduras</t>
        </is>
      </c>
      <c r="B1" s="41" t="n"/>
      <c r="C1" s="42" t="n"/>
      <c r="D1" s="40" t="inlineStr">
        <is>
          <t>ABSENCE RATE YTD</t>
        </is>
      </c>
      <c r="E1" s="43" t="n"/>
      <c r="F1" s="44" t="n"/>
      <c r="G1" s="45">
        <f>G16</f>
        <v/>
      </c>
      <c r="I1" s="40">
        <f>A1</f>
        <v/>
      </c>
      <c r="J1" s="41" t="n"/>
      <c r="K1" s="42" t="n"/>
      <c r="L1" s="40" t="inlineStr">
        <is>
          <t>ABSENCE RATE YTD</t>
        </is>
      </c>
      <c r="M1" s="43" t="n"/>
      <c r="N1" s="44" t="n"/>
      <c r="O1" s="45">
        <f>O16</f>
        <v/>
      </c>
      <c r="Q1" s="40">
        <f>A1</f>
        <v/>
      </c>
      <c r="R1" s="41" t="n"/>
      <c r="S1" s="42" t="n"/>
      <c r="T1" s="40" t="inlineStr">
        <is>
          <t>ABSENCE RATE YTD</t>
        </is>
      </c>
      <c r="U1" s="43" t="n"/>
      <c r="V1" s="44" t="n"/>
      <c r="W1" s="45">
        <f>W16</f>
        <v/>
      </c>
      <c r="Y1" s="40">
        <f>A1</f>
        <v/>
      </c>
      <c r="Z1" s="41" t="n"/>
      <c r="AA1" s="42" t="n"/>
      <c r="AB1" s="40" t="inlineStr">
        <is>
          <t>TIME TO HIRE YTD (Days)</t>
        </is>
      </c>
      <c r="AC1" s="43" t="n"/>
      <c r="AD1" s="44" t="n"/>
      <c r="AE1" s="46">
        <f>AE16</f>
        <v/>
      </c>
    </row>
    <row r="2" ht="18.75" customHeight="1">
      <c r="A2" s="47" t="inlineStr">
        <is>
          <t>NON-CERTIFIED</t>
        </is>
      </c>
      <c r="B2" s="41" t="n"/>
      <c r="C2" s="42" t="n"/>
      <c r="D2" s="48" t="n"/>
      <c r="E2" s="49" t="n"/>
      <c r="F2" s="50" t="n"/>
      <c r="G2" s="51" t="n"/>
      <c r="I2" s="47" t="inlineStr">
        <is>
          <t>CERTIFIED</t>
        </is>
      </c>
      <c r="J2" s="41" t="n"/>
      <c r="K2" s="42" t="n"/>
      <c r="L2" s="48" t="n"/>
      <c r="M2" s="49" t="n"/>
      <c r="N2" s="50" t="n"/>
      <c r="O2" s="51" t="n"/>
      <c r="Q2" s="47" t="inlineStr">
        <is>
          <t>TOTAL ABSENCES</t>
        </is>
      </c>
      <c r="R2" s="41" t="n"/>
      <c r="S2" s="42" t="n"/>
      <c r="T2" s="48" t="n"/>
      <c r="U2" s="49" t="n"/>
      <c r="V2" s="50" t="n"/>
      <c r="W2" s="51" t="n"/>
      <c r="Y2" s="47" t="inlineStr">
        <is>
          <t>TIME TO HIRE BY MONTH</t>
        </is>
      </c>
      <c r="Z2" s="41" t="n"/>
      <c r="AA2" s="42" t="n"/>
      <c r="AB2" s="48" t="n"/>
      <c r="AC2" s="49" t="n"/>
      <c r="AD2" s="50" t="n"/>
      <c r="AE2" s="51" t="n"/>
    </row>
    <row r="3" ht="55" customHeight="1">
      <c r="A3" s="52" t="inlineStr">
        <is>
          <t>No.</t>
        </is>
      </c>
      <c r="B3" s="52" t="inlineStr">
        <is>
          <t>Month</t>
        </is>
      </c>
      <c r="C3" s="52" t="inlineStr">
        <is>
          <t>Total Employees</t>
        </is>
      </c>
      <c r="D3" s="52" t="inlineStr">
        <is>
          <t>Working Days</t>
        </is>
      </c>
      <c r="E3" s="52" t="inlineStr">
        <is>
          <t>Total Days Lost</t>
        </is>
      </c>
      <c r="F3" s="52" t="inlineStr">
        <is>
          <t>Total Working Days</t>
        </is>
      </c>
      <c r="G3" s="52" t="inlineStr">
        <is>
          <t>Monthly Absence Rate</t>
        </is>
      </c>
      <c r="I3" s="52" t="inlineStr">
        <is>
          <t>No.</t>
        </is>
      </c>
      <c r="J3" s="52" t="inlineStr">
        <is>
          <t>Month</t>
        </is>
      </c>
      <c r="K3" s="52" t="inlineStr">
        <is>
          <t>Total Employees</t>
        </is>
      </c>
      <c r="L3" s="52" t="inlineStr">
        <is>
          <t>Working Days</t>
        </is>
      </c>
      <c r="M3" s="52" t="inlineStr">
        <is>
          <t>Total Days Lost</t>
        </is>
      </c>
      <c r="N3" s="52" t="inlineStr">
        <is>
          <t>Total Working Days</t>
        </is>
      </c>
      <c r="O3" s="52" t="inlineStr">
        <is>
          <t>Monthly Absence Rate</t>
        </is>
      </c>
      <c r="Q3" s="52" t="inlineStr">
        <is>
          <t>No.</t>
        </is>
      </c>
      <c r="R3" s="52" t="inlineStr">
        <is>
          <t>Month</t>
        </is>
      </c>
      <c r="S3" s="52" t="inlineStr">
        <is>
          <t>Total Employees</t>
        </is>
      </c>
      <c r="T3" s="52" t="inlineStr">
        <is>
          <t>Working Days</t>
        </is>
      </c>
      <c r="U3" s="52" t="inlineStr">
        <is>
          <t>Total Days Lost</t>
        </is>
      </c>
      <c r="V3" s="52" t="inlineStr">
        <is>
          <t>Total Working Days</t>
        </is>
      </c>
      <c r="W3" s="52" t="inlineStr">
        <is>
          <t>Monthly Absence Rate</t>
        </is>
      </c>
      <c r="Y3" s="52" t="inlineStr">
        <is>
          <t>No.</t>
        </is>
      </c>
      <c r="Z3" s="52" t="inlineStr">
        <is>
          <t>Month</t>
        </is>
      </c>
      <c r="AA3" s="52" t="inlineStr">
        <is>
          <t>Permanent Posts Filled YTD</t>
        </is>
      </c>
      <c r="AB3" s="52" t="inlineStr">
        <is>
          <t>Permanent Time to Hire YTD (Days)</t>
        </is>
      </c>
      <c r="AC3" s="52" t="inlineStr">
        <is>
          <t>Temporary Posts Filled YTD</t>
        </is>
      </c>
      <c r="AD3" s="52" t="inlineStr">
        <is>
          <t>Temporary Time to Hire YTD (Days)</t>
        </is>
      </c>
      <c r="AE3" s="52" t="inlineStr">
        <is>
          <t>Total Time to Hire YTD (Days)</t>
        </is>
      </c>
    </row>
    <row r="4" ht="18.75" customHeight="1">
      <c r="A4" s="53" t="n">
        <v>1</v>
      </c>
      <c r="B4" s="54" t="n">
        <v>46296</v>
      </c>
      <c r="C4" s="53">
        <f>IF(OCT!$G$5="","",OCT!$G$5)</f>
        <v/>
      </c>
      <c r="D4" s="55" t="n"/>
      <c r="E4" s="56">
        <f>IF(OCT!$G$43="","",OCT!$G$43)</f>
        <v/>
      </c>
      <c r="F4" s="57">
        <f>IF(OR(C4="",D4=""),"",C4*D4)</f>
        <v/>
      </c>
      <c r="G4" s="58">
        <f>IF(OR(E4="",N(F4)=0),"",E4/F4)</f>
        <v/>
      </c>
      <c r="I4" s="53" t="n">
        <v>1</v>
      </c>
      <c r="J4" s="54" t="n">
        <v>46296</v>
      </c>
      <c r="K4" s="53">
        <f>C4</f>
        <v/>
      </c>
      <c r="L4" s="59">
        <f>IF(D4="","",D4)</f>
        <v/>
      </c>
      <c r="M4" s="56">
        <f>IF(OCT!$G$44="","",OCT!$G$44)</f>
        <v/>
      </c>
      <c r="N4" s="57">
        <f>IF(OR(K4="",L4=""),"",K4*L4)</f>
        <v/>
      </c>
      <c r="O4" s="58">
        <f>IF(OR(M4="",N(N4)=0),"",M4/N4)</f>
        <v/>
      </c>
      <c r="Q4" s="53" t="n">
        <v>1</v>
      </c>
      <c r="R4" s="54" t="n">
        <v>46296</v>
      </c>
      <c r="S4" s="53">
        <f>C4</f>
        <v/>
      </c>
      <c r="T4" s="59">
        <f>IF(D4="","",D4)</f>
        <v/>
      </c>
      <c r="U4" s="56">
        <f>IF(COUNT(E4,M4)=0,"",SUM(E4,M4))</f>
        <v/>
      </c>
      <c r="V4" s="57">
        <f>IF(OR(S4="",T4=""),"",S4*T4)</f>
        <v/>
      </c>
      <c r="W4" s="58">
        <f>IF(OR(U4="",N(V4)=0),"",U4/V4)</f>
        <v/>
      </c>
      <c r="Y4" s="53" t="n">
        <v>1</v>
      </c>
      <c r="Z4" s="54" t="n">
        <v>46296</v>
      </c>
      <c r="AA4" s="59">
        <f>IF($C4="","",SUMPRODUCT(($E$21:$E$80&gt;=$Z$4)*($E$21:$E$80&lt;=EOMONTH($Z4,0)),$G$21:$G$80))</f>
        <v/>
      </c>
      <c r="AB4" s="56">
        <f>IF(N(AA4)=0,"",SUMPRODUCT(($E$21:$E$80&gt;=$Z$4)*($E$21:$E$80&lt;=EOMONTH($Z4,0)),$F$21:$F$80,$G$21:$G$80)/AA4)</f>
        <v/>
      </c>
      <c r="AC4" s="59">
        <f>IF($C4="","",SUMPRODUCT(($L$21:$L$80&gt;=$Z$4)*($L$21:$L$80&lt;=EOMONTH($Z4,0)),$N$21:$N$80))</f>
        <v/>
      </c>
      <c r="AD4" s="56">
        <f>IF(N(AC4)=0,"",SUMPRODUCT(($L$21:$L$80&gt;=$Z$4)*($L$21:$L$80&lt;=EOMONTH($Z4,0)),$M$21:$M$80,$N$21:$N$80)/AC4)</f>
        <v/>
      </c>
      <c r="AE4" s="56">
        <f>IF(N(AA4)+N(AC4)=0,"",(N(AB4)*N(AA4)+N(AD4)*N(AC4))/(N(AA4)+N(AC4)))</f>
        <v/>
      </c>
    </row>
    <row r="5" ht="18.75" customHeight="1">
      <c r="A5" s="53" t="n">
        <v>2</v>
      </c>
      <c r="B5" s="54" t="n">
        <v>46327</v>
      </c>
      <c r="C5" s="53">
        <f>IF(NOV!$G$5="","",NOV!$G$5)</f>
        <v/>
      </c>
      <c r="D5" s="55" t="n"/>
      <c r="E5" s="56">
        <f>IF(NOV!$G$43="","",NOV!$G$43)</f>
        <v/>
      </c>
      <c r="F5" s="57">
        <f>IF(OR(C5="",D5=""),"",C5*D5)</f>
        <v/>
      </c>
      <c r="G5" s="58">
        <f>IF(OR(E5="",N(F5)=0),"",E5/F5)</f>
        <v/>
      </c>
      <c r="I5" s="53" t="n">
        <v>2</v>
      </c>
      <c r="J5" s="54" t="n">
        <v>46327</v>
      </c>
      <c r="K5" s="53">
        <f>C5</f>
        <v/>
      </c>
      <c r="L5" s="59">
        <f>IF(D5="","",D5)</f>
        <v/>
      </c>
      <c r="M5" s="56">
        <f>IF(NOV!$G$44="","",NOV!$G$44)</f>
        <v/>
      </c>
      <c r="N5" s="57">
        <f>IF(OR(K5="",L5=""),"",K5*L5)</f>
        <v/>
      </c>
      <c r="O5" s="58">
        <f>IF(OR(M5="",N(N5)=0),"",M5/N5)</f>
        <v/>
      </c>
      <c r="Q5" s="53" t="n">
        <v>2</v>
      </c>
      <c r="R5" s="54" t="n">
        <v>46327</v>
      </c>
      <c r="S5" s="53">
        <f>C5</f>
        <v/>
      </c>
      <c r="T5" s="59">
        <f>IF(D5="","",D5)</f>
        <v/>
      </c>
      <c r="U5" s="56">
        <f>IF(COUNT(E5,M5)=0,"",SUM(E5,M5))</f>
        <v/>
      </c>
      <c r="V5" s="57">
        <f>IF(OR(S5="",T5=""),"",S5*T5)</f>
        <v/>
      </c>
      <c r="W5" s="58">
        <f>IF(OR(U5="",N(V5)=0),"",U5/V5)</f>
        <v/>
      </c>
      <c r="Y5" s="53" t="n">
        <v>2</v>
      </c>
      <c r="Z5" s="54" t="n">
        <v>46327</v>
      </c>
      <c r="AA5" s="59">
        <f>IF($C5="","",SUMPRODUCT(($E$21:$E$80&gt;=$Z$4)*($E$21:$E$80&lt;=EOMONTH($Z5,0)),$G$21:$G$80))</f>
        <v/>
      </c>
      <c r="AB5" s="56">
        <f>IF(N(AA5)=0,"",SUMPRODUCT(($E$21:$E$80&gt;=$Z$4)*($E$21:$E$80&lt;=EOMONTH($Z5,0)),$F$21:$F$80,$G$21:$G$80)/AA5)</f>
        <v/>
      </c>
      <c r="AC5" s="59">
        <f>IF($C5="","",SUMPRODUCT(($L$21:$L$80&gt;=$Z$4)*($L$21:$L$80&lt;=EOMONTH($Z5,0)),$N$21:$N$80))</f>
        <v/>
      </c>
      <c r="AD5" s="56">
        <f>IF(N(AC5)=0,"",SUMPRODUCT(($L$21:$L$80&gt;=$Z$4)*($L$21:$L$80&lt;=EOMONTH($Z5,0)),$M$21:$M$80,$N$21:$N$80)/AC5)</f>
        <v/>
      </c>
      <c r="AE5" s="56">
        <f>IF(N(AA5)+N(AC5)=0,"",(N(AB5)*N(AA5)+N(AD5)*N(AC5))/(N(AA5)+N(AC5)))</f>
        <v/>
      </c>
    </row>
    <row r="6" ht="18.75" customHeight="1">
      <c r="A6" s="53" t="n">
        <v>3</v>
      </c>
      <c r="B6" s="54" t="n">
        <v>46357</v>
      </c>
      <c r="C6" s="53">
        <f>IF(DEC!$G$5="","",DEC!$G$5)</f>
        <v/>
      </c>
      <c r="D6" s="55" t="n"/>
      <c r="E6" s="56">
        <f>IF(DEC!$G$43="","",DEC!$G$43)</f>
        <v/>
      </c>
      <c r="F6" s="57">
        <f>IF(OR(C6="",D6=""),"",C6*D6)</f>
        <v/>
      </c>
      <c r="G6" s="58">
        <f>IF(OR(E6="",N(F6)=0),"",E6/F6)</f>
        <v/>
      </c>
      <c r="I6" s="53" t="n">
        <v>3</v>
      </c>
      <c r="J6" s="54" t="n">
        <v>46357</v>
      </c>
      <c r="K6" s="53">
        <f>C6</f>
        <v/>
      </c>
      <c r="L6" s="59">
        <f>IF(D6="","",D6)</f>
        <v/>
      </c>
      <c r="M6" s="56">
        <f>IF(DEC!$G$44="","",DEC!$G$44)</f>
        <v/>
      </c>
      <c r="N6" s="57">
        <f>IF(OR(K6="",L6=""),"",K6*L6)</f>
        <v/>
      </c>
      <c r="O6" s="58">
        <f>IF(OR(M6="",N(N6)=0),"",M6/N6)</f>
        <v/>
      </c>
      <c r="Q6" s="53" t="n">
        <v>3</v>
      </c>
      <c r="R6" s="54" t="n">
        <v>46357</v>
      </c>
      <c r="S6" s="53">
        <f>C6</f>
        <v/>
      </c>
      <c r="T6" s="59">
        <f>IF(D6="","",D6)</f>
        <v/>
      </c>
      <c r="U6" s="56">
        <f>IF(COUNT(E6,M6)=0,"",SUM(E6,M6))</f>
        <v/>
      </c>
      <c r="V6" s="57">
        <f>IF(OR(S6="",T6=""),"",S6*T6)</f>
        <v/>
      </c>
      <c r="W6" s="58">
        <f>IF(OR(U6="",N(V6)=0),"",U6/V6)</f>
        <v/>
      </c>
      <c r="Y6" s="53" t="n">
        <v>3</v>
      </c>
      <c r="Z6" s="54" t="n">
        <v>46357</v>
      </c>
      <c r="AA6" s="59">
        <f>IF($C6="","",SUMPRODUCT(($E$21:$E$80&gt;=$Z$4)*($E$21:$E$80&lt;=EOMONTH($Z6,0)),$G$21:$G$80))</f>
        <v/>
      </c>
      <c r="AB6" s="56">
        <f>IF(N(AA6)=0,"",SUMPRODUCT(($E$21:$E$80&gt;=$Z$4)*($E$21:$E$80&lt;=EOMONTH($Z6,0)),$F$21:$F$80,$G$21:$G$80)/AA6)</f>
        <v/>
      </c>
      <c r="AC6" s="59">
        <f>IF($C6="","",SUMPRODUCT(($L$21:$L$80&gt;=$Z$4)*($L$21:$L$80&lt;=EOMONTH($Z6,0)),$N$21:$N$80))</f>
        <v/>
      </c>
      <c r="AD6" s="56">
        <f>IF(N(AC6)=0,"",SUMPRODUCT(($L$21:$L$80&gt;=$Z$4)*($L$21:$L$80&lt;=EOMONTH($Z6,0)),$M$21:$M$80,$N$21:$N$80)/AC6)</f>
        <v/>
      </c>
      <c r="AE6" s="56">
        <f>IF(N(AA6)+N(AC6)=0,"",(N(AB6)*N(AA6)+N(AD6)*N(AC6))/(N(AA6)+N(AC6)))</f>
        <v/>
      </c>
    </row>
    <row r="7" ht="18.75" customHeight="1">
      <c r="A7" s="53" t="n">
        <v>4</v>
      </c>
      <c r="B7" s="54" t="n">
        <v>46388</v>
      </c>
      <c r="C7" s="53">
        <f>IF(JAN!$G$5="","",JAN!$G$5)</f>
        <v/>
      </c>
      <c r="D7" s="55" t="n"/>
      <c r="E7" s="56">
        <f>IF(JAN!$G$43="","",JAN!$G$43)</f>
        <v/>
      </c>
      <c r="F7" s="57">
        <f>IF(OR(C7="",D7=""),"",C7*D7)</f>
        <v/>
      </c>
      <c r="G7" s="58">
        <f>IF(OR(E7="",N(F7)=0),"",E7/F7)</f>
        <v/>
      </c>
      <c r="I7" s="53" t="n">
        <v>4</v>
      </c>
      <c r="J7" s="54" t="n">
        <v>46388</v>
      </c>
      <c r="K7" s="53">
        <f>C7</f>
        <v/>
      </c>
      <c r="L7" s="59">
        <f>IF(D7="","",D7)</f>
        <v/>
      </c>
      <c r="M7" s="56">
        <f>IF(JAN!$G$44="","",JAN!$G$44)</f>
        <v/>
      </c>
      <c r="N7" s="57">
        <f>IF(OR(K7="",L7=""),"",K7*L7)</f>
        <v/>
      </c>
      <c r="O7" s="58">
        <f>IF(OR(M7="",N(N7)=0),"",M7/N7)</f>
        <v/>
      </c>
      <c r="Q7" s="53" t="n">
        <v>4</v>
      </c>
      <c r="R7" s="54" t="n">
        <v>46388</v>
      </c>
      <c r="S7" s="53">
        <f>C7</f>
        <v/>
      </c>
      <c r="T7" s="59">
        <f>IF(D7="","",D7)</f>
        <v/>
      </c>
      <c r="U7" s="56">
        <f>IF(COUNT(E7,M7)=0,"",SUM(E7,M7))</f>
        <v/>
      </c>
      <c r="V7" s="57">
        <f>IF(OR(S7="",T7=""),"",S7*T7)</f>
        <v/>
      </c>
      <c r="W7" s="58">
        <f>IF(OR(U7="",N(V7)=0),"",U7/V7)</f>
        <v/>
      </c>
      <c r="Y7" s="53" t="n">
        <v>4</v>
      </c>
      <c r="Z7" s="54" t="n">
        <v>46388</v>
      </c>
      <c r="AA7" s="59">
        <f>IF($C7="","",SUMPRODUCT(($E$21:$E$80&gt;=$Z$4)*($E$21:$E$80&lt;=EOMONTH($Z7,0)),$G$21:$G$80))</f>
        <v/>
      </c>
      <c r="AB7" s="56">
        <f>IF(N(AA7)=0,"",SUMPRODUCT(($E$21:$E$80&gt;=$Z$4)*($E$21:$E$80&lt;=EOMONTH($Z7,0)),$F$21:$F$80,$G$21:$G$80)/AA7)</f>
        <v/>
      </c>
      <c r="AC7" s="59">
        <f>IF($C7="","",SUMPRODUCT(($L$21:$L$80&gt;=$Z$4)*($L$21:$L$80&lt;=EOMONTH($Z7,0)),$N$21:$N$80))</f>
        <v/>
      </c>
      <c r="AD7" s="56">
        <f>IF(N(AC7)=0,"",SUMPRODUCT(($L$21:$L$80&gt;=$Z$4)*($L$21:$L$80&lt;=EOMONTH($Z7,0)),$M$21:$M$80,$N$21:$N$80)/AC7)</f>
        <v/>
      </c>
      <c r="AE7" s="56">
        <f>IF(N(AA7)+N(AC7)=0,"",(N(AB7)*N(AA7)+N(AD7)*N(AC7))/(N(AA7)+N(AC7)))</f>
        <v/>
      </c>
    </row>
    <row r="8" ht="18.75" customHeight="1">
      <c r="A8" s="53" t="n">
        <v>5</v>
      </c>
      <c r="B8" s="54" t="n">
        <v>46419</v>
      </c>
      <c r="C8" s="53">
        <f>IF(FEB!$G$5="","",FEB!$G$5)</f>
        <v/>
      </c>
      <c r="D8" s="55" t="n"/>
      <c r="E8" s="56">
        <f>IF(FEB!$G$43="","",FEB!$G$43)</f>
        <v/>
      </c>
      <c r="F8" s="57">
        <f>IF(OR(C8="",D8=""),"",C8*D8)</f>
        <v/>
      </c>
      <c r="G8" s="58">
        <f>IF(OR(E8="",N(F8)=0),"",E8/F8)</f>
        <v/>
      </c>
      <c r="I8" s="53" t="n">
        <v>5</v>
      </c>
      <c r="J8" s="54" t="n">
        <v>46419</v>
      </c>
      <c r="K8" s="53">
        <f>C8</f>
        <v/>
      </c>
      <c r="L8" s="59">
        <f>IF(D8="","",D8)</f>
        <v/>
      </c>
      <c r="M8" s="56">
        <f>IF(FEB!$G$44="","",FEB!$G$44)</f>
        <v/>
      </c>
      <c r="N8" s="57">
        <f>IF(OR(K8="",L8=""),"",K8*L8)</f>
        <v/>
      </c>
      <c r="O8" s="58">
        <f>IF(OR(M8="",N(N8)=0),"",M8/N8)</f>
        <v/>
      </c>
      <c r="Q8" s="53" t="n">
        <v>5</v>
      </c>
      <c r="R8" s="54" t="n">
        <v>46419</v>
      </c>
      <c r="S8" s="53">
        <f>C8</f>
        <v/>
      </c>
      <c r="T8" s="59">
        <f>IF(D8="","",D8)</f>
        <v/>
      </c>
      <c r="U8" s="56">
        <f>IF(COUNT(E8,M8)=0,"",SUM(E8,M8))</f>
        <v/>
      </c>
      <c r="V8" s="57">
        <f>IF(OR(S8="",T8=""),"",S8*T8)</f>
        <v/>
      </c>
      <c r="W8" s="58">
        <f>IF(OR(U8="",N(V8)=0),"",U8/V8)</f>
        <v/>
      </c>
      <c r="Y8" s="53" t="n">
        <v>5</v>
      </c>
      <c r="Z8" s="54" t="n">
        <v>46419</v>
      </c>
      <c r="AA8" s="59">
        <f>IF($C8="","",SUMPRODUCT(($E$21:$E$80&gt;=$Z$4)*($E$21:$E$80&lt;=EOMONTH($Z8,0)),$G$21:$G$80))</f>
        <v/>
      </c>
      <c r="AB8" s="56">
        <f>IF(N(AA8)=0,"",SUMPRODUCT(($E$21:$E$80&gt;=$Z$4)*($E$21:$E$80&lt;=EOMONTH($Z8,0)),$F$21:$F$80,$G$21:$G$80)/AA8)</f>
        <v/>
      </c>
      <c r="AC8" s="59">
        <f>IF($C8="","",SUMPRODUCT(($L$21:$L$80&gt;=$Z$4)*($L$21:$L$80&lt;=EOMONTH($Z8,0)),$N$21:$N$80))</f>
        <v/>
      </c>
      <c r="AD8" s="56">
        <f>IF(N(AC8)=0,"",SUMPRODUCT(($L$21:$L$80&gt;=$Z$4)*($L$21:$L$80&lt;=EOMONTH($Z8,0)),$M$21:$M$80,$N$21:$N$80)/AC8)</f>
        <v/>
      </c>
      <c r="AE8" s="56">
        <f>IF(N(AA8)+N(AC8)=0,"",(N(AB8)*N(AA8)+N(AD8)*N(AC8))/(N(AA8)+N(AC8)))</f>
        <v/>
      </c>
    </row>
    <row r="9" ht="18.75" customHeight="1">
      <c r="A9" s="53" t="n">
        <v>6</v>
      </c>
      <c r="B9" s="54" t="n">
        <v>46447</v>
      </c>
      <c r="C9" s="53">
        <f>IF(MAR!$G$5="","",MAR!$G$5)</f>
        <v/>
      </c>
      <c r="D9" s="55" t="n"/>
      <c r="E9" s="56">
        <f>IF(MAR!$G$43="","",MAR!$G$43)</f>
        <v/>
      </c>
      <c r="F9" s="57">
        <f>IF(OR(C9="",D9=""),"",C9*D9)</f>
        <v/>
      </c>
      <c r="G9" s="58">
        <f>IF(OR(E9="",N(F9)=0),"",E9/F9)</f>
        <v/>
      </c>
      <c r="I9" s="53" t="n">
        <v>6</v>
      </c>
      <c r="J9" s="54" t="n">
        <v>46447</v>
      </c>
      <c r="K9" s="53">
        <f>C9</f>
        <v/>
      </c>
      <c r="L9" s="59">
        <f>IF(D9="","",D9)</f>
        <v/>
      </c>
      <c r="M9" s="56">
        <f>IF(MAR!$G$44="","",MAR!$G$44)</f>
        <v/>
      </c>
      <c r="N9" s="57">
        <f>IF(OR(K9="",L9=""),"",K9*L9)</f>
        <v/>
      </c>
      <c r="O9" s="58">
        <f>IF(OR(M9="",N(N9)=0),"",M9/N9)</f>
        <v/>
      </c>
      <c r="Q9" s="53" t="n">
        <v>6</v>
      </c>
      <c r="R9" s="54" t="n">
        <v>46447</v>
      </c>
      <c r="S9" s="53">
        <f>C9</f>
        <v/>
      </c>
      <c r="T9" s="59">
        <f>IF(D9="","",D9)</f>
        <v/>
      </c>
      <c r="U9" s="56">
        <f>IF(COUNT(E9,M9)=0,"",SUM(E9,M9))</f>
        <v/>
      </c>
      <c r="V9" s="57">
        <f>IF(OR(S9="",T9=""),"",S9*T9)</f>
        <v/>
      </c>
      <c r="W9" s="58">
        <f>IF(OR(U9="",N(V9)=0),"",U9/V9)</f>
        <v/>
      </c>
      <c r="Y9" s="53" t="n">
        <v>6</v>
      </c>
      <c r="Z9" s="54" t="n">
        <v>46447</v>
      </c>
      <c r="AA9" s="59">
        <f>IF($C9="","",SUMPRODUCT(($E$21:$E$80&gt;=$Z$4)*($E$21:$E$80&lt;=EOMONTH($Z9,0)),$G$21:$G$80))</f>
        <v/>
      </c>
      <c r="AB9" s="56">
        <f>IF(N(AA9)=0,"",SUMPRODUCT(($E$21:$E$80&gt;=$Z$4)*($E$21:$E$80&lt;=EOMONTH($Z9,0)),$F$21:$F$80,$G$21:$G$80)/AA9)</f>
        <v/>
      </c>
      <c r="AC9" s="59">
        <f>IF($C9="","",SUMPRODUCT(($L$21:$L$80&gt;=$Z$4)*($L$21:$L$80&lt;=EOMONTH($Z9,0)),$N$21:$N$80))</f>
        <v/>
      </c>
      <c r="AD9" s="56">
        <f>IF(N(AC9)=0,"",SUMPRODUCT(($L$21:$L$80&gt;=$Z$4)*($L$21:$L$80&lt;=EOMONTH($Z9,0)),$M$21:$M$80,$N$21:$N$80)/AC9)</f>
        <v/>
      </c>
      <c r="AE9" s="56">
        <f>IF(N(AA9)+N(AC9)=0,"",(N(AB9)*N(AA9)+N(AD9)*N(AC9))/(N(AA9)+N(AC9)))</f>
        <v/>
      </c>
    </row>
    <row r="10" ht="18.75" customHeight="1">
      <c r="A10" s="53" t="n">
        <v>7</v>
      </c>
      <c r="B10" s="54" t="n">
        <v>46478</v>
      </c>
      <c r="C10" s="53">
        <f>IF(APR!$G$5="","",APR!$G$5)</f>
        <v/>
      </c>
      <c r="D10" s="55" t="n"/>
      <c r="E10" s="56">
        <f>IF(APR!$G$43="","",APR!$G$43)</f>
        <v/>
      </c>
      <c r="F10" s="57">
        <f>IF(OR(C10="",D10=""),"",C10*D10)</f>
        <v/>
      </c>
      <c r="G10" s="58">
        <f>IF(OR(E10="",N(F10)=0),"",E10/F10)</f>
        <v/>
      </c>
      <c r="I10" s="53" t="n">
        <v>7</v>
      </c>
      <c r="J10" s="54" t="n">
        <v>46478</v>
      </c>
      <c r="K10" s="53">
        <f>C10</f>
        <v/>
      </c>
      <c r="L10" s="59">
        <f>IF(D10="","",D10)</f>
        <v/>
      </c>
      <c r="M10" s="56">
        <f>IF(APR!$G$44="","",APR!$G$44)</f>
        <v/>
      </c>
      <c r="N10" s="57">
        <f>IF(OR(K10="",L10=""),"",K10*L10)</f>
        <v/>
      </c>
      <c r="O10" s="58">
        <f>IF(OR(M10="",N(N10)=0),"",M10/N10)</f>
        <v/>
      </c>
      <c r="Q10" s="53" t="n">
        <v>7</v>
      </c>
      <c r="R10" s="54" t="n">
        <v>46478</v>
      </c>
      <c r="S10" s="53">
        <f>C10</f>
        <v/>
      </c>
      <c r="T10" s="59">
        <f>IF(D10="","",D10)</f>
        <v/>
      </c>
      <c r="U10" s="56">
        <f>IF(COUNT(E10,M10)=0,"",SUM(E10,M10))</f>
        <v/>
      </c>
      <c r="V10" s="57">
        <f>IF(OR(S10="",T10=""),"",S10*T10)</f>
        <v/>
      </c>
      <c r="W10" s="58">
        <f>IF(OR(U10="",N(V10)=0),"",U10/V10)</f>
        <v/>
      </c>
      <c r="Y10" s="53" t="n">
        <v>7</v>
      </c>
      <c r="Z10" s="54" t="n">
        <v>46478</v>
      </c>
      <c r="AA10" s="59">
        <f>IF($C10="","",SUMPRODUCT(($E$21:$E$80&gt;=$Z$4)*($E$21:$E$80&lt;=EOMONTH($Z10,0)),$G$21:$G$80))</f>
        <v/>
      </c>
      <c r="AB10" s="56">
        <f>IF(N(AA10)=0,"",SUMPRODUCT(($E$21:$E$80&gt;=$Z$4)*($E$21:$E$80&lt;=EOMONTH($Z10,0)),$F$21:$F$80,$G$21:$G$80)/AA10)</f>
        <v/>
      </c>
      <c r="AC10" s="59">
        <f>IF($C10="","",SUMPRODUCT(($L$21:$L$80&gt;=$Z$4)*($L$21:$L$80&lt;=EOMONTH($Z10,0)),$N$21:$N$80))</f>
        <v/>
      </c>
      <c r="AD10" s="56">
        <f>IF(N(AC10)=0,"",SUMPRODUCT(($L$21:$L$80&gt;=$Z$4)*($L$21:$L$80&lt;=EOMONTH($Z10,0)),$M$21:$M$80,$N$21:$N$80)/AC10)</f>
        <v/>
      </c>
      <c r="AE10" s="56">
        <f>IF(N(AA10)+N(AC10)=0,"",(N(AB10)*N(AA10)+N(AD10)*N(AC10))/(N(AA10)+N(AC10)))</f>
        <v/>
      </c>
    </row>
    <row r="11" ht="18.75" customHeight="1">
      <c r="A11" s="53" t="n">
        <v>8</v>
      </c>
      <c r="B11" s="54" t="n">
        <v>46508</v>
      </c>
      <c r="C11" s="53">
        <f>IF(MAY!$G$5="","",MAY!$G$5)</f>
        <v/>
      </c>
      <c r="D11" s="55" t="n"/>
      <c r="E11" s="56">
        <f>IF(MAY!$G$43="","",MAY!$G$43)</f>
        <v/>
      </c>
      <c r="F11" s="57">
        <f>IF(OR(C11="",D11=""),"",C11*D11)</f>
        <v/>
      </c>
      <c r="G11" s="58">
        <f>IF(OR(E11="",N(F11)=0),"",E11/F11)</f>
        <v/>
      </c>
      <c r="I11" s="53" t="n">
        <v>8</v>
      </c>
      <c r="J11" s="54" t="n">
        <v>46508</v>
      </c>
      <c r="K11" s="53">
        <f>C11</f>
        <v/>
      </c>
      <c r="L11" s="59">
        <f>IF(D11="","",D11)</f>
        <v/>
      </c>
      <c r="M11" s="56">
        <f>IF(MAY!$G$44="","",MAY!$G$44)</f>
        <v/>
      </c>
      <c r="N11" s="57">
        <f>IF(OR(K11="",L11=""),"",K11*L11)</f>
        <v/>
      </c>
      <c r="O11" s="58">
        <f>IF(OR(M11="",N(N11)=0),"",M11/N11)</f>
        <v/>
      </c>
      <c r="Q11" s="53" t="n">
        <v>8</v>
      </c>
      <c r="R11" s="54" t="n">
        <v>46508</v>
      </c>
      <c r="S11" s="53">
        <f>C11</f>
        <v/>
      </c>
      <c r="T11" s="59">
        <f>IF(D11="","",D11)</f>
        <v/>
      </c>
      <c r="U11" s="56">
        <f>IF(COUNT(E11,M11)=0,"",SUM(E11,M11))</f>
        <v/>
      </c>
      <c r="V11" s="57">
        <f>IF(OR(S11="",T11=""),"",S11*T11)</f>
        <v/>
      </c>
      <c r="W11" s="58">
        <f>IF(OR(U11="",N(V11)=0),"",U11/V11)</f>
        <v/>
      </c>
      <c r="Y11" s="53" t="n">
        <v>8</v>
      </c>
      <c r="Z11" s="54" t="n">
        <v>46508</v>
      </c>
      <c r="AA11" s="59">
        <f>IF($C11="","",SUMPRODUCT(($E$21:$E$80&gt;=$Z$4)*($E$21:$E$80&lt;=EOMONTH($Z11,0)),$G$21:$G$80))</f>
        <v/>
      </c>
      <c r="AB11" s="56">
        <f>IF(N(AA11)=0,"",SUMPRODUCT(($E$21:$E$80&gt;=$Z$4)*($E$21:$E$80&lt;=EOMONTH($Z11,0)),$F$21:$F$80,$G$21:$G$80)/AA11)</f>
        <v/>
      </c>
      <c r="AC11" s="59">
        <f>IF($C11="","",SUMPRODUCT(($L$21:$L$80&gt;=$Z$4)*($L$21:$L$80&lt;=EOMONTH($Z11,0)),$N$21:$N$80))</f>
        <v/>
      </c>
      <c r="AD11" s="56">
        <f>IF(N(AC11)=0,"",SUMPRODUCT(($L$21:$L$80&gt;=$Z$4)*($L$21:$L$80&lt;=EOMONTH($Z11,0)),$M$21:$M$80,$N$21:$N$80)/AC11)</f>
        <v/>
      </c>
      <c r="AE11" s="56">
        <f>IF(N(AA11)+N(AC11)=0,"",(N(AB11)*N(AA11)+N(AD11)*N(AC11))/(N(AA11)+N(AC11)))</f>
        <v/>
      </c>
    </row>
    <row r="12" ht="18.75" customHeight="1">
      <c r="A12" s="53" t="n">
        <v>9</v>
      </c>
      <c r="B12" s="54" t="n">
        <v>46539</v>
      </c>
      <c r="C12" s="53">
        <f>IF(JUN!$G$5="","",JUN!$G$5)</f>
        <v/>
      </c>
      <c r="D12" s="55" t="n"/>
      <c r="E12" s="56">
        <f>IF(JUN!$G$43="","",JUN!$G$43)</f>
        <v/>
      </c>
      <c r="F12" s="57">
        <f>IF(OR(C12="",D12=""),"",C12*D12)</f>
        <v/>
      </c>
      <c r="G12" s="58">
        <f>IF(OR(E12="",N(F12)=0),"",E12/F12)</f>
        <v/>
      </c>
      <c r="I12" s="53" t="n">
        <v>9</v>
      </c>
      <c r="J12" s="54" t="n">
        <v>46539</v>
      </c>
      <c r="K12" s="53">
        <f>C12</f>
        <v/>
      </c>
      <c r="L12" s="59">
        <f>IF(D12="","",D12)</f>
        <v/>
      </c>
      <c r="M12" s="56">
        <f>IF(JUN!$G$44="","",JUN!$G$44)</f>
        <v/>
      </c>
      <c r="N12" s="57">
        <f>IF(OR(K12="",L12=""),"",K12*L12)</f>
        <v/>
      </c>
      <c r="O12" s="58">
        <f>IF(OR(M12="",N(N12)=0),"",M12/N12)</f>
        <v/>
      </c>
      <c r="Q12" s="53" t="n">
        <v>9</v>
      </c>
      <c r="R12" s="54" t="n">
        <v>46539</v>
      </c>
      <c r="S12" s="53">
        <f>C12</f>
        <v/>
      </c>
      <c r="T12" s="59">
        <f>IF(D12="","",D12)</f>
        <v/>
      </c>
      <c r="U12" s="56">
        <f>IF(COUNT(E12,M12)=0,"",SUM(E12,M12))</f>
        <v/>
      </c>
      <c r="V12" s="57">
        <f>IF(OR(S12="",T12=""),"",S12*T12)</f>
        <v/>
      </c>
      <c r="W12" s="58">
        <f>IF(OR(U12="",N(V12)=0),"",U12/V12)</f>
        <v/>
      </c>
      <c r="Y12" s="53" t="n">
        <v>9</v>
      </c>
      <c r="Z12" s="54" t="n">
        <v>46539</v>
      </c>
      <c r="AA12" s="59">
        <f>IF($C12="","",SUMPRODUCT(($E$21:$E$80&gt;=$Z$4)*($E$21:$E$80&lt;=EOMONTH($Z12,0)),$G$21:$G$80))</f>
        <v/>
      </c>
      <c r="AB12" s="56">
        <f>IF(N(AA12)=0,"",SUMPRODUCT(($E$21:$E$80&gt;=$Z$4)*($E$21:$E$80&lt;=EOMONTH($Z12,0)),$F$21:$F$80,$G$21:$G$80)/AA12)</f>
        <v/>
      </c>
      <c r="AC12" s="59">
        <f>IF($C12="","",SUMPRODUCT(($L$21:$L$80&gt;=$Z$4)*($L$21:$L$80&lt;=EOMONTH($Z12,0)),$N$21:$N$80))</f>
        <v/>
      </c>
      <c r="AD12" s="56">
        <f>IF(N(AC12)=0,"",SUMPRODUCT(($L$21:$L$80&gt;=$Z$4)*($L$21:$L$80&lt;=EOMONTH($Z12,0)),$M$21:$M$80,$N$21:$N$80)/AC12)</f>
        <v/>
      </c>
      <c r="AE12" s="56">
        <f>IF(N(AA12)+N(AC12)=0,"",(N(AB12)*N(AA12)+N(AD12)*N(AC12))/(N(AA12)+N(AC12)))</f>
        <v/>
      </c>
    </row>
    <row r="13" ht="18.75" customHeight="1">
      <c r="A13" s="53" t="n">
        <v>10</v>
      </c>
      <c r="B13" s="54" t="n">
        <v>46569</v>
      </c>
      <c r="C13" s="53">
        <f>IF(JUL!$G$5="","",JUL!$G$5)</f>
        <v/>
      </c>
      <c r="D13" s="55" t="n"/>
      <c r="E13" s="56">
        <f>IF(JUL!$G$43="","",JUL!$G$43)</f>
        <v/>
      </c>
      <c r="F13" s="57">
        <f>IF(OR(C13="",D13=""),"",C13*D13)</f>
        <v/>
      </c>
      <c r="G13" s="58">
        <f>IF(OR(E13="",N(F13)=0),"",E13/F13)</f>
        <v/>
      </c>
      <c r="I13" s="53" t="n">
        <v>10</v>
      </c>
      <c r="J13" s="54" t="n">
        <v>46569</v>
      </c>
      <c r="K13" s="53">
        <f>C13</f>
        <v/>
      </c>
      <c r="L13" s="59">
        <f>IF(D13="","",D13)</f>
        <v/>
      </c>
      <c r="M13" s="56">
        <f>IF(JUL!$G$44="","",JUL!$G$44)</f>
        <v/>
      </c>
      <c r="N13" s="57">
        <f>IF(OR(K13="",L13=""),"",K13*L13)</f>
        <v/>
      </c>
      <c r="O13" s="58">
        <f>IF(OR(M13="",N(N13)=0),"",M13/N13)</f>
        <v/>
      </c>
      <c r="Q13" s="53" t="n">
        <v>10</v>
      </c>
      <c r="R13" s="54" t="n">
        <v>46569</v>
      </c>
      <c r="S13" s="53">
        <f>C13</f>
        <v/>
      </c>
      <c r="T13" s="59">
        <f>IF(D13="","",D13)</f>
        <v/>
      </c>
      <c r="U13" s="56">
        <f>IF(COUNT(E13,M13)=0,"",SUM(E13,M13))</f>
        <v/>
      </c>
      <c r="V13" s="57">
        <f>IF(OR(S13="",T13=""),"",S13*T13)</f>
        <v/>
      </c>
      <c r="W13" s="58">
        <f>IF(OR(U13="",N(V13)=0),"",U13/V13)</f>
        <v/>
      </c>
      <c r="Y13" s="53" t="n">
        <v>10</v>
      </c>
      <c r="Z13" s="54" t="n">
        <v>46569</v>
      </c>
      <c r="AA13" s="59">
        <f>IF($C13="","",SUMPRODUCT(($E$21:$E$80&gt;=$Z$4)*($E$21:$E$80&lt;=EOMONTH($Z13,0)),$G$21:$G$80))</f>
        <v/>
      </c>
      <c r="AB13" s="56">
        <f>IF(N(AA13)=0,"",SUMPRODUCT(($E$21:$E$80&gt;=$Z$4)*($E$21:$E$80&lt;=EOMONTH($Z13,0)),$F$21:$F$80,$G$21:$G$80)/AA13)</f>
        <v/>
      </c>
      <c r="AC13" s="59">
        <f>IF($C13="","",SUMPRODUCT(($L$21:$L$80&gt;=$Z$4)*($L$21:$L$80&lt;=EOMONTH($Z13,0)),$N$21:$N$80))</f>
        <v/>
      </c>
      <c r="AD13" s="56">
        <f>IF(N(AC13)=0,"",SUMPRODUCT(($L$21:$L$80&gt;=$Z$4)*($L$21:$L$80&lt;=EOMONTH($Z13,0)),$M$21:$M$80,$N$21:$N$80)/AC13)</f>
        <v/>
      </c>
      <c r="AE13" s="56">
        <f>IF(N(AA13)+N(AC13)=0,"",(N(AB13)*N(AA13)+N(AD13)*N(AC13))/(N(AA13)+N(AC13)))</f>
        <v/>
      </c>
    </row>
    <row r="14" ht="18.75" customHeight="1">
      <c r="A14" s="53" t="n">
        <v>11</v>
      </c>
      <c r="B14" s="54" t="n">
        <v>46600</v>
      </c>
      <c r="C14" s="53">
        <f>IF(AUG!$G$5="","",AUG!$G$5)</f>
        <v/>
      </c>
      <c r="D14" s="55" t="n"/>
      <c r="E14" s="56">
        <f>IF(AUG!$G$43="","",AUG!$G$43)</f>
        <v/>
      </c>
      <c r="F14" s="57">
        <f>IF(OR(C14="",D14=""),"",C14*D14)</f>
        <v/>
      </c>
      <c r="G14" s="58">
        <f>IF(OR(E14="",N(F14)=0),"",E14/F14)</f>
        <v/>
      </c>
      <c r="I14" s="53" t="n">
        <v>11</v>
      </c>
      <c r="J14" s="54" t="n">
        <v>46600</v>
      </c>
      <c r="K14" s="53">
        <f>C14</f>
        <v/>
      </c>
      <c r="L14" s="59">
        <f>IF(D14="","",D14)</f>
        <v/>
      </c>
      <c r="M14" s="56">
        <f>IF(AUG!$G$44="","",AUG!$G$44)</f>
        <v/>
      </c>
      <c r="N14" s="57">
        <f>IF(OR(K14="",L14=""),"",K14*L14)</f>
        <v/>
      </c>
      <c r="O14" s="58">
        <f>IF(OR(M14="",N(N14)=0),"",M14/N14)</f>
        <v/>
      </c>
      <c r="Q14" s="53" t="n">
        <v>11</v>
      </c>
      <c r="R14" s="54" t="n">
        <v>46600</v>
      </c>
      <c r="S14" s="53">
        <f>C14</f>
        <v/>
      </c>
      <c r="T14" s="59">
        <f>IF(D14="","",D14)</f>
        <v/>
      </c>
      <c r="U14" s="56">
        <f>IF(COUNT(E14,M14)=0,"",SUM(E14,M14))</f>
        <v/>
      </c>
      <c r="V14" s="57">
        <f>IF(OR(S14="",T14=""),"",S14*T14)</f>
        <v/>
      </c>
      <c r="W14" s="58">
        <f>IF(OR(U14="",N(V14)=0),"",U14/V14)</f>
        <v/>
      </c>
      <c r="Y14" s="53" t="n">
        <v>11</v>
      </c>
      <c r="Z14" s="54" t="n">
        <v>46600</v>
      </c>
      <c r="AA14" s="59">
        <f>IF($C14="","",SUMPRODUCT(($E$21:$E$80&gt;=$Z$4)*($E$21:$E$80&lt;=EOMONTH($Z14,0)),$G$21:$G$80))</f>
        <v/>
      </c>
      <c r="AB14" s="56">
        <f>IF(N(AA14)=0,"",SUMPRODUCT(($E$21:$E$80&gt;=$Z$4)*($E$21:$E$80&lt;=EOMONTH($Z14,0)),$F$21:$F$80,$G$21:$G$80)/AA14)</f>
        <v/>
      </c>
      <c r="AC14" s="59">
        <f>IF($C14="","",SUMPRODUCT(($L$21:$L$80&gt;=$Z$4)*($L$21:$L$80&lt;=EOMONTH($Z14,0)),$N$21:$N$80))</f>
        <v/>
      </c>
      <c r="AD14" s="56">
        <f>IF(N(AC14)=0,"",SUMPRODUCT(($L$21:$L$80&gt;=$Z$4)*($L$21:$L$80&lt;=EOMONTH($Z14,0)),$M$21:$M$80,$N$21:$N$80)/AC14)</f>
        <v/>
      </c>
      <c r="AE14" s="56">
        <f>IF(N(AA14)+N(AC14)=0,"",(N(AB14)*N(AA14)+N(AD14)*N(AC14))/(N(AA14)+N(AC14)))</f>
        <v/>
      </c>
    </row>
    <row r="15" ht="18.75" customHeight="1">
      <c r="A15" s="53" t="n">
        <v>12</v>
      </c>
      <c r="B15" s="54" t="n">
        <v>46631</v>
      </c>
      <c r="C15" s="53">
        <f>IF(SEP!$G$5="","",SEP!$G$5)</f>
        <v/>
      </c>
      <c r="D15" s="55" t="n"/>
      <c r="E15" s="56">
        <f>IF(SEP!$G$43="","",SEP!$G$43)</f>
        <v/>
      </c>
      <c r="F15" s="57">
        <f>IF(OR(C15="",D15=""),"",C15*D15)</f>
        <v/>
      </c>
      <c r="G15" s="58">
        <f>IF(OR(E15="",N(F15)=0),"",E15/F15)</f>
        <v/>
      </c>
      <c r="I15" s="53" t="n">
        <v>12</v>
      </c>
      <c r="J15" s="54" t="n">
        <v>46631</v>
      </c>
      <c r="K15" s="53">
        <f>C15</f>
        <v/>
      </c>
      <c r="L15" s="59">
        <f>IF(D15="","",D15)</f>
        <v/>
      </c>
      <c r="M15" s="56">
        <f>IF(SEP!$G$44="","",SEP!$G$44)</f>
        <v/>
      </c>
      <c r="N15" s="57">
        <f>IF(OR(K15="",L15=""),"",K15*L15)</f>
        <v/>
      </c>
      <c r="O15" s="58">
        <f>IF(OR(M15="",N(N15)=0),"",M15/N15)</f>
        <v/>
      </c>
      <c r="Q15" s="53" t="n">
        <v>12</v>
      </c>
      <c r="R15" s="54" t="n">
        <v>46631</v>
      </c>
      <c r="S15" s="53">
        <f>C15</f>
        <v/>
      </c>
      <c r="T15" s="59">
        <f>IF(D15="","",D15)</f>
        <v/>
      </c>
      <c r="U15" s="56">
        <f>IF(COUNT(E15,M15)=0,"",SUM(E15,M15))</f>
        <v/>
      </c>
      <c r="V15" s="57">
        <f>IF(OR(S15="",T15=""),"",S15*T15)</f>
        <v/>
      </c>
      <c r="W15" s="58">
        <f>IF(OR(U15="",N(V15)=0),"",U15/V15)</f>
        <v/>
      </c>
      <c r="Y15" s="53" t="n">
        <v>12</v>
      </c>
      <c r="Z15" s="54" t="n">
        <v>46631</v>
      </c>
      <c r="AA15" s="59">
        <f>IF($C15="","",SUMPRODUCT(($E$21:$E$80&gt;=$Z$4)*($E$21:$E$80&lt;=EOMONTH($Z15,0)),$G$21:$G$80))</f>
        <v/>
      </c>
      <c r="AB15" s="56">
        <f>IF(N(AA15)=0,"",SUMPRODUCT(($E$21:$E$80&gt;=$Z$4)*($E$21:$E$80&lt;=EOMONTH($Z15,0)),$F$21:$F$80,$G$21:$G$80)/AA15)</f>
        <v/>
      </c>
      <c r="AC15" s="59">
        <f>IF($C15="","",SUMPRODUCT(($L$21:$L$80&gt;=$Z$4)*($L$21:$L$80&lt;=EOMONTH($Z15,0)),$N$21:$N$80))</f>
        <v/>
      </c>
      <c r="AD15" s="56">
        <f>IF(N(AC15)=0,"",SUMPRODUCT(($L$21:$L$80&gt;=$Z$4)*($L$21:$L$80&lt;=EOMONTH($Z15,0)),$M$21:$M$80,$N$21:$N$80)/AC15)</f>
        <v/>
      </c>
      <c r="AE15" s="56">
        <f>IF(N(AA15)+N(AC15)=0,"",(N(AB15)*N(AA15)+N(AD15)*N(AC15))/(N(AA15)+N(AC15)))</f>
        <v/>
      </c>
    </row>
    <row r="16" ht="18.75" customHeight="1">
      <c r="A16" s="60" t="n"/>
      <c r="B16" s="60" t="n"/>
      <c r="C16" s="60" t="n"/>
      <c r="D16" s="61" t="inlineStr">
        <is>
          <t>Total YTD</t>
        </is>
      </c>
      <c r="E16" s="62">
        <f>IF(COUNT(E4:E15)=0,"",SUM(E4:E15))</f>
        <v/>
      </c>
      <c r="F16" s="63">
        <f>SUMPRODUCT(--ISNUMBER(E4:E15),F4:F15)</f>
        <v/>
      </c>
      <c r="G16" s="64">
        <f>IF(COUNT(E4:E15)=0,"",IFERROR(E16/F16,""))</f>
        <v/>
      </c>
      <c r="I16" s="60" t="n"/>
      <c r="J16" s="60" t="n"/>
      <c r="K16" s="60" t="n"/>
      <c r="L16" s="61" t="inlineStr">
        <is>
          <t>Total YTD</t>
        </is>
      </c>
      <c r="M16" s="62">
        <f>IF(COUNT(M4:M15)=0,"",SUM(M4:M15))</f>
        <v/>
      </c>
      <c r="N16" s="63">
        <f>SUMPRODUCT(--ISNUMBER(M4:M15),N4:N15)</f>
        <v/>
      </c>
      <c r="O16" s="64">
        <f>IF(COUNT(M4:M15)=0,"",IFERROR(M16/N16,""))</f>
        <v/>
      </c>
      <c r="Q16" s="60" t="n"/>
      <c r="R16" s="60" t="n"/>
      <c r="S16" s="60" t="n"/>
      <c r="T16" s="61" t="inlineStr">
        <is>
          <t>Total YTD</t>
        </is>
      </c>
      <c r="U16" s="62">
        <f>IF(COUNT(U4:U15)=0,"",SUM(U4:U15))</f>
        <v/>
      </c>
      <c r="V16" s="63">
        <f>SUMPRODUCT(--ISNUMBER(U4:U15),V4:V15)</f>
        <v/>
      </c>
      <c r="W16" s="64">
        <f>IF(COUNT(U4:U15)=0,"",IFERROR(U16/V16,""))</f>
        <v/>
      </c>
      <c r="Y16" s="60" t="n"/>
      <c r="Z16" s="61" t="inlineStr">
        <is>
          <t>FY2027 YTD</t>
        </is>
      </c>
      <c r="AA16" s="65">
        <f>SUMPRODUCT(($E$21:$E$80&gt;=$Z$4)*($E$21:$E$80&lt;=EOMONTH($Z$15,0)),$G$21:$G$80)</f>
        <v/>
      </c>
      <c r="AB16" s="62">
        <f>IF(N(AA16)=0,"",SUMPRODUCT(($E$21:$E$80&gt;=$Z$4)*($E$21:$E$80&lt;=EOMONTH($Z$15,0)),$F$21:$F$80,$G$21:$G$80)/AA16)</f>
        <v/>
      </c>
      <c r="AC16" s="65">
        <f>SUMPRODUCT(($L$21:$L$80&gt;=$Z$4)*($L$21:$L$80&lt;=EOMONTH($Z$15,0)),$N$21:$N$80)</f>
        <v/>
      </c>
      <c r="AD16" s="62">
        <f>IF(N(AC16)=0,"",SUMPRODUCT(($L$21:$L$80&gt;=$Z$4)*($L$21:$L$80&lt;=EOMONTH($Z$15,0)),$M$21:$M$80,$N$21:$N$80)/AC16)</f>
        <v/>
      </c>
      <c r="AE16" s="62">
        <f>IF(N(AA16)+N(AC16)=0,"",(N(AB16)*N(AA16)+N(AD16)*N(AC16))/(N(AA16)+N(AC16)))</f>
        <v/>
      </c>
    </row>
    <row r="17">
      <c r="Y17" s="66" t="inlineStr">
        <is>
          <t>Only contracts signed within FY2027 (Oct-2026 to the month shown) are counted; weighted by posts filled.</t>
        </is>
      </c>
    </row>
    <row r="18" ht="24.75" customHeight="1">
      <c r="A18" s="40">
        <f>A1</f>
        <v/>
      </c>
      <c r="B18" s="41" t="n"/>
      <c r="C18" s="42" t="n"/>
      <c r="D18" s="40" t="inlineStr">
        <is>
          <t>TIME TO HIRE YTD (Days)</t>
        </is>
      </c>
      <c r="E18" s="44" t="n"/>
      <c r="F18" s="46">
        <f>AB16</f>
        <v/>
      </c>
      <c r="G18" s="44" t="n"/>
      <c r="H18" s="40">
        <f>A1</f>
        <v/>
      </c>
      <c r="I18" s="41" t="n"/>
      <c r="J18" s="42" t="n"/>
      <c r="K18" s="40" t="inlineStr">
        <is>
          <t>TIME TO HIRE YTD (Days)</t>
        </is>
      </c>
      <c r="L18" s="44" t="n"/>
      <c r="M18" s="46">
        <f>AD16</f>
        <v/>
      </c>
      <c r="N18" s="44" t="n"/>
    </row>
    <row r="19" ht="21.75" customHeight="1">
      <c r="A19" s="47" t="inlineStr">
        <is>
          <t>PERMANENT EE</t>
        </is>
      </c>
      <c r="B19" s="41" t="n"/>
      <c r="C19" s="42" t="n"/>
      <c r="D19" s="48" t="n"/>
      <c r="E19" s="50" t="n"/>
      <c r="F19" s="48" t="n"/>
      <c r="G19" s="50" t="n"/>
      <c r="H19" s="47" t="inlineStr">
        <is>
          <t>TEMPORARY EE</t>
        </is>
      </c>
      <c r="I19" s="41" t="n"/>
      <c r="J19" s="42" t="n"/>
      <c r="K19" s="48" t="n"/>
      <c r="L19" s="50" t="n"/>
      <c r="M19" s="48" t="n"/>
      <c r="N19" s="50" t="n"/>
    </row>
    <row r="20" ht="60" customHeight="1">
      <c r="A20" s="52" t="inlineStr">
        <is>
          <t>No.</t>
        </is>
      </c>
      <c r="B20" s="52" t="inlineStr">
        <is>
          <t>Job Title</t>
        </is>
      </c>
      <c r="C20" s="52" t="inlineStr">
        <is>
          <t>No. of Posts</t>
        </is>
      </c>
      <c r="D20" s="52" t="inlineStr">
        <is>
          <t>Job Opening Date (mm/dd/yyyy)</t>
        </is>
      </c>
      <c r="E20" s="52" t="inlineStr">
        <is>
          <t>Contract Signed Date (mm/dd/yyyy)</t>
        </is>
      </c>
      <c r="F20" s="52" t="inlineStr">
        <is>
          <t>Time to Hire by Position (Days)</t>
        </is>
      </c>
      <c r="G20" s="52" t="inlineStr">
        <is>
          <t>Posts Filled (auto)</t>
        </is>
      </c>
      <c r="H20" s="52" t="inlineStr">
        <is>
          <t>No.</t>
        </is>
      </c>
      <c r="I20" s="52" t="inlineStr">
        <is>
          <t>Job Title</t>
        </is>
      </c>
      <c r="J20" s="52" t="inlineStr">
        <is>
          <t>No. of Posts</t>
        </is>
      </c>
      <c r="K20" s="52" t="inlineStr">
        <is>
          <t>Job Opening Date (mm/dd/yyyy)</t>
        </is>
      </c>
      <c r="L20" s="52" t="inlineStr">
        <is>
          <t>Contract Signed Date (mm/dd/yyyy)</t>
        </is>
      </c>
      <c r="M20" s="52" t="inlineStr">
        <is>
          <t>Time to Hire by Position (Days)</t>
        </is>
      </c>
      <c r="N20" s="52" t="inlineStr">
        <is>
          <t>Posts Filled (auto)</t>
        </is>
      </c>
    </row>
    <row r="21">
      <c r="A21" s="53" t="n">
        <v>1</v>
      </c>
      <c r="B21" s="67" t="n"/>
      <c r="C21" s="55" t="n"/>
      <c r="D21" s="68" t="n"/>
      <c r="E21" s="68" t="n"/>
      <c r="F21" s="59">
        <f>IF(OR(E21="",D21=""),"",MAX(E21-D21,0))</f>
        <v/>
      </c>
      <c r="G21" s="59">
        <f>IF(F21="","",IF(N(C21)=0,1,C21))</f>
        <v/>
      </c>
      <c r="H21" s="53" t="n">
        <v>1</v>
      </c>
      <c r="I21" s="67" t="n"/>
      <c r="J21" s="55" t="n"/>
      <c r="K21" s="68" t="n"/>
      <c r="L21" s="68" t="n"/>
      <c r="M21" s="59">
        <f>IF(OR(L21="",K21=""),"",MAX(L21-K21,0))</f>
        <v/>
      </c>
      <c r="N21" s="59">
        <f>IF(M21="","",IF(N(J21)=0,1,J21))</f>
        <v/>
      </c>
    </row>
    <row r="22">
      <c r="A22" s="53" t="n">
        <v>2</v>
      </c>
      <c r="B22" s="67" t="n"/>
      <c r="C22" s="55" t="n"/>
      <c r="D22" s="68" t="n"/>
      <c r="E22" s="68" t="n"/>
      <c r="F22" s="59">
        <f>IF(OR(E22="",D22=""),"",MAX(E22-D22,0))</f>
        <v/>
      </c>
      <c r="G22" s="59">
        <f>IF(F22="","",IF(N(C22)=0,1,C22))</f>
        <v/>
      </c>
      <c r="H22" s="53" t="n">
        <v>2</v>
      </c>
      <c r="I22" s="67" t="n"/>
      <c r="J22" s="55" t="n"/>
      <c r="K22" s="68" t="n"/>
      <c r="L22" s="68" t="n"/>
      <c r="M22" s="59">
        <f>IF(OR(L22="",K22=""),"",MAX(L22-K22,0))</f>
        <v/>
      </c>
      <c r="N22" s="59">
        <f>IF(M22="","",IF(N(J22)=0,1,J22))</f>
        <v/>
      </c>
    </row>
    <row r="23">
      <c r="A23" s="53" t="n">
        <v>3</v>
      </c>
      <c r="B23" s="67" t="n"/>
      <c r="C23" s="55" t="n"/>
      <c r="D23" s="68" t="n"/>
      <c r="E23" s="68" t="n"/>
      <c r="F23" s="59">
        <f>IF(OR(E23="",D23=""),"",MAX(E23-D23,0))</f>
        <v/>
      </c>
      <c r="G23" s="59">
        <f>IF(F23="","",IF(N(C23)=0,1,C23))</f>
        <v/>
      </c>
      <c r="H23" s="53" t="n">
        <v>3</v>
      </c>
      <c r="I23" s="67" t="n"/>
      <c r="J23" s="55" t="n"/>
      <c r="K23" s="68" t="n"/>
      <c r="L23" s="68" t="n"/>
      <c r="M23" s="59">
        <f>IF(OR(L23="",K23=""),"",MAX(L23-K23,0))</f>
        <v/>
      </c>
      <c r="N23" s="59">
        <f>IF(M23="","",IF(N(J23)=0,1,J23))</f>
        <v/>
      </c>
    </row>
    <row r="24">
      <c r="A24" s="53" t="n">
        <v>4</v>
      </c>
      <c r="B24" s="67" t="n"/>
      <c r="C24" s="55" t="n"/>
      <c r="D24" s="68" t="n"/>
      <c r="E24" s="68" t="n"/>
      <c r="F24" s="59">
        <f>IF(OR(E24="",D24=""),"",MAX(E24-D24,0))</f>
        <v/>
      </c>
      <c r="G24" s="59">
        <f>IF(F24="","",IF(N(C24)=0,1,C24))</f>
        <v/>
      </c>
      <c r="H24" s="53" t="n">
        <v>4</v>
      </c>
      <c r="I24" s="67" t="n"/>
      <c r="J24" s="55" t="n"/>
      <c r="K24" s="68" t="n"/>
      <c r="L24" s="68" t="n"/>
      <c r="M24" s="59">
        <f>IF(OR(L24="",K24=""),"",MAX(L24-K24,0))</f>
        <v/>
      </c>
      <c r="N24" s="59">
        <f>IF(M24="","",IF(N(J24)=0,1,J24))</f>
        <v/>
      </c>
    </row>
    <row r="25">
      <c r="A25" s="53" t="n">
        <v>5</v>
      </c>
      <c r="B25" s="67" t="n"/>
      <c r="C25" s="55" t="n"/>
      <c r="D25" s="68" t="n"/>
      <c r="E25" s="68" t="n"/>
      <c r="F25" s="59">
        <f>IF(OR(E25="",D25=""),"",MAX(E25-D25,0))</f>
        <v/>
      </c>
      <c r="G25" s="59">
        <f>IF(F25="","",IF(N(C25)=0,1,C25))</f>
        <v/>
      </c>
      <c r="H25" s="53" t="n">
        <v>5</v>
      </c>
      <c r="I25" s="67" t="n"/>
      <c r="J25" s="55" t="n"/>
      <c r="K25" s="68" t="n"/>
      <c r="L25" s="68" t="n"/>
      <c r="M25" s="59">
        <f>IF(OR(L25="",K25=""),"",MAX(L25-K25,0))</f>
        <v/>
      </c>
      <c r="N25" s="59">
        <f>IF(M25="","",IF(N(J25)=0,1,J25))</f>
        <v/>
      </c>
    </row>
    <row r="26">
      <c r="A26" s="53" t="n">
        <v>6</v>
      </c>
      <c r="B26" s="67" t="n"/>
      <c r="C26" s="55" t="n"/>
      <c r="D26" s="68" t="n"/>
      <c r="E26" s="68" t="n"/>
      <c r="F26" s="59">
        <f>IF(OR(E26="",D26=""),"",MAX(E26-D26,0))</f>
        <v/>
      </c>
      <c r="G26" s="59">
        <f>IF(F26="","",IF(N(C26)=0,1,C26))</f>
        <v/>
      </c>
      <c r="H26" s="53" t="n">
        <v>6</v>
      </c>
      <c r="I26" s="67" t="n"/>
      <c r="J26" s="55" t="n"/>
      <c r="K26" s="68" t="n"/>
      <c r="L26" s="68" t="n"/>
      <c r="M26" s="59">
        <f>IF(OR(L26="",K26=""),"",MAX(L26-K26,0))</f>
        <v/>
      </c>
      <c r="N26" s="59">
        <f>IF(M26="","",IF(N(J26)=0,1,J26))</f>
        <v/>
      </c>
    </row>
    <row r="27">
      <c r="A27" s="53" t="n">
        <v>7</v>
      </c>
      <c r="B27" s="67" t="n"/>
      <c r="C27" s="55" t="n"/>
      <c r="D27" s="68" t="n"/>
      <c r="E27" s="68" t="n"/>
      <c r="F27" s="59">
        <f>IF(OR(E27="",D27=""),"",MAX(E27-D27,0))</f>
        <v/>
      </c>
      <c r="G27" s="59">
        <f>IF(F27="","",IF(N(C27)=0,1,C27))</f>
        <v/>
      </c>
      <c r="H27" s="53" t="n">
        <v>7</v>
      </c>
      <c r="I27" s="67" t="n"/>
      <c r="J27" s="55" t="n"/>
      <c r="K27" s="68" t="n"/>
      <c r="L27" s="68" t="n"/>
      <c r="M27" s="59">
        <f>IF(OR(L27="",K27=""),"",MAX(L27-K27,0))</f>
        <v/>
      </c>
      <c r="N27" s="59">
        <f>IF(M27="","",IF(N(J27)=0,1,J27))</f>
        <v/>
      </c>
    </row>
    <row r="28">
      <c r="A28" s="53" t="n">
        <v>8</v>
      </c>
      <c r="B28" s="67" t="n"/>
      <c r="C28" s="55" t="n"/>
      <c r="D28" s="68" t="n"/>
      <c r="E28" s="68" t="n"/>
      <c r="F28" s="59">
        <f>IF(OR(E28="",D28=""),"",MAX(E28-D28,0))</f>
        <v/>
      </c>
      <c r="G28" s="59">
        <f>IF(F28="","",IF(N(C28)=0,1,C28))</f>
        <v/>
      </c>
      <c r="H28" s="53" t="n">
        <v>8</v>
      </c>
      <c r="I28" s="67" t="n"/>
      <c r="J28" s="55" t="n"/>
      <c r="K28" s="68" t="n"/>
      <c r="L28" s="68" t="n"/>
      <c r="M28" s="59">
        <f>IF(OR(L28="",K28=""),"",MAX(L28-K28,0))</f>
        <v/>
      </c>
      <c r="N28" s="59">
        <f>IF(M28="","",IF(N(J28)=0,1,J28))</f>
        <v/>
      </c>
    </row>
    <row r="29">
      <c r="A29" s="53" t="n">
        <v>9</v>
      </c>
      <c r="B29" s="67" t="n"/>
      <c r="C29" s="55" t="n"/>
      <c r="D29" s="68" t="n"/>
      <c r="E29" s="68" t="n"/>
      <c r="F29" s="59">
        <f>IF(OR(E29="",D29=""),"",MAX(E29-D29,0))</f>
        <v/>
      </c>
      <c r="G29" s="59">
        <f>IF(F29="","",IF(N(C29)=0,1,C29))</f>
        <v/>
      </c>
      <c r="H29" s="53" t="n">
        <v>9</v>
      </c>
      <c r="I29" s="67" t="n"/>
      <c r="J29" s="55" t="n"/>
      <c r="K29" s="68" t="n"/>
      <c r="L29" s="68" t="n"/>
      <c r="M29" s="59">
        <f>IF(OR(L29="",K29=""),"",MAX(L29-K29,0))</f>
        <v/>
      </c>
      <c r="N29" s="59">
        <f>IF(M29="","",IF(N(J29)=0,1,J29))</f>
        <v/>
      </c>
    </row>
    <row r="30">
      <c r="A30" s="53" t="n">
        <v>10</v>
      </c>
      <c r="B30" s="67" t="n"/>
      <c r="C30" s="55" t="n"/>
      <c r="D30" s="68" t="n"/>
      <c r="E30" s="68" t="n"/>
      <c r="F30" s="59">
        <f>IF(OR(E30="",D30=""),"",MAX(E30-D30,0))</f>
        <v/>
      </c>
      <c r="G30" s="59">
        <f>IF(F30="","",IF(N(C30)=0,1,C30))</f>
        <v/>
      </c>
      <c r="H30" s="53" t="n">
        <v>10</v>
      </c>
      <c r="I30" s="67" t="n"/>
      <c r="J30" s="55" t="n"/>
      <c r="K30" s="68" t="n"/>
      <c r="L30" s="68" t="n"/>
      <c r="M30" s="59">
        <f>IF(OR(L30="",K30=""),"",MAX(L30-K30,0))</f>
        <v/>
      </c>
      <c r="N30" s="59">
        <f>IF(M30="","",IF(N(J30)=0,1,J30))</f>
        <v/>
      </c>
    </row>
    <row r="31">
      <c r="A31" s="53" t="n">
        <v>11</v>
      </c>
      <c r="B31" s="67" t="n"/>
      <c r="C31" s="55" t="n"/>
      <c r="D31" s="68" t="n"/>
      <c r="E31" s="68" t="n"/>
      <c r="F31" s="59">
        <f>IF(OR(E31="",D31=""),"",MAX(E31-D31,0))</f>
        <v/>
      </c>
      <c r="G31" s="59">
        <f>IF(F31="","",IF(N(C31)=0,1,C31))</f>
        <v/>
      </c>
      <c r="H31" s="53" t="n">
        <v>11</v>
      </c>
      <c r="I31" s="67" t="n"/>
      <c r="J31" s="55" t="n"/>
      <c r="K31" s="68" t="n"/>
      <c r="L31" s="68" t="n"/>
      <c r="M31" s="59">
        <f>IF(OR(L31="",K31=""),"",MAX(L31-K31,0))</f>
        <v/>
      </c>
      <c r="N31" s="59">
        <f>IF(M31="","",IF(N(J31)=0,1,J31))</f>
        <v/>
      </c>
    </row>
    <row r="32">
      <c r="A32" s="53" t="n">
        <v>12</v>
      </c>
      <c r="B32" s="67" t="n"/>
      <c r="C32" s="55" t="n"/>
      <c r="D32" s="68" t="n"/>
      <c r="E32" s="68" t="n"/>
      <c r="F32" s="59">
        <f>IF(OR(E32="",D32=""),"",MAX(E32-D32,0))</f>
        <v/>
      </c>
      <c r="G32" s="59">
        <f>IF(F32="","",IF(N(C32)=0,1,C32))</f>
        <v/>
      </c>
      <c r="H32" s="53" t="n">
        <v>12</v>
      </c>
      <c r="I32" s="67" t="n"/>
      <c r="J32" s="55" t="n"/>
      <c r="K32" s="68" t="n"/>
      <c r="L32" s="68" t="n"/>
      <c r="M32" s="59">
        <f>IF(OR(L32="",K32=""),"",MAX(L32-K32,0))</f>
        <v/>
      </c>
      <c r="N32" s="59">
        <f>IF(M32="","",IF(N(J32)=0,1,J32))</f>
        <v/>
      </c>
    </row>
    <row r="33">
      <c r="A33" s="53" t="n">
        <v>13</v>
      </c>
      <c r="B33" s="67" t="n"/>
      <c r="C33" s="55" t="n"/>
      <c r="D33" s="68" t="n"/>
      <c r="E33" s="68" t="n"/>
      <c r="F33" s="59">
        <f>IF(OR(E33="",D33=""),"",MAX(E33-D33,0))</f>
        <v/>
      </c>
      <c r="G33" s="59">
        <f>IF(F33="","",IF(N(C33)=0,1,C33))</f>
        <v/>
      </c>
      <c r="H33" s="53" t="n">
        <v>13</v>
      </c>
      <c r="I33" s="67" t="n"/>
      <c r="J33" s="55" t="n"/>
      <c r="K33" s="68" t="n"/>
      <c r="L33" s="68" t="n"/>
      <c r="M33" s="59">
        <f>IF(OR(L33="",K33=""),"",MAX(L33-K33,0))</f>
        <v/>
      </c>
      <c r="N33" s="59">
        <f>IF(M33="","",IF(N(J33)=0,1,J33))</f>
        <v/>
      </c>
    </row>
    <row r="34">
      <c r="A34" s="53" t="n">
        <v>14</v>
      </c>
      <c r="B34" s="67" t="n"/>
      <c r="C34" s="55" t="n"/>
      <c r="D34" s="68" t="n"/>
      <c r="E34" s="68" t="n"/>
      <c r="F34" s="59">
        <f>IF(OR(E34="",D34=""),"",MAX(E34-D34,0))</f>
        <v/>
      </c>
      <c r="G34" s="59">
        <f>IF(F34="","",IF(N(C34)=0,1,C34))</f>
        <v/>
      </c>
      <c r="H34" s="53" t="n">
        <v>14</v>
      </c>
      <c r="I34" s="67" t="n"/>
      <c r="J34" s="55" t="n"/>
      <c r="K34" s="68" t="n"/>
      <c r="L34" s="68" t="n"/>
      <c r="M34" s="59">
        <f>IF(OR(L34="",K34=""),"",MAX(L34-K34,0))</f>
        <v/>
      </c>
      <c r="N34" s="59">
        <f>IF(M34="","",IF(N(J34)=0,1,J34))</f>
        <v/>
      </c>
    </row>
    <row r="35">
      <c r="A35" s="53" t="n">
        <v>15</v>
      </c>
      <c r="B35" s="67" t="n"/>
      <c r="C35" s="55" t="n"/>
      <c r="D35" s="68" t="n"/>
      <c r="E35" s="68" t="n"/>
      <c r="F35" s="59">
        <f>IF(OR(E35="",D35=""),"",MAX(E35-D35,0))</f>
        <v/>
      </c>
      <c r="G35" s="59">
        <f>IF(F35="","",IF(N(C35)=0,1,C35))</f>
        <v/>
      </c>
      <c r="H35" s="53" t="n">
        <v>15</v>
      </c>
      <c r="I35" s="67" t="n"/>
      <c r="J35" s="55" t="n"/>
      <c r="K35" s="68" t="n"/>
      <c r="L35" s="68" t="n"/>
      <c r="M35" s="59">
        <f>IF(OR(L35="",K35=""),"",MAX(L35-K35,0))</f>
        <v/>
      </c>
      <c r="N35" s="59">
        <f>IF(M35="","",IF(N(J35)=0,1,J35))</f>
        <v/>
      </c>
    </row>
    <row r="36">
      <c r="A36" s="53" t="n">
        <v>16</v>
      </c>
      <c r="B36" s="67" t="n"/>
      <c r="C36" s="55" t="n"/>
      <c r="D36" s="68" t="n"/>
      <c r="E36" s="68" t="n"/>
      <c r="F36" s="59">
        <f>IF(OR(E36="",D36=""),"",MAX(E36-D36,0))</f>
        <v/>
      </c>
      <c r="G36" s="59">
        <f>IF(F36="","",IF(N(C36)=0,1,C36))</f>
        <v/>
      </c>
      <c r="H36" s="53" t="n">
        <v>16</v>
      </c>
      <c r="I36" s="67" t="n"/>
      <c r="J36" s="55" t="n"/>
      <c r="K36" s="68" t="n"/>
      <c r="L36" s="68" t="n"/>
      <c r="M36" s="59">
        <f>IF(OR(L36="",K36=""),"",MAX(L36-K36,0))</f>
        <v/>
      </c>
      <c r="N36" s="59">
        <f>IF(M36="","",IF(N(J36)=0,1,J36))</f>
        <v/>
      </c>
    </row>
    <row r="37">
      <c r="A37" s="53" t="n">
        <v>17</v>
      </c>
      <c r="B37" s="67" t="n"/>
      <c r="C37" s="55" t="n"/>
      <c r="D37" s="68" t="n"/>
      <c r="E37" s="68" t="n"/>
      <c r="F37" s="59">
        <f>IF(OR(E37="",D37=""),"",MAX(E37-D37,0))</f>
        <v/>
      </c>
      <c r="G37" s="59">
        <f>IF(F37="","",IF(N(C37)=0,1,C37))</f>
        <v/>
      </c>
      <c r="H37" s="53" t="n">
        <v>17</v>
      </c>
      <c r="I37" s="67" t="n"/>
      <c r="J37" s="55" t="n"/>
      <c r="K37" s="68" t="n"/>
      <c r="L37" s="68" t="n"/>
      <c r="M37" s="59">
        <f>IF(OR(L37="",K37=""),"",MAX(L37-K37,0))</f>
        <v/>
      </c>
      <c r="N37" s="59">
        <f>IF(M37="","",IF(N(J37)=0,1,J37))</f>
        <v/>
      </c>
    </row>
    <row r="38">
      <c r="A38" s="53" t="n">
        <v>18</v>
      </c>
      <c r="B38" s="67" t="n"/>
      <c r="C38" s="55" t="n"/>
      <c r="D38" s="68" t="n"/>
      <c r="E38" s="68" t="n"/>
      <c r="F38" s="59">
        <f>IF(OR(E38="",D38=""),"",MAX(E38-D38,0))</f>
        <v/>
      </c>
      <c r="G38" s="59">
        <f>IF(F38="","",IF(N(C38)=0,1,C38))</f>
        <v/>
      </c>
      <c r="H38" s="53" t="n">
        <v>18</v>
      </c>
      <c r="I38" s="67" t="n"/>
      <c r="J38" s="55" t="n"/>
      <c r="K38" s="68" t="n"/>
      <c r="L38" s="68" t="n"/>
      <c r="M38" s="59">
        <f>IF(OR(L38="",K38=""),"",MAX(L38-K38,0))</f>
        <v/>
      </c>
      <c r="N38" s="59">
        <f>IF(M38="","",IF(N(J38)=0,1,J38))</f>
        <v/>
      </c>
    </row>
    <row r="39">
      <c r="A39" s="53" t="n">
        <v>19</v>
      </c>
      <c r="B39" s="67" t="n"/>
      <c r="C39" s="55" t="n"/>
      <c r="D39" s="68" t="n"/>
      <c r="E39" s="68" t="n"/>
      <c r="F39" s="59">
        <f>IF(OR(E39="",D39=""),"",MAX(E39-D39,0))</f>
        <v/>
      </c>
      <c r="G39" s="59">
        <f>IF(F39="","",IF(N(C39)=0,1,C39))</f>
        <v/>
      </c>
      <c r="H39" s="53" t="n">
        <v>19</v>
      </c>
      <c r="I39" s="67" t="n"/>
      <c r="J39" s="55" t="n"/>
      <c r="K39" s="68" t="n"/>
      <c r="L39" s="68" t="n"/>
      <c r="M39" s="59">
        <f>IF(OR(L39="",K39=""),"",MAX(L39-K39,0))</f>
        <v/>
      </c>
      <c r="N39" s="59">
        <f>IF(M39="","",IF(N(J39)=0,1,J39))</f>
        <v/>
      </c>
    </row>
    <row r="40">
      <c r="A40" s="53" t="n">
        <v>20</v>
      </c>
      <c r="B40" s="67" t="n"/>
      <c r="C40" s="55" t="n"/>
      <c r="D40" s="68" t="n"/>
      <c r="E40" s="68" t="n"/>
      <c r="F40" s="59">
        <f>IF(OR(E40="",D40=""),"",MAX(E40-D40,0))</f>
        <v/>
      </c>
      <c r="G40" s="59">
        <f>IF(F40="","",IF(N(C40)=0,1,C40))</f>
        <v/>
      </c>
      <c r="H40" s="53" t="n">
        <v>20</v>
      </c>
      <c r="I40" s="67" t="n"/>
      <c r="J40" s="55" t="n"/>
      <c r="K40" s="68" t="n"/>
      <c r="L40" s="68" t="n"/>
      <c r="M40" s="59">
        <f>IF(OR(L40="",K40=""),"",MAX(L40-K40,0))</f>
        <v/>
      </c>
      <c r="N40" s="59">
        <f>IF(M40="","",IF(N(J40)=0,1,J40))</f>
        <v/>
      </c>
    </row>
    <row r="41">
      <c r="A41" s="53" t="n">
        <v>21</v>
      </c>
      <c r="B41" s="67" t="n"/>
      <c r="C41" s="55" t="n"/>
      <c r="D41" s="68" t="n"/>
      <c r="E41" s="68" t="n"/>
      <c r="F41" s="59">
        <f>IF(OR(E41="",D41=""),"",MAX(E41-D41,0))</f>
        <v/>
      </c>
      <c r="G41" s="59">
        <f>IF(F41="","",IF(N(C41)=0,1,C41))</f>
        <v/>
      </c>
      <c r="H41" s="53" t="n">
        <v>21</v>
      </c>
      <c r="I41" s="67" t="n"/>
      <c r="J41" s="55" t="n"/>
      <c r="K41" s="68" t="n"/>
      <c r="L41" s="68" t="n"/>
      <c r="M41" s="59">
        <f>IF(OR(L41="",K41=""),"",MAX(L41-K41,0))</f>
        <v/>
      </c>
      <c r="N41" s="59">
        <f>IF(M41="","",IF(N(J41)=0,1,J41))</f>
        <v/>
      </c>
    </row>
    <row r="42">
      <c r="A42" s="53" t="n">
        <v>22</v>
      </c>
      <c r="B42" s="67" t="n"/>
      <c r="C42" s="55" t="n"/>
      <c r="D42" s="68" t="n"/>
      <c r="E42" s="68" t="n"/>
      <c r="F42" s="59">
        <f>IF(OR(E42="",D42=""),"",MAX(E42-D42,0))</f>
        <v/>
      </c>
      <c r="G42" s="59">
        <f>IF(F42="","",IF(N(C42)=0,1,C42))</f>
        <v/>
      </c>
      <c r="H42" s="53" t="n">
        <v>22</v>
      </c>
      <c r="I42" s="67" t="n"/>
      <c r="J42" s="55" t="n"/>
      <c r="K42" s="68" t="n"/>
      <c r="L42" s="68" t="n"/>
      <c r="M42" s="59">
        <f>IF(OR(L42="",K42=""),"",MAX(L42-K42,0))</f>
        <v/>
      </c>
      <c r="N42" s="59">
        <f>IF(M42="","",IF(N(J42)=0,1,J42))</f>
        <v/>
      </c>
    </row>
    <row r="43">
      <c r="A43" s="53" t="n">
        <v>23</v>
      </c>
      <c r="B43" s="67" t="n"/>
      <c r="C43" s="55" t="n"/>
      <c r="D43" s="68" t="n"/>
      <c r="E43" s="68" t="n"/>
      <c r="F43" s="59">
        <f>IF(OR(E43="",D43=""),"",MAX(E43-D43,0))</f>
        <v/>
      </c>
      <c r="G43" s="59">
        <f>IF(F43="","",IF(N(C43)=0,1,C43))</f>
        <v/>
      </c>
      <c r="H43" s="53" t="n">
        <v>23</v>
      </c>
      <c r="I43" s="67" t="n"/>
      <c r="J43" s="55" t="n"/>
      <c r="K43" s="68" t="n"/>
      <c r="L43" s="68" t="n"/>
      <c r="M43" s="59">
        <f>IF(OR(L43="",K43=""),"",MAX(L43-K43,0))</f>
        <v/>
      </c>
      <c r="N43" s="59">
        <f>IF(M43="","",IF(N(J43)=0,1,J43))</f>
        <v/>
      </c>
    </row>
    <row r="44">
      <c r="A44" s="53" t="n">
        <v>24</v>
      </c>
      <c r="B44" s="67" t="n"/>
      <c r="C44" s="55" t="n"/>
      <c r="D44" s="68" t="n"/>
      <c r="E44" s="68" t="n"/>
      <c r="F44" s="59">
        <f>IF(OR(E44="",D44=""),"",MAX(E44-D44,0))</f>
        <v/>
      </c>
      <c r="G44" s="59">
        <f>IF(F44="","",IF(N(C44)=0,1,C44))</f>
        <v/>
      </c>
      <c r="H44" s="53" t="n">
        <v>24</v>
      </c>
      <c r="I44" s="67" t="n"/>
      <c r="J44" s="55" t="n"/>
      <c r="K44" s="68" t="n"/>
      <c r="L44" s="68" t="n"/>
      <c r="M44" s="59">
        <f>IF(OR(L44="",K44=""),"",MAX(L44-K44,0))</f>
        <v/>
      </c>
      <c r="N44" s="59">
        <f>IF(M44="","",IF(N(J44)=0,1,J44))</f>
        <v/>
      </c>
    </row>
    <row r="45">
      <c r="A45" s="53" t="n">
        <v>25</v>
      </c>
      <c r="B45" s="67" t="n"/>
      <c r="C45" s="55" t="n"/>
      <c r="D45" s="68" t="n"/>
      <c r="E45" s="68" t="n"/>
      <c r="F45" s="59">
        <f>IF(OR(E45="",D45=""),"",MAX(E45-D45,0))</f>
        <v/>
      </c>
      <c r="G45" s="59">
        <f>IF(F45="","",IF(N(C45)=0,1,C45))</f>
        <v/>
      </c>
      <c r="H45" s="53" t="n">
        <v>25</v>
      </c>
      <c r="I45" s="67" t="n"/>
      <c r="J45" s="55" t="n"/>
      <c r="K45" s="68" t="n"/>
      <c r="L45" s="68" t="n"/>
      <c r="M45" s="59">
        <f>IF(OR(L45="",K45=""),"",MAX(L45-K45,0))</f>
        <v/>
      </c>
      <c r="N45" s="59">
        <f>IF(M45="","",IF(N(J45)=0,1,J45))</f>
        <v/>
      </c>
    </row>
    <row r="46">
      <c r="A46" s="53" t="n">
        <v>26</v>
      </c>
      <c r="B46" s="67" t="n"/>
      <c r="C46" s="55" t="n"/>
      <c r="D46" s="68" t="n"/>
      <c r="E46" s="68" t="n"/>
      <c r="F46" s="59">
        <f>IF(OR(E46="",D46=""),"",MAX(E46-D46,0))</f>
        <v/>
      </c>
      <c r="G46" s="59">
        <f>IF(F46="","",IF(N(C46)=0,1,C46))</f>
        <v/>
      </c>
      <c r="H46" s="53" t="n">
        <v>26</v>
      </c>
      <c r="I46" s="67" t="n"/>
      <c r="J46" s="55" t="n"/>
      <c r="K46" s="68" t="n"/>
      <c r="L46" s="68" t="n"/>
      <c r="M46" s="59">
        <f>IF(OR(L46="",K46=""),"",MAX(L46-K46,0))</f>
        <v/>
      </c>
      <c r="N46" s="59">
        <f>IF(M46="","",IF(N(J46)=0,1,J46))</f>
        <v/>
      </c>
    </row>
    <row r="47">
      <c r="A47" s="53" t="n">
        <v>27</v>
      </c>
      <c r="B47" s="67" t="n"/>
      <c r="C47" s="55" t="n"/>
      <c r="D47" s="68" t="n"/>
      <c r="E47" s="68" t="n"/>
      <c r="F47" s="59">
        <f>IF(OR(E47="",D47=""),"",MAX(E47-D47,0))</f>
        <v/>
      </c>
      <c r="G47" s="59">
        <f>IF(F47="","",IF(N(C47)=0,1,C47))</f>
        <v/>
      </c>
      <c r="H47" s="53" t="n">
        <v>27</v>
      </c>
      <c r="I47" s="67" t="n"/>
      <c r="J47" s="55" t="n"/>
      <c r="K47" s="68" t="n"/>
      <c r="L47" s="68" t="n"/>
      <c r="M47" s="59">
        <f>IF(OR(L47="",K47=""),"",MAX(L47-K47,0))</f>
        <v/>
      </c>
      <c r="N47" s="59">
        <f>IF(M47="","",IF(N(J47)=0,1,J47))</f>
        <v/>
      </c>
    </row>
    <row r="48">
      <c r="A48" s="53" t="n">
        <v>28</v>
      </c>
      <c r="B48" s="67" t="n"/>
      <c r="C48" s="55" t="n"/>
      <c r="D48" s="68" t="n"/>
      <c r="E48" s="68" t="n"/>
      <c r="F48" s="59">
        <f>IF(OR(E48="",D48=""),"",MAX(E48-D48,0))</f>
        <v/>
      </c>
      <c r="G48" s="59">
        <f>IF(F48="","",IF(N(C48)=0,1,C48))</f>
        <v/>
      </c>
      <c r="H48" s="53" t="n">
        <v>28</v>
      </c>
      <c r="I48" s="67" t="n"/>
      <c r="J48" s="55" t="n"/>
      <c r="K48" s="68" t="n"/>
      <c r="L48" s="68" t="n"/>
      <c r="M48" s="59">
        <f>IF(OR(L48="",K48=""),"",MAX(L48-K48,0))</f>
        <v/>
      </c>
      <c r="N48" s="59">
        <f>IF(M48="","",IF(N(J48)=0,1,J48))</f>
        <v/>
      </c>
    </row>
    <row r="49">
      <c r="A49" s="53" t="n">
        <v>29</v>
      </c>
      <c r="B49" s="67" t="n"/>
      <c r="C49" s="55" t="n"/>
      <c r="D49" s="68" t="n"/>
      <c r="E49" s="68" t="n"/>
      <c r="F49" s="59">
        <f>IF(OR(E49="",D49=""),"",MAX(E49-D49,0))</f>
        <v/>
      </c>
      <c r="G49" s="59">
        <f>IF(F49="","",IF(N(C49)=0,1,C49))</f>
        <v/>
      </c>
      <c r="H49" s="53" t="n">
        <v>29</v>
      </c>
      <c r="I49" s="67" t="n"/>
      <c r="J49" s="55" t="n"/>
      <c r="K49" s="68" t="n"/>
      <c r="L49" s="68" t="n"/>
      <c r="M49" s="59">
        <f>IF(OR(L49="",K49=""),"",MAX(L49-K49,0))</f>
        <v/>
      </c>
      <c r="N49" s="59">
        <f>IF(M49="","",IF(N(J49)=0,1,J49))</f>
        <v/>
      </c>
    </row>
    <row r="50">
      <c r="A50" s="53" t="n">
        <v>30</v>
      </c>
      <c r="B50" s="67" t="n"/>
      <c r="C50" s="55" t="n"/>
      <c r="D50" s="68" t="n"/>
      <c r="E50" s="68" t="n"/>
      <c r="F50" s="59">
        <f>IF(OR(E50="",D50=""),"",MAX(E50-D50,0))</f>
        <v/>
      </c>
      <c r="G50" s="59">
        <f>IF(F50="","",IF(N(C50)=0,1,C50))</f>
        <v/>
      </c>
      <c r="H50" s="53" t="n">
        <v>30</v>
      </c>
      <c r="I50" s="67" t="n"/>
      <c r="J50" s="55" t="n"/>
      <c r="K50" s="68" t="n"/>
      <c r="L50" s="68" t="n"/>
      <c r="M50" s="59">
        <f>IF(OR(L50="",K50=""),"",MAX(L50-K50,0))</f>
        <v/>
      </c>
      <c r="N50" s="59">
        <f>IF(M50="","",IF(N(J50)=0,1,J50))</f>
        <v/>
      </c>
    </row>
    <row r="51">
      <c r="A51" s="53" t="n">
        <v>31</v>
      </c>
      <c r="B51" s="67" t="n"/>
      <c r="C51" s="55" t="n"/>
      <c r="D51" s="68" t="n"/>
      <c r="E51" s="68" t="n"/>
      <c r="F51" s="59">
        <f>IF(OR(E51="",D51=""),"",MAX(E51-D51,0))</f>
        <v/>
      </c>
      <c r="G51" s="59">
        <f>IF(F51="","",IF(N(C51)=0,1,C51))</f>
        <v/>
      </c>
      <c r="H51" s="53" t="n">
        <v>31</v>
      </c>
      <c r="I51" s="67" t="n"/>
      <c r="J51" s="55" t="n"/>
      <c r="K51" s="68" t="n"/>
      <c r="L51" s="68" t="n"/>
      <c r="M51" s="59">
        <f>IF(OR(L51="",K51=""),"",MAX(L51-K51,0))</f>
        <v/>
      </c>
      <c r="N51" s="59">
        <f>IF(M51="","",IF(N(J51)=0,1,J51))</f>
        <v/>
      </c>
    </row>
    <row r="52">
      <c r="A52" s="53" t="n">
        <v>32</v>
      </c>
      <c r="B52" s="67" t="n"/>
      <c r="C52" s="55" t="n"/>
      <c r="D52" s="68" t="n"/>
      <c r="E52" s="68" t="n"/>
      <c r="F52" s="59">
        <f>IF(OR(E52="",D52=""),"",MAX(E52-D52,0))</f>
        <v/>
      </c>
      <c r="G52" s="59">
        <f>IF(F52="","",IF(N(C52)=0,1,C52))</f>
        <v/>
      </c>
      <c r="H52" s="53" t="n">
        <v>32</v>
      </c>
      <c r="I52" s="67" t="n"/>
      <c r="J52" s="55" t="n"/>
      <c r="K52" s="68" t="n"/>
      <c r="L52" s="68" t="n"/>
      <c r="M52" s="59">
        <f>IF(OR(L52="",K52=""),"",MAX(L52-K52,0))</f>
        <v/>
      </c>
      <c r="N52" s="59">
        <f>IF(M52="","",IF(N(J52)=0,1,J52))</f>
        <v/>
      </c>
    </row>
    <row r="53">
      <c r="A53" s="53" t="n">
        <v>33</v>
      </c>
      <c r="B53" s="67" t="n"/>
      <c r="C53" s="55" t="n"/>
      <c r="D53" s="68" t="n"/>
      <c r="E53" s="68" t="n"/>
      <c r="F53" s="59">
        <f>IF(OR(E53="",D53=""),"",MAX(E53-D53,0))</f>
        <v/>
      </c>
      <c r="G53" s="59">
        <f>IF(F53="","",IF(N(C53)=0,1,C53))</f>
        <v/>
      </c>
      <c r="H53" s="53" t="n">
        <v>33</v>
      </c>
      <c r="I53" s="67" t="n"/>
      <c r="J53" s="55" t="n"/>
      <c r="K53" s="68" t="n"/>
      <c r="L53" s="68" t="n"/>
      <c r="M53" s="59">
        <f>IF(OR(L53="",K53=""),"",MAX(L53-K53,0))</f>
        <v/>
      </c>
      <c r="N53" s="59">
        <f>IF(M53="","",IF(N(J53)=0,1,J53))</f>
        <v/>
      </c>
    </row>
    <row r="54">
      <c r="A54" s="53" t="n">
        <v>34</v>
      </c>
      <c r="B54" s="67" t="n"/>
      <c r="C54" s="55" t="n"/>
      <c r="D54" s="68" t="n"/>
      <c r="E54" s="68" t="n"/>
      <c r="F54" s="59">
        <f>IF(OR(E54="",D54=""),"",MAX(E54-D54,0))</f>
        <v/>
      </c>
      <c r="G54" s="59">
        <f>IF(F54="","",IF(N(C54)=0,1,C54))</f>
        <v/>
      </c>
      <c r="H54" s="53" t="n">
        <v>34</v>
      </c>
      <c r="I54" s="67" t="n"/>
      <c r="J54" s="55" t="n"/>
      <c r="K54" s="68" t="n"/>
      <c r="L54" s="68" t="n"/>
      <c r="M54" s="59">
        <f>IF(OR(L54="",K54=""),"",MAX(L54-K54,0))</f>
        <v/>
      </c>
      <c r="N54" s="59">
        <f>IF(M54="","",IF(N(J54)=0,1,J54))</f>
        <v/>
      </c>
    </row>
    <row r="55">
      <c r="A55" s="53" t="n">
        <v>35</v>
      </c>
      <c r="B55" s="67" t="n"/>
      <c r="C55" s="55" t="n"/>
      <c r="D55" s="68" t="n"/>
      <c r="E55" s="68" t="n"/>
      <c r="F55" s="59">
        <f>IF(OR(E55="",D55=""),"",MAX(E55-D55,0))</f>
        <v/>
      </c>
      <c r="G55" s="59">
        <f>IF(F55="","",IF(N(C55)=0,1,C55))</f>
        <v/>
      </c>
      <c r="H55" s="53" t="n">
        <v>35</v>
      </c>
      <c r="I55" s="67" t="n"/>
      <c r="J55" s="55" t="n"/>
      <c r="K55" s="68" t="n"/>
      <c r="L55" s="68" t="n"/>
      <c r="M55" s="59">
        <f>IF(OR(L55="",K55=""),"",MAX(L55-K55,0))</f>
        <v/>
      </c>
      <c r="N55" s="59">
        <f>IF(M55="","",IF(N(J55)=0,1,J55))</f>
        <v/>
      </c>
    </row>
    <row r="56">
      <c r="A56" s="53" t="n">
        <v>36</v>
      </c>
      <c r="B56" s="67" t="n"/>
      <c r="C56" s="55" t="n"/>
      <c r="D56" s="68" t="n"/>
      <c r="E56" s="68" t="n"/>
      <c r="F56" s="59">
        <f>IF(OR(E56="",D56=""),"",MAX(E56-D56,0))</f>
        <v/>
      </c>
      <c r="G56" s="59">
        <f>IF(F56="","",IF(N(C56)=0,1,C56))</f>
        <v/>
      </c>
      <c r="H56" s="53" t="n">
        <v>36</v>
      </c>
      <c r="I56" s="67" t="n"/>
      <c r="J56" s="55" t="n"/>
      <c r="K56" s="68" t="n"/>
      <c r="L56" s="68" t="n"/>
      <c r="M56" s="59">
        <f>IF(OR(L56="",K56=""),"",MAX(L56-K56,0))</f>
        <v/>
      </c>
      <c r="N56" s="59">
        <f>IF(M56="","",IF(N(J56)=0,1,J56))</f>
        <v/>
      </c>
    </row>
    <row r="57">
      <c r="A57" s="53" t="n">
        <v>37</v>
      </c>
      <c r="B57" s="67" t="n"/>
      <c r="C57" s="55" t="n"/>
      <c r="D57" s="68" t="n"/>
      <c r="E57" s="68" t="n"/>
      <c r="F57" s="59">
        <f>IF(OR(E57="",D57=""),"",MAX(E57-D57,0))</f>
        <v/>
      </c>
      <c r="G57" s="59">
        <f>IF(F57="","",IF(N(C57)=0,1,C57))</f>
        <v/>
      </c>
      <c r="H57" s="53" t="n">
        <v>37</v>
      </c>
      <c r="I57" s="67" t="n"/>
      <c r="J57" s="55" t="n"/>
      <c r="K57" s="68" t="n"/>
      <c r="L57" s="68" t="n"/>
      <c r="M57" s="59">
        <f>IF(OR(L57="",K57=""),"",MAX(L57-K57,0))</f>
        <v/>
      </c>
      <c r="N57" s="59">
        <f>IF(M57="","",IF(N(J57)=0,1,J57))</f>
        <v/>
      </c>
    </row>
    <row r="58">
      <c r="A58" s="53" t="n">
        <v>38</v>
      </c>
      <c r="B58" s="67" t="n"/>
      <c r="C58" s="55" t="n"/>
      <c r="D58" s="68" t="n"/>
      <c r="E58" s="68" t="n"/>
      <c r="F58" s="59">
        <f>IF(OR(E58="",D58=""),"",MAX(E58-D58,0))</f>
        <v/>
      </c>
      <c r="G58" s="59">
        <f>IF(F58="","",IF(N(C58)=0,1,C58))</f>
        <v/>
      </c>
      <c r="H58" s="53" t="n">
        <v>38</v>
      </c>
      <c r="I58" s="67" t="n"/>
      <c r="J58" s="55" t="n"/>
      <c r="K58" s="68" t="n"/>
      <c r="L58" s="68" t="n"/>
      <c r="M58" s="59">
        <f>IF(OR(L58="",K58=""),"",MAX(L58-K58,0))</f>
        <v/>
      </c>
      <c r="N58" s="59">
        <f>IF(M58="","",IF(N(J58)=0,1,J58))</f>
        <v/>
      </c>
    </row>
    <row r="59">
      <c r="A59" s="53" t="n">
        <v>39</v>
      </c>
      <c r="B59" s="67" t="n"/>
      <c r="C59" s="55" t="n"/>
      <c r="D59" s="68" t="n"/>
      <c r="E59" s="68" t="n"/>
      <c r="F59" s="59">
        <f>IF(OR(E59="",D59=""),"",MAX(E59-D59,0))</f>
        <v/>
      </c>
      <c r="G59" s="59">
        <f>IF(F59="","",IF(N(C59)=0,1,C59))</f>
        <v/>
      </c>
      <c r="H59" s="53" t="n">
        <v>39</v>
      </c>
      <c r="I59" s="67" t="n"/>
      <c r="J59" s="55" t="n"/>
      <c r="K59" s="68" t="n"/>
      <c r="L59" s="68" t="n"/>
      <c r="M59" s="59">
        <f>IF(OR(L59="",K59=""),"",MAX(L59-K59,0))</f>
        <v/>
      </c>
      <c r="N59" s="59">
        <f>IF(M59="","",IF(N(J59)=0,1,J59))</f>
        <v/>
      </c>
    </row>
    <row r="60">
      <c r="A60" s="53" t="n">
        <v>40</v>
      </c>
      <c r="B60" s="67" t="n"/>
      <c r="C60" s="55" t="n"/>
      <c r="D60" s="68" t="n"/>
      <c r="E60" s="68" t="n"/>
      <c r="F60" s="59">
        <f>IF(OR(E60="",D60=""),"",MAX(E60-D60,0))</f>
        <v/>
      </c>
      <c r="G60" s="59">
        <f>IF(F60="","",IF(N(C60)=0,1,C60))</f>
        <v/>
      </c>
      <c r="H60" s="53" t="n">
        <v>40</v>
      </c>
      <c r="I60" s="67" t="n"/>
      <c r="J60" s="55" t="n"/>
      <c r="K60" s="68" t="n"/>
      <c r="L60" s="68" t="n"/>
      <c r="M60" s="59">
        <f>IF(OR(L60="",K60=""),"",MAX(L60-K60,0))</f>
        <v/>
      </c>
      <c r="N60" s="59">
        <f>IF(M60="","",IF(N(J60)=0,1,J60))</f>
        <v/>
      </c>
    </row>
    <row r="61">
      <c r="A61" s="53" t="n">
        <v>41</v>
      </c>
      <c r="B61" s="67" t="n"/>
      <c r="C61" s="55" t="n"/>
      <c r="D61" s="68" t="n"/>
      <c r="E61" s="68" t="n"/>
      <c r="F61" s="59">
        <f>IF(OR(E61="",D61=""),"",MAX(E61-D61,0))</f>
        <v/>
      </c>
      <c r="G61" s="59">
        <f>IF(F61="","",IF(N(C61)=0,1,C61))</f>
        <v/>
      </c>
      <c r="H61" s="53" t="n">
        <v>41</v>
      </c>
      <c r="I61" s="67" t="n"/>
      <c r="J61" s="55" t="n"/>
      <c r="K61" s="68" t="n"/>
      <c r="L61" s="68" t="n"/>
      <c r="M61" s="59">
        <f>IF(OR(L61="",K61=""),"",MAX(L61-K61,0))</f>
        <v/>
      </c>
      <c r="N61" s="59">
        <f>IF(M61="","",IF(N(J61)=0,1,J61))</f>
        <v/>
      </c>
    </row>
    <row r="62">
      <c r="A62" s="53" t="n">
        <v>42</v>
      </c>
      <c r="B62" s="67" t="n"/>
      <c r="C62" s="55" t="n"/>
      <c r="D62" s="68" t="n"/>
      <c r="E62" s="68" t="n"/>
      <c r="F62" s="59">
        <f>IF(OR(E62="",D62=""),"",MAX(E62-D62,0))</f>
        <v/>
      </c>
      <c r="G62" s="59">
        <f>IF(F62="","",IF(N(C62)=0,1,C62))</f>
        <v/>
      </c>
      <c r="H62" s="53" t="n">
        <v>42</v>
      </c>
      <c r="I62" s="67" t="n"/>
      <c r="J62" s="55" t="n"/>
      <c r="K62" s="68" t="n"/>
      <c r="L62" s="68" t="n"/>
      <c r="M62" s="59">
        <f>IF(OR(L62="",K62=""),"",MAX(L62-K62,0))</f>
        <v/>
      </c>
      <c r="N62" s="59">
        <f>IF(M62="","",IF(N(J62)=0,1,J62))</f>
        <v/>
      </c>
    </row>
    <row r="63">
      <c r="A63" s="53" t="n">
        <v>43</v>
      </c>
      <c r="B63" s="67" t="n"/>
      <c r="C63" s="55" t="n"/>
      <c r="D63" s="68" t="n"/>
      <c r="E63" s="68" t="n"/>
      <c r="F63" s="59">
        <f>IF(OR(E63="",D63=""),"",MAX(E63-D63,0))</f>
        <v/>
      </c>
      <c r="G63" s="59">
        <f>IF(F63="","",IF(N(C63)=0,1,C63))</f>
        <v/>
      </c>
      <c r="H63" s="53" t="n">
        <v>43</v>
      </c>
      <c r="I63" s="67" t="n"/>
      <c r="J63" s="55" t="n"/>
      <c r="K63" s="68" t="n"/>
      <c r="L63" s="68" t="n"/>
      <c r="M63" s="59">
        <f>IF(OR(L63="",K63=""),"",MAX(L63-K63,0))</f>
        <v/>
      </c>
      <c r="N63" s="59">
        <f>IF(M63="","",IF(N(J63)=0,1,J63))</f>
        <v/>
      </c>
    </row>
    <row r="64">
      <c r="A64" s="53" t="n">
        <v>44</v>
      </c>
      <c r="B64" s="67" t="n"/>
      <c r="C64" s="55" t="n"/>
      <c r="D64" s="68" t="n"/>
      <c r="E64" s="68" t="n"/>
      <c r="F64" s="59">
        <f>IF(OR(E64="",D64=""),"",MAX(E64-D64,0))</f>
        <v/>
      </c>
      <c r="G64" s="59">
        <f>IF(F64="","",IF(N(C64)=0,1,C64))</f>
        <v/>
      </c>
      <c r="H64" s="53" t="n">
        <v>44</v>
      </c>
      <c r="I64" s="67" t="n"/>
      <c r="J64" s="55" t="n"/>
      <c r="K64" s="68" t="n"/>
      <c r="L64" s="68" t="n"/>
      <c r="M64" s="59">
        <f>IF(OR(L64="",K64=""),"",MAX(L64-K64,0))</f>
        <v/>
      </c>
      <c r="N64" s="59">
        <f>IF(M64="","",IF(N(J64)=0,1,J64))</f>
        <v/>
      </c>
    </row>
    <row r="65">
      <c r="A65" s="53" t="n">
        <v>45</v>
      </c>
      <c r="B65" s="67" t="n"/>
      <c r="C65" s="55" t="n"/>
      <c r="D65" s="68" t="n"/>
      <c r="E65" s="68" t="n"/>
      <c r="F65" s="59">
        <f>IF(OR(E65="",D65=""),"",MAX(E65-D65,0))</f>
        <v/>
      </c>
      <c r="G65" s="59">
        <f>IF(F65="","",IF(N(C65)=0,1,C65))</f>
        <v/>
      </c>
      <c r="H65" s="53" t="n">
        <v>45</v>
      </c>
      <c r="I65" s="67" t="n"/>
      <c r="J65" s="55" t="n"/>
      <c r="K65" s="68" t="n"/>
      <c r="L65" s="68" t="n"/>
      <c r="M65" s="59">
        <f>IF(OR(L65="",K65=""),"",MAX(L65-K65,0))</f>
        <v/>
      </c>
      <c r="N65" s="59">
        <f>IF(M65="","",IF(N(J65)=0,1,J65))</f>
        <v/>
      </c>
    </row>
    <row r="66">
      <c r="A66" s="53" t="n">
        <v>46</v>
      </c>
      <c r="B66" s="67" t="n"/>
      <c r="C66" s="55" t="n"/>
      <c r="D66" s="68" t="n"/>
      <c r="E66" s="68" t="n"/>
      <c r="F66" s="59">
        <f>IF(OR(E66="",D66=""),"",MAX(E66-D66,0))</f>
        <v/>
      </c>
      <c r="G66" s="59">
        <f>IF(F66="","",IF(N(C66)=0,1,C66))</f>
        <v/>
      </c>
      <c r="H66" s="53" t="n">
        <v>46</v>
      </c>
      <c r="I66" s="67" t="n"/>
      <c r="J66" s="55" t="n"/>
      <c r="K66" s="68" t="n"/>
      <c r="L66" s="68" t="n"/>
      <c r="M66" s="59">
        <f>IF(OR(L66="",K66=""),"",MAX(L66-K66,0))</f>
        <v/>
      </c>
      <c r="N66" s="59">
        <f>IF(M66="","",IF(N(J66)=0,1,J66))</f>
        <v/>
      </c>
    </row>
    <row r="67">
      <c r="A67" s="53" t="n">
        <v>47</v>
      </c>
      <c r="B67" s="67" t="n"/>
      <c r="C67" s="55" t="n"/>
      <c r="D67" s="68" t="n"/>
      <c r="E67" s="68" t="n"/>
      <c r="F67" s="59">
        <f>IF(OR(E67="",D67=""),"",MAX(E67-D67,0))</f>
        <v/>
      </c>
      <c r="G67" s="59">
        <f>IF(F67="","",IF(N(C67)=0,1,C67))</f>
        <v/>
      </c>
      <c r="H67" s="53" t="n">
        <v>47</v>
      </c>
      <c r="I67" s="67" t="n"/>
      <c r="J67" s="55" t="n"/>
      <c r="K67" s="68" t="n"/>
      <c r="L67" s="68" t="n"/>
      <c r="M67" s="59">
        <f>IF(OR(L67="",K67=""),"",MAX(L67-K67,0))</f>
        <v/>
      </c>
      <c r="N67" s="59">
        <f>IF(M67="","",IF(N(J67)=0,1,J67))</f>
        <v/>
      </c>
    </row>
    <row r="68">
      <c r="A68" s="53" t="n">
        <v>48</v>
      </c>
      <c r="B68" s="67" t="n"/>
      <c r="C68" s="55" t="n"/>
      <c r="D68" s="68" t="n"/>
      <c r="E68" s="68" t="n"/>
      <c r="F68" s="59">
        <f>IF(OR(E68="",D68=""),"",MAX(E68-D68,0))</f>
        <v/>
      </c>
      <c r="G68" s="59">
        <f>IF(F68="","",IF(N(C68)=0,1,C68))</f>
        <v/>
      </c>
      <c r="H68" s="53" t="n">
        <v>48</v>
      </c>
      <c r="I68" s="67" t="n"/>
      <c r="J68" s="55" t="n"/>
      <c r="K68" s="68" t="n"/>
      <c r="L68" s="68" t="n"/>
      <c r="M68" s="59">
        <f>IF(OR(L68="",K68=""),"",MAX(L68-K68,0))</f>
        <v/>
      </c>
      <c r="N68" s="59">
        <f>IF(M68="","",IF(N(J68)=0,1,J68))</f>
        <v/>
      </c>
    </row>
    <row r="69">
      <c r="A69" s="53" t="n">
        <v>49</v>
      </c>
      <c r="B69" s="67" t="n"/>
      <c r="C69" s="55" t="n"/>
      <c r="D69" s="68" t="n"/>
      <c r="E69" s="68" t="n"/>
      <c r="F69" s="59">
        <f>IF(OR(E69="",D69=""),"",MAX(E69-D69,0))</f>
        <v/>
      </c>
      <c r="G69" s="59">
        <f>IF(F69="","",IF(N(C69)=0,1,C69))</f>
        <v/>
      </c>
      <c r="H69" s="53" t="n">
        <v>49</v>
      </c>
      <c r="I69" s="67" t="n"/>
      <c r="J69" s="55" t="n"/>
      <c r="K69" s="68" t="n"/>
      <c r="L69" s="68" t="n"/>
      <c r="M69" s="59">
        <f>IF(OR(L69="",K69=""),"",MAX(L69-K69,0))</f>
        <v/>
      </c>
      <c r="N69" s="59">
        <f>IF(M69="","",IF(N(J69)=0,1,J69))</f>
        <v/>
      </c>
    </row>
    <row r="70">
      <c r="A70" s="53" t="n">
        <v>50</v>
      </c>
      <c r="B70" s="67" t="n"/>
      <c r="C70" s="55" t="n"/>
      <c r="D70" s="68" t="n"/>
      <c r="E70" s="68" t="n"/>
      <c r="F70" s="59">
        <f>IF(OR(E70="",D70=""),"",MAX(E70-D70,0))</f>
        <v/>
      </c>
      <c r="G70" s="59">
        <f>IF(F70="","",IF(N(C70)=0,1,C70))</f>
        <v/>
      </c>
      <c r="H70" s="53" t="n">
        <v>50</v>
      </c>
      <c r="I70" s="67" t="n"/>
      <c r="J70" s="55" t="n"/>
      <c r="K70" s="68" t="n"/>
      <c r="L70" s="68" t="n"/>
      <c r="M70" s="59">
        <f>IF(OR(L70="",K70=""),"",MAX(L70-K70,0))</f>
        <v/>
      </c>
      <c r="N70" s="59">
        <f>IF(M70="","",IF(N(J70)=0,1,J70))</f>
        <v/>
      </c>
    </row>
    <row r="71">
      <c r="A71" s="53" t="n">
        <v>51</v>
      </c>
      <c r="B71" s="67" t="n"/>
      <c r="C71" s="55" t="n"/>
      <c r="D71" s="68" t="n"/>
      <c r="E71" s="68" t="n"/>
      <c r="F71" s="59">
        <f>IF(OR(E71="",D71=""),"",MAX(E71-D71,0))</f>
        <v/>
      </c>
      <c r="G71" s="59">
        <f>IF(F71="","",IF(N(C71)=0,1,C71))</f>
        <v/>
      </c>
      <c r="H71" s="53" t="n">
        <v>51</v>
      </c>
      <c r="I71" s="67" t="n"/>
      <c r="J71" s="55" t="n"/>
      <c r="K71" s="68" t="n"/>
      <c r="L71" s="68" t="n"/>
      <c r="M71" s="59">
        <f>IF(OR(L71="",K71=""),"",MAX(L71-K71,0))</f>
        <v/>
      </c>
      <c r="N71" s="59">
        <f>IF(M71="","",IF(N(J71)=0,1,J71))</f>
        <v/>
      </c>
    </row>
    <row r="72">
      <c r="A72" s="53" t="n">
        <v>52</v>
      </c>
      <c r="B72" s="67" t="n"/>
      <c r="C72" s="55" t="n"/>
      <c r="D72" s="68" t="n"/>
      <c r="E72" s="68" t="n"/>
      <c r="F72" s="59">
        <f>IF(OR(E72="",D72=""),"",MAX(E72-D72,0))</f>
        <v/>
      </c>
      <c r="G72" s="59">
        <f>IF(F72="","",IF(N(C72)=0,1,C72))</f>
        <v/>
      </c>
      <c r="H72" s="53" t="n">
        <v>52</v>
      </c>
      <c r="I72" s="67" t="n"/>
      <c r="J72" s="55" t="n"/>
      <c r="K72" s="68" t="n"/>
      <c r="L72" s="68" t="n"/>
      <c r="M72" s="59">
        <f>IF(OR(L72="",K72=""),"",MAX(L72-K72,0))</f>
        <v/>
      </c>
      <c r="N72" s="59">
        <f>IF(M72="","",IF(N(J72)=0,1,J72))</f>
        <v/>
      </c>
    </row>
    <row r="73">
      <c r="A73" s="53" t="n">
        <v>53</v>
      </c>
      <c r="B73" s="67" t="n"/>
      <c r="C73" s="55" t="n"/>
      <c r="D73" s="68" t="n"/>
      <c r="E73" s="68" t="n"/>
      <c r="F73" s="59">
        <f>IF(OR(E73="",D73=""),"",MAX(E73-D73,0))</f>
        <v/>
      </c>
      <c r="G73" s="59">
        <f>IF(F73="","",IF(N(C73)=0,1,C73))</f>
        <v/>
      </c>
      <c r="H73" s="53" t="n">
        <v>53</v>
      </c>
      <c r="I73" s="67" t="n"/>
      <c r="J73" s="55" t="n"/>
      <c r="K73" s="68" t="n"/>
      <c r="L73" s="68" t="n"/>
      <c r="M73" s="59">
        <f>IF(OR(L73="",K73=""),"",MAX(L73-K73,0))</f>
        <v/>
      </c>
      <c r="N73" s="59">
        <f>IF(M73="","",IF(N(J73)=0,1,J73))</f>
        <v/>
      </c>
    </row>
    <row r="74">
      <c r="A74" s="53" t="n">
        <v>54</v>
      </c>
      <c r="B74" s="67" t="n"/>
      <c r="C74" s="55" t="n"/>
      <c r="D74" s="68" t="n"/>
      <c r="E74" s="68" t="n"/>
      <c r="F74" s="59">
        <f>IF(OR(E74="",D74=""),"",MAX(E74-D74,0))</f>
        <v/>
      </c>
      <c r="G74" s="59">
        <f>IF(F74="","",IF(N(C74)=0,1,C74))</f>
        <v/>
      </c>
      <c r="H74" s="53" t="n">
        <v>54</v>
      </c>
      <c r="I74" s="67" t="n"/>
      <c r="J74" s="55" t="n"/>
      <c r="K74" s="68" t="n"/>
      <c r="L74" s="68" t="n"/>
      <c r="M74" s="59">
        <f>IF(OR(L74="",K74=""),"",MAX(L74-K74,0))</f>
        <v/>
      </c>
      <c r="N74" s="59">
        <f>IF(M74="","",IF(N(J74)=0,1,J74))</f>
        <v/>
      </c>
    </row>
    <row r="75">
      <c r="A75" s="53" t="n">
        <v>55</v>
      </c>
      <c r="B75" s="67" t="n"/>
      <c r="C75" s="55" t="n"/>
      <c r="D75" s="68" t="n"/>
      <c r="E75" s="68" t="n"/>
      <c r="F75" s="59">
        <f>IF(OR(E75="",D75=""),"",MAX(E75-D75,0))</f>
        <v/>
      </c>
      <c r="G75" s="59">
        <f>IF(F75="","",IF(N(C75)=0,1,C75))</f>
        <v/>
      </c>
      <c r="H75" s="53" t="n">
        <v>55</v>
      </c>
      <c r="I75" s="67" t="n"/>
      <c r="J75" s="55" t="n"/>
      <c r="K75" s="68" t="n"/>
      <c r="L75" s="68" t="n"/>
      <c r="M75" s="59">
        <f>IF(OR(L75="",K75=""),"",MAX(L75-K75,0))</f>
        <v/>
      </c>
      <c r="N75" s="59">
        <f>IF(M75="","",IF(N(J75)=0,1,J75))</f>
        <v/>
      </c>
    </row>
    <row r="76">
      <c r="A76" s="53" t="n">
        <v>56</v>
      </c>
      <c r="B76" s="67" t="n"/>
      <c r="C76" s="55" t="n"/>
      <c r="D76" s="68" t="n"/>
      <c r="E76" s="68" t="n"/>
      <c r="F76" s="59">
        <f>IF(OR(E76="",D76=""),"",MAX(E76-D76,0))</f>
        <v/>
      </c>
      <c r="G76" s="59">
        <f>IF(F76="","",IF(N(C76)=0,1,C76))</f>
        <v/>
      </c>
      <c r="H76" s="53" t="n">
        <v>56</v>
      </c>
      <c r="I76" s="67" t="n"/>
      <c r="J76" s="55" t="n"/>
      <c r="K76" s="68" t="n"/>
      <c r="L76" s="68" t="n"/>
      <c r="M76" s="59">
        <f>IF(OR(L76="",K76=""),"",MAX(L76-K76,0))</f>
        <v/>
      </c>
      <c r="N76" s="59">
        <f>IF(M76="","",IF(N(J76)=0,1,J76))</f>
        <v/>
      </c>
    </row>
    <row r="77">
      <c r="A77" s="53" t="n">
        <v>57</v>
      </c>
      <c r="B77" s="67" t="n"/>
      <c r="C77" s="55" t="n"/>
      <c r="D77" s="68" t="n"/>
      <c r="E77" s="68" t="n"/>
      <c r="F77" s="59">
        <f>IF(OR(E77="",D77=""),"",MAX(E77-D77,0))</f>
        <v/>
      </c>
      <c r="G77" s="59">
        <f>IF(F77="","",IF(N(C77)=0,1,C77))</f>
        <v/>
      </c>
      <c r="H77" s="53" t="n">
        <v>57</v>
      </c>
      <c r="I77" s="67" t="n"/>
      <c r="J77" s="55" t="n"/>
      <c r="K77" s="68" t="n"/>
      <c r="L77" s="68" t="n"/>
      <c r="M77" s="59">
        <f>IF(OR(L77="",K77=""),"",MAX(L77-K77,0))</f>
        <v/>
      </c>
      <c r="N77" s="59">
        <f>IF(M77="","",IF(N(J77)=0,1,J77))</f>
        <v/>
      </c>
    </row>
    <row r="78">
      <c r="A78" s="53" t="n">
        <v>58</v>
      </c>
      <c r="B78" s="67" t="n"/>
      <c r="C78" s="55" t="n"/>
      <c r="D78" s="68" t="n"/>
      <c r="E78" s="68" t="n"/>
      <c r="F78" s="59">
        <f>IF(OR(E78="",D78=""),"",MAX(E78-D78,0))</f>
        <v/>
      </c>
      <c r="G78" s="59">
        <f>IF(F78="","",IF(N(C78)=0,1,C78))</f>
        <v/>
      </c>
      <c r="H78" s="53" t="n">
        <v>58</v>
      </c>
      <c r="I78" s="67" t="n"/>
      <c r="J78" s="55" t="n"/>
      <c r="K78" s="68" t="n"/>
      <c r="L78" s="68" t="n"/>
      <c r="M78" s="59">
        <f>IF(OR(L78="",K78=""),"",MAX(L78-K78,0))</f>
        <v/>
      </c>
      <c r="N78" s="59">
        <f>IF(M78="","",IF(N(J78)=0,1,J78))</f>
        <v/>
      </c>
    </row>
    <row r="79">
      <c r="A79" s="53" t="n">
        <v>59</v>
      </c>
      <c r="B79" s="67" t="n"/>
      <c r="C79" s="55" t="n"/>
      <c r="D79" s="68" t="n"/>
      <c r="E79" s="68" t="n"/>
      <c r="F79" s="59">
        <f>IF(OR(E79="",D79=""),"",MAX(E79-D79,0))</f>
        <v/>
      </c>
      <c r="G79" s="59">
        <f>IF(F79="","",IF(N(C79)=0,1,C79))</f>
        <v/>
      </c>
      <c r="H79" s="53" t="n">
        <v>59</v>
      </c>
      <c r="I79" s="67" t="n"/>
      <c r="J79" s="55" t="n"/>
      <c r="K79" s="68" t="n"/>
      <c r="L79" s="68" t="n"/>
      <c r="M79" s="59">
        <f>IF(OR(L79="",K79=""),"",MAX(L79-K79,0))</f>
        <v/>
      </c>
      <c r="N79" s="59">
        <f>IF(M79="","",IF(N(J79)=0,1,J79))</f>
        <v/>
      </c>
    </row>
    <row r="80">
      <c r="A80" s="53" t="n">
        <v>60</v>
      </c>
      <c r="B80" s="67" t="n"/>
      <c r="C80" s="55" t="n"/>
      <c r="D80" s="68" t="n"/>
      <c r="E80" s="68" t="n"/>
      <c r="F80" s="59">
        <f>IF(OR(E80="",D80=""),"",MAX(E80-D80,0))</f>
        <v/>
      </c>
      <c r="G80" s="59">
        <f>IF(F80="","",IF(N(C80)=0,1,C80))</f>
        <v/>
      </c>
      <c r="H80" s="53" t="n">
        <v>60</v>
      </c>
      <c r="I80" s="67" t="n"/>
      <c r="J80" s="55" t="n"/>
      <c r="K80" s="68" t="n"/>
      <c r="L80" s="68" t="n"/>
      <c r="M80" s="59">
        <f>IF(OR(L80="",K80=""),"",MAX(L80-K80,0))</f>
        <v/>
      </c>
      <c r="N80" s="59">
        <f>IF(M80="","",IF(N(J80)=0,1,J80))</f>
        <v/>
      </c>
    </row>
    <row r="81">
      <c r="A81" s="60" t="n"/>
      <c r="B81" s="61" t="inlineStr">
        <is>
          <t>Total</t>
        </is>
      </c>
      <c r="C81" s="65">
        <f>SUM(C21:C80)</f>
        <v/>
      </c>
      <c r="D81" s="60" t="n"/>
      <c r="E81" s="60" t="n"/>
      <c r="F81" s="62">
        <f>IF(N(G81)=0,"",SUMPRODUCT(F21:F80,G21:G80)/G81)</f>
        <v/>
      </c>
      <c r="G81" s="65">
        <f>SUM(G21:G80)</f>
        <v/>
      </c>
      <c r="H81" s="60" t="n"/>
      <c r="I81" s="61" t="inlineStr">
        <is>
          <t>Total</t>
        </is>
      </c>
      <c r="J81" s="65">
        <f>SUM(J21:J80)</f>
        <v/>
      </c>
      <c r="K81" s="60" t="n"/>
      <c r="L81" s="60" t="n"/>
      <c r="M81" s="62">
        <f>IF(N(N81)=0,"",SUMPRODUCT(M21:M80,N21:N80)/N81)</f>
        <v/>
      </c>
      <c r="N81" s="65">
        <f>SUM(N21:N80)</f>
        <v/>
      </c>
    </row>
    <row r="82">
      <c r="B82" s="66" t="inlineStr">
        <is>
          <t>Insert rows above the Total row as necessary and copy the formulas of the 'Time to Hire' and 'Posts Filled' columns into the new rows. Blank 'No. of Posts' on a filled position counts as 1 post.</t>
        </is>
      </c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IK1mo3n2o9zLr8wGMYhctA==" formatRows="0" sort="1" spinCount="100000" hashValue="BxtlLJhy4LlRWdVEjwrO4taZuxvjBDAYtqNtPV4JxIOlFYuzAu35PaQ28q55hr5X/YUx3By7q0/tp1NhUSsxrA=="/>
  <mergeCells count="24">
    <mergeCell ref="Y2:AA2"/>
    <mergeCell ref="Y1:AA1"/>
    <mergeCell ref="A18:C18"/>
    <mergeCell ref="Q1:S1"/>
    <mergeCell ref="D18:E19"/>
    <mergeCell ref="O1:O2"/>
    <mergeCell ref="A2:C2"/>
    <mergeCell ref="D1:F2"/>
    <mergeCell ref="W1:W2"/>
    <mergeCell ref="M18:N19"/>
    <mergeCell ref="H19:J19"/>
    <mergeCell ref="I1:K1"/>
    <mergeCell ref="AB1:AD2"/>
    <mergeCell ref="AE1:AE2"/>
    <mergeCell ref="Q2:S2"/>
    <mergeCell ref="A19:C19"/>
    <mergeCell ref="H18:J18"/>
    <mergeCell ref="K18:L19"/>
    <mergeCell ref="G1:G2"/>
    <mergeCell ref="L1:N2"/>
    <mergeCell ref="I2:K2"/>
    <mergeCell ref="A1:C1"/>
    <mergeCell ref="T1:V2"/>
    <mergeCell ref="F18:G19"/>
  </mergeCells>
  <dataValidations count="5">
    <dataValidation sqref="D21:E8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C21:C80" showDropDown="0" showInputMessage="0" showErrorMessage="1" allowBlank="1" error="No. of Posts must be a whole number &gt;= 1." type="whole" operator="greaterThanOrEqual">
      <formula1>1</formula1>
    </dataValidation>
    <dataValidation sqref="K21:L8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J21:J80" showDropDown="0" showInputMessage="0" showErrorMessage="1" allowBlank="1" error="No. of Posts must be a whole number &gt;= 1." type="whole" operator="greaterThanOrEqual">
      <formula1>1</formula1>
    </dataValidation>
    <dataValidation sqref="D4:D15" showDropDown="0" showInputMessage="0" showErrorMessage="1" allowBlank="1" error="Working days must be between 0 and 31." type="whole" operator="between">
      <formula1>0</formula1>
      <formula2>31</formula2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72"/>
  <sheetViews>
    <sheetView showGridLines="0" zoomScale="80" workbookViewId="0">
      <selection activeCell="A1" sqref="A1"/>
    </sheetView>
  </sheetViews>
  <sheetFormatPr baseColWidth="8" defaultRowHeight="15"/>
  <cols>
    <col width="5.5" customWidth="1" min="1" max="1"/>
    <col width="16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5.5" customWidth="1" min="8" max="8"/>
    <col width="16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3" customWidth="1" min="15" max="15"/>
    <col width="3" customWidth="1" min="16" max="16"/>
    <col width="5.5" customWidth="1" min="17" max="17"/>
    <col width="16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3" customWidth="1" min="24" max="24"/>
    <col width="5.5" customWidth="1" min="25" max="25"/>
    <col width="1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4.75" customHeight="1">
      <c r="A1" s="40" t="inlineStr">
        <is>
          <t>GCG Concessions Panama</t>
        </is>
      </c>
      <c r="B1" s="41" t="n"/>
      <c r="C1" s="42" t="n"/>
      <c r="D1" s="40" t="inlineStr">
        <is>
          <t>ABSENCE RATE YTD</t>
        </is>
      </c>
      <c r="E1" s="43" t="n"/>
      <c r="F1" s="44" t="n"/>
      <c r="G1" s="45">
        <f>G16</f>
        <v/>
      </c>
      <c r="I1" s="40">
        <f>A1</f>
        <v/>
      </c>
      <c r="J1" s="41" t="n"/>
      <c r="K1" s="42" t="n"/>
      <c r="L1" s="40" t="inlineStr">
        <is>
          <t>ABSENCE RATE YTD</t>
        </is>
      </c>
      <c r="M1" s="43" t="n"/>
      <c r="N1" s="44" t="n"/>
      <c r="O1" s="45">
        <f>O16</f>
        <v/>
      </c>
      <c r="Q1" s="40">
        <f>A1</f>
        <v/>
      </c>
      <c r="R1" s="41" t="n"/>
      <c r="S1" s="42" t="n"/>
      <c r="T1" s="40" t="inlineStr">
        <is>
          <t>ABSENCE RATE YTD</t>
        </is>
      </c>
      <c r="U1" s="43" t="n"/>
      <c r="V1" s="44" t="n"/>
      <c r="W1" s="45">
        <f>W16</f>
        <v/>
      </c>
      <c r="Y1" s="40">
        <f>A1</f>
        <v/>
      </c>
      <c r="Z1" s="41" t="n"/>
      <c r="AA1" s="42" t="n"/>
      <c r="AB1" s="40" t="inlineStr">
        <is>
          <t>TIME TO HIRE YTD (Days)</t>
        </is>
      </c>
      <c r="AC1" s="43" t="n"/>
      <c r="AD1" s="44" t="n"/>
      <c r="AE1" s="46">
        <f>AE16</f>
        <v/>
      </c>
    </row>
    <row r="2" ht="18.75" customHeight="1">
      <c r="A2" s="47" t="inlineStr">
        <is>
          <t>NON-CERTIFIED</t>
        </is>
      </c>
      <c r="B2" s="41" t="n"/>
      <c r="C2" s="42" t="n"/>
      <c r="D2" s="48" t="n"/>
      <c r="E2" s="49" t="n"/>
      <c r="F2" s="50" t="n"/>
      <c r="G2" s="51" t="n"/>
      <c r="I2" s="47" t="inlineStr">
        <is>
          <t>CERTIFIED</t>
        </is>
      </c>
      <c r="J2" s="41" t="n"/>
      <c r="K2" s="42" t="n"/>
      <c r="L2" s="48" t="n"/>
      <c r="M2" s="49" t="n"/>
      <c r="N2" s="50" t="n"/>
      <c r="O2" s="51" t="n"/>
      <c r="Q2" s="47" t="inlineStr">
        <is>
          <t>TOTAL ABSENCES</t>
        </is>
      </c>
      <c r="R2" s="41" t="n"/>
      <c r="S2" s="42" t="n"/>
      <c r="T2" s="48" t="n"/>
      <c r="U2" s="49" t="n"/>
      <c r="V2" s="50" t="n"/>
      <c r="W2" s="51" t="n"/>
      <c r="Y2" s="47" t="inlineStr">
        <is>
          <t>TIME TO HIRE BY MONTH</t>
        </is>
      </c>
      <c r="Z2" s="41" t="n"/>
      <c r="AA2" s="42" t="n"/>
      <c r="AB2" s="48" t="n"/>
      <c r="AC2" s="49" t="n"/>
      <c r="AD2" s="50" t="n"/>
      <c r="AE2" s="51" t="n"/>
    </row>
    <row r="3" ht="55" customHeight="1">
      <c r="A3" s="52" t="inlineStr">
        <is>
          <t>No.</t>
        </is>
      </c>
      <c r="B3" s="52" t="inlineStr">
        <is>
          <t>Month</t>
        </is>
      </c>
      <c r="C3" s="52" t="inlineStr">
        <is>
          <t>Total Employees</t>
        </is>
      </c>
      <c r="D3" s="52" t="inlineStr">
        <is>
          <t>Working Days</t>
        </is>
      </c>
      <c r="E3" s="52" t="inlineStr">
        <is>
          <t>Total Days Lost</t>
        </is>
      </c>
      <c r="F3" s="52" t="inlineStr">
        <is>
          <t>Total Working Days</t>
        </is>
      </c>
      <c r="G3" s="52" t="inlineStr">
        <is>
          <t>Monthly Absence Rate</t>
        </is>
      </c>
      <c r="I3" s="52" t="inlineStr">
        <is>
          <t>No.</t>
        </is>
      </c>
      <c r="J3" s="52" t="inlineStr">
        <is>
          <t>Month</t>
        </is>
      </c>
      <c r="K3" s="52" t="inlineStr">
        <is>
          <t>Total Employees</t>
        </is>
      </c>
      <c r="L3" s="52" t="inlineStr">
        <is>
          <t>Working Days</t>
        </is>
      </c>
      <c r="M3" s="52" t="inlineStr">
        <is>
          <t>Total Days Lost</t>
        </is>
      </c>
      <c r="N3" s="52" t="inlineStr">
        <is>
          <t>Total Working Days</t>
        </is>
      </c>
      <c r="O3" s="52" t="inlineStr">
        <is>
          <t>Monthly Absence Rate</t>
        </is>
      </c>
      <c r="Q3" s="52" t="inlineStr">
        <is>
          <t>No.</t>
        </is>
      </c>
      <c r="R3" s="52" t="inlineStr">
        <is>
          <t>Month</t>
        </is>
      </c>
      <c r="S3" s="52" t="inlineStr">
        <is>
          <t>Total Employees</t>
        </is>
      </c>
      <c r="T3" s="52" t="inlineStr">
        <is>
          <t>Working Days</t>
        </is>
      </c>
      <c r="U3" s="52" t="inlineStr">
        <is>
          <t>Total Days Lost</t>
        </is>
      </c>
      <c r="V3" s="52" t="inlineStr">
        <is>
          <t>Total Working Days</t>
        </is>
      </c>
      <c r="W3" s="52" t="inlineStr">
        <is>
          <t>Monthly Absence Rate</t>
        </is>
      </c>
      <c r="Y3" s="52" t="inlineStr">
        <is>
          <t>No.</t>
        </is>
      </c>
      <c r="Z3" s="52" t="inlineStr">
        <is>
          <t>Month</t>
        </is>
      </c>
      <c r="AA3" s="52" t="inlineStr">
        <is>
          <t>Permanent Posts Filled YTD</t>
        </is>
      </c>
      <c r="AB3" s="52" t="inlineStr">
        <is>
          <t>Permanent Time to Hire YTD (Days)</t>
        </is>
      </c>
      <c r="AC3" s="52" t="inlineStr">
        <is>
          <t>Temporary Posts Filled YTD</t>
        </is>
      </c>
      <c r="AD3" s="52" t="inlineStr">
        <is>
          <t>Temporary Time to Hire YTD (Days)</t>
        </is>
      </c>
      <c r="AE3" s="52" t="inlineStr">
        <is>
          <t>Total Time to Hire YTD (Days)</t>
        </is>
      </c>
    </row>
    <row r="4" ht="18.75" customHeight="1">
      <c r="A4" s="53" t="n">
        <v>1</v>
      </c>
      <c r="B4" s="54" t="n">
        <v>46296</v>
      </c>
      <c r="C4" s="53">
        <f>IF(OCT!$H$5="","",OCT!$H$5)</f>
        <v/>
      </c>
      <c r="D4" s="55" t="n"/>
      <c r="E4" s="56">
        <f>IF(OCT!$H$43="","",OCT!$H$43)</f>
        <v/>
      </c>
      <c r="F4" s="57">
        <f>IF(OR(C4="",D4=""),"",C4*D4)</f>
        <v/>
      </c>
      <c r="G4" s="58">
        <f>IF(OR(E4="",N(F4)=0),"",E4/F4)</f>
        <v/>
      </c>
      <c r="I4" s="53" t="n">
        <v>1</v>
      </c>
      <c r="J4" s="54" t="n">
        <v>46296</v>
      </c>
      <c r="K4" s="53">
        <f>C4</f>
        <v/>
      </c>
      <c r="L4" s="59">
        <f>IF(D4="","",D4)</f>
        <v/>
      </c>
      <c r="M4" s="56">
        <f>IF(OCT!$H$44="","",OCT!$H$44)</f>
        <v/>
      </c>
      <c r="N4" s="57">
        <f>IF(OR(K4="",L4=""),"",K4*L4)</f>
        <v/>
      </c>
      <c r="O4" s="58">
        <f>IF(OR(M4="",N(N4)=0),"",M4/N4)</f>
        <v/>
      </c>
      <c r="Q4" s="53" t="n">
        <v>1</v>
      </c>
      <c r="R4" s="54" t="n">
        <v>46296</v>
      </c>
      <c r="S4" s="53">
        <f>C4</f>
        <v/>
      </c>
      <c r="T4" s="59">
        <f>IF(D4="","",D4)</f>
        <v/>
      </c>
      <c r="U4" s="56">
        <f>IF(COUNT(E4,M4)=0,"",SUM(E4,M4))</f>
        <v/>
      </c>
      <c r="V4" s="57">
        <f>IF(OR(S4="",T4=""),"",S4*T4)</f>
        <v/>
      </c>
      <c r="W4" s="58">
        <f>IF(OR(U4="",N(V4)=0),"",U4/V4)</f>
        <v/>
      </c>
      <c r="Y4" s="53" t="n">
        <v>1</v>
      </c>
      <c r="Z4" s="54" t="n">
        <v>46296</v>
      </c>
      <c r="AA4" s="59">
        <f>IF($C4="","",SUMPRODUCT(($E$21:$E$70&gt;=$Z$4)*($E$21:$E$70&lt;=EOMONTH($Z4,0)),$G$21:$G$70))</f>
        <v/>
      </c>
      <c r="AB4" s="56">
        <f>IF(N(AA4)=0,"",SUMPRODUCT(($E$21:$E$70&gt;=$Z$4)*($E$21:$E$70&lt;=EOMONTH($Z4,0)),$F$21:$F$70,$G$21:$G$70)/AA4)</f>
        <v/>
      </c>
      <c r="AC4" s="59">
        <f>IF($C4="","",SUMPRODUCT(($L$21:$L$70&gt;=$Z$4)*($L$21:$L$70&lt;=EOMONTH($Z4,0)),$N$21:$N$70))</f>
        <v/>
      </c>
      <c r="AD4" s="56">
        <f>IF(N(AC4)=0,"",SUMPRODUCT(($L$21:$L$70&gt;=$Z$4)*($L$21:$L$70&lt;=EOMONTH($Z4,0)),$M$21:$M$70,$N$21:$N$70)/AC4)</f>
        <v/>
      </c>
      <c r="AE4" s="56">
        <f>IF(N(AA4)+N(AC4)=0,"",(N(AB4)*N(AA4)+N(AD4)*N(AC4))/(N(AA4)+N(AC4)))</f>
        <v/>
      </c>
    </row>
    <row r="5" ht="18.75" customHeight="1">
      <c r="A5" s="53" t="n">
        <v>2</v>
      </c>
      <c r="B5" s="54" t="n">
        <v>46327</v>
      </c>
      <c r="C5" s="53">
        <f>IF(NOV!$H$5="","",NOV!$H$5)</f>
        <v/>
      </c>
      <c r="D5" s="55" t="n"/>
      <c r="E5" s="56">
        <f>IF(NOV!$H$43="","",NOV!$H$43)</f>
        <v/>
      </c>
      <c r="F5" s="57">
        <f>IF(OR(C5="",D5=""),"",C5*D5)</f>
        <v/>
      </c>
      <c r="G5" s="58">
        <f>IF(OR(E5="",N(F5)=0),"",E5/F5)</f>
        <v/>
      </c>
      <c r="I5" s="53" t="n">
        <v>2</v>
      </c>
      <c r="J5" s="54" t="n">
        <v>46327</v>
      </c>
      <c r="K5" s="53">
        <f>C5</f>
        <v/>
      </c>
      <c r="L5" s="59">
        <f>IF(D5="","",D5)</f>
        <v/>
      </c>
      <c r="M5" s="56">
        <f>IF(NOV!$H$44="","",NOV!$H$44)</f>
        <v/>
      </c>
      <c r="N5" s="57">
        <f>IF(OR(K5="",L5=""),"",K5*L5)</f>
        <v/>
      </c>
      <c r="O5" s="58">
        <f>IF(OR(M5="",N(N5)=0),"",M5/N5)</f>
        <v/>
      </c>
      <c r="Q5" s="53" t="n">
        <v>2</v>
      </c>
      <c r="R5" s="54" t="n">
        <v>46327</v>
      </c>
      <c r="S5" s="53">
        <f>C5</f>
        <v/>
      </c>
      <c r="T5" s="59">
        <f>IF(D5="","",D5)</f>
        <v/>
      </c>
      <c r="U5" s="56">
        <f>IF(COUNT(E5,M5)=0,"",SUM(E5,M5))</f>
        <v/>
      </c>
      <c r="V5" s="57">
        <f>IF(OR(S5="",T5=""),"",S5*T5)</f>
        <v/>
      </c>
      <c r="W5" s="58">
        <f>IF(OR(U5="",N(V5)=0),"",U5/V5)</f>
        <v/>
      </c>
      <c r="Y5" s="53" t="n">
        <v>2</v>
      </c>
      <c r="Z5" s="54" t="n">
        <v>46327</v>
      </c>
      <c r="AA5" s="59">
        <f>IF($C5="","",SUMPRODUCT(($E$21:$E$70&gt;=$Z$4)*($E$21:$E$70&lt;=EOMONTH($Z5,0)),$G$21:$G$70))</f>
        <v/>
      </c>
      <c r="AB5" s="56">
        <f>IF(N(AA5)=0,"",SUMPRODUCT(($E$21:$E$70&gt;=$Z$4)*($E$21:$E$70&lt;=EOMONTH($Z5,0)),$F$21:$F$70,$G$21:$G$70)/AA5)</f>
        <v/>
      </c>
      <c r="AC5" s="59">
        <f>IF($C5="","",SUMPRODUCT(($L$21:$L$70&gt;=$Z$4)*($L$21:$L$70&lt;=EOMONTH($Z5,0)),$N$21:$N$70))</f>
        <v/>
      </c>
      <c r="AD5" s="56">
        <f>IF(N(AC5)=0,"",SUMPRODUCT(($L$21:$L$70&gt;=$Z$4)*($L$21:$L$70&lt;=EOMONTH($Z5,0)),$M$21:$M$70,$N$21:$N$70)/AC5)</f>
        <v/>
      </c>
      <c r="AE5" s="56">
        <f>IF(N(AA5)+N(AC5)=0,"",(N(AB5)*N(AA5)+N(AD5)*N(AC5))/(N(AA5)+N(AC5)))</f>
        <v/>
      </c>
    </row>
    <row r="6" ht="18.75" customHeight="1">
      <c r="A6" s="53" t="n">
        <v>3</v>
      </c>
      <c r="B6" s="54" t="n">
        <v>46357</v>
      </c>
      <c r="C6" s="53">
        <f>IF(DEC!$H$5="","",DEC!$H$5)</f>
        <v/>
      </c>
      <c r="D6" s="55" t="n"/>
      <c r="E6" s="56">
        <f>IF(DEC!$H$43="","",DEC!$H$43)</f>
        <v/>
      </c>
      <c r="F6" s="57">
        <f>IF(OR(C6="",D6=""),"",C6*D6)</f>
        <v/>
      </c>
      <c r="G6" s="58">
        <f>IF(OR(E6="",N(F6)=0),"",E6/F6)</f>
        <v/>
      </c>
      <c r="I6" s="53" t="n">
        <v>3</v>
      </c>
      <c r="J6" s="54" t="n">
        <v>46357</v>
      </c>
      <c r="K6" s="53">
        <f>C6</f>
        <v/>
      </c>
      <c r="L6" s="59">
        <f>IF(D6="","",D6)</f>
        <v/>
      </c>
      <c r="M6" s="56">
        <f>IF(DEC!$H$44="","",DEC!$H$44)</f>
        <v/>
      </c>
      <c r="N6" s="57">
        <f>IF(OR(K6="",L6=""),"",K6*L6)</f>
        <v/>
      </c>
      <c r="O6" s="58">
        <f>IF(OR(M6="",N(N6)=0),"",M6/N6)</f>
        <v/>
      </c>
      <c r="Q6" s="53" t="n">
        <v>3</v>
      </c>
      <c r="R6" s="54" t="n">
        <v>46357</v>
      </c>
      <c r="S6" s="53">
        <f>C6</f>
        <v/>
      </c>
      <c r="T6" s="59">
        <f>IF(D6="","",D6)</f>
        <v/>
      </c>
      <c r="U6" s="56">
        <f>IF(COUNT(E6,M6)=0,"",SUM(E6,M6))</f>
        <v/>
      </c>
      <c r="V6" s="57">
        <f>IF(OR(S6="",T6=""),"",S6*T6)</f>
        <v/>
      </c>
      <c r="W6" s="58">
        <f>IF(OR(U6="",N(V6)=0),"",U6/V6)</f>
        <v/>
      </c>
      <c r="Y6" s="53" t="n">
        <v>3</v>
      </c>
      <c r="Z6" s="54" t="n">
        <v>46357</v>
      </c>
      <c r="AA6" s="59">
        <f>IF($C6="","",SUMPRODUCT(($E$21:$E$70&gt;=$Z$4)*($E$21:$E$70&lt;=EOMONTH($Z6,0)),$G$21:$G$70))</f>
        <v/>
      </c>
      <c r="AB6" s="56">
        <f>IF(N(AA6)=0,"",SUMPRODUCT(($E$21:$E$70&gt;=$Z$4)*($E$21:$E$70&lt;=EOMONTH($Z6,0)),$F$21:$F$70,$G$21:$G$70)/AA6)</f>
        <v/>
      </c>
      <c r="AC6" s="59">
        <f>IF($C6="","",SUMPRODUCT(($L$21:$L$70&gt;=$Z$4)*($L$21:$L$70&lt;=EOMONTH($Z6,0)),$N$21:$N$70))</f>
        <v/>
      </c>
      <c r="AD6" s="56">
        <f>IF(N(AC6)=0,"",SUMPRODUCT(($L$21:$L$70&gt;=$Z$4)*($L$21:$L$70&lt;=EOMONTH($Z6,0)),$M$21:$M$70,$N$21:$N$70)/AC6)</f>
        <v/>
      </c>
      <c r="AE6" s="56">
        <f>IF(N(AA6)+N(AC6)=0,"",(N(AB6)*N(AA6)+N(AD6)*N(AC6))/(N(AA6)+N(AC6)))</f>
        <v/>
      </c>
    </row>
    <row r="7" ht="18.75" customHeight="1">
      <c r="A7" s="53" t="n">
        <v>4</v>
      </c>
      <c r="B7" s="54" t="n">
        <v>46388</v>
      </c>
      <c r="C7" s="53">
        <f>IF(JAN!$H$5="","",JAN!$H$5)</f>
        <v/>
      </c>
      <c r="D7" s="55" t="n"/>
      <c r="E7" s="56">
        <f>IF(JAN!$H$43="","",JAN!$H$43)</f>
        <v/>
      </c>
      <c r="F7" s="57">
        <f>IF(OR(C7="",D7=""),"",C7*D7)</f>
        <v/>
      </c>
      <c r="G7" s="58">
        <f>IF(OR(E7="",N(F7)=0),"",E7/F7)</f>
        <v/>
      </c>
      <c r="I7" s="53" t="n">
        <v>4</v>
      </c>
      <c r="J7" s="54" t="n">
        <v>46388</v>
      </c>
      <c r="K7" s="53">
        <f>C7</f>
        <v/>
      </c>
      <c r="L7" s="59">
        <f>IF(D7="","",D7)</f>
        <v/>
      </c>
      <c r="M7" s="56">
        <f>IF(JAN!$H$44="","",JAN!$H$44)</f>
        <v/>
      </c>
      <c r="N7" s="57">
        <f>IF(OR(K7="",L7=""),"",K7*L7)</f>
        <v/>
      </c>
      <c r="O7" s="58">
        <f>IF(OR(M7="",N(N7)=0),"",M7/N7)</f>
        <v/>
      </c>
      <c r="Q7" s="53" t="n">
        <v>4</v>
      </c>
      <c r="R7" s="54" t="n">
        <v>46388</v>
      </c>
      <c r="S7" s="53">
        <f>C7</f>
        <v/>
      </c>
      <c r="T7" s="59">
        <f>IF(D7="","",D7)</f>
        <v/>
      </c>
      <c r="U7" s="56">
        <f>IF(COUNT(E7,M7)=0,"",SUM(E7,M7))</f>
        <v/>
      </c>
      <c r="V7" s="57">
        <f>IF(OR(S7="",T7=""),"",S7*T7)</f>
        <v/>
      </c>
      <c r="W7" s="58">
        <f>IF(OR(U7="",N(V7)=0),"",U7/V7)</f>
        <v/>
      </c>
      <c r="Y7" s="53" t="n">
        <v>4</v>
      </c>
      <c r="Z7" s="54" t="n">
        <v>46388</v>
      </c>
      <c r="AA7" s="59">
        <f>IF($C7="","",SUMPRODUCT(($E$21:$E$70&gt;=$Z$4)*($E$21:$E$70&lt;=EOMONTH($Z7,0)),$G$21:$G$70))</f>
        <v/>
      </c>
      <c r="AB7" s="56">
        <f>IF(N(AA7)=0,"",SUMPRODUCT(($E$21:$E$70&gt;=$Z$4)*($E$21:$E$70&lt;=EOMONTH($Z7,0)),$F$21:$F$70,$G$21:$G$70)/AA7)</f>
        <v/>
      </c>
      <c r="AC7" s="59">
        <f>IF($C7="","",SUMPRODUCT(($L$21:$L$70&gt;=$Z$4)*($L$21:$L$70&lt;=EOMONTH($Z7,0)),$N$21:$N$70))</f>
        <v/>
      </c>
      <c r="AD7" s="56">
        <f>IF(N(AC7)=0,"",SUMPRODUCT(($L$21:$L$70&gt;=$Z$4)*($L$21:$L$70&lt;=EOMONTH($Z7,0)),$M$21:$M$70,$N$21:$N$70)/AC7)</f>
        <v/>
      </c>
      <c r="AE7" s="56">
        <f>IF(N(AA7)+N(AC7)=0,"",(N(AB7)*N(AA7)+N(AD7)*N(AC7))/(N(AA7)+N(AC7)))</f>
        <v/>
      </c>
    </row>
    <row r="8" ht="18.75" customHeight="1">
      <c r="A8" s="53" t="n">
        <v>5</v>
      </c>
      <c r="B8" s="54" t="n">
        <v>46419</v>
      </c>
      <c r="C8" s="53">
        <f>IF(FEB!$H$5="","",FEB!$H$5)</f>
        <v/>
      </c>
      <c r="D8" s="55" t="n"/>
      <c r="E8" s="56">
        <f>IF(FEB!$H$43="","",FEB!$H$43)</f>
        <v/>
      </c>
      <c r="F8" s="57">
        <f>IF(OR(C8="",D8=""),"",C8*D8)</f>
        <v/>
      </c>
      <c r="G8" s="58">
        <f>IF(OR(E8="",N(F8)=0),"",E8/F8)</f>
        <v/>
      </c>
      <c r="I8" s="53" t="n">
        <v>5</v>
      </c>
      <c r="J8" s="54" t="n">
        <v>46419</v>
      </c>
      <c r="K8" s="53">
        <f>C8</f>
        <v/>
      </c>
      <c r="L8" s="59">
        <f>IF(D8="","",D8)</f>
        <v/>
      </c>
      <c r="M8" s="56">
        <f>IF(FEB!$H$44="","",FEB!$H$44)</f>
        <v/>
      </c>
      <c r="N8" s="57">
        <f>IF(OR(K8="",L8=""),"",K8*L8)</f>
        <v/>
      </c>
      <c r="O8" s="58">
        <f>IF(OR(M8="",N(N8)=0),"",M8/N8)</f>
        <v/>
      </c>
      <c r="Q8" s="53" t="n">
        <v>5</v>
      </c>
      <c r="R8" s="54" t="n">
        <v>46419</v>
      </c>
      <c r="S8" s="53">
        <f>C8</f>
        <v/>
      </c>
      <c r="T8" s="59">
        <f>IF(D8="","",D8)</f>
        <v/>
      </c>
      <c r="U8" s="56">
        <f>IF(COUNT(E8,M8)=0,"",SUM(E8,M8))</f>
        <v/>
      </c>
      <c r="V8" s="57">
        <f>IF(OR(S8="",T8=""),"",S8*T8)</f>
        <v/>
      </c>
      <c r="W8" s="58">
        <f>IF(OR(U8="",N(V8)=0),"",U8/V8)</f>
        <v/>
      </c>
      <c r="Y8" s="53" t="n">
        <v>5</v>
      </c>
      <c r="Z8" s="54" t="n">
        <v>46419</v>
      </c>
      <c r="AA8" s="59">
        <f>IF($C8="","",SUMPRODUCT(($E$21:$E$70&gt;=$Z$4)*($E$21:$E$70&lt;=EOMONTH($Z8,0)),$G$21:$G$70))</f>
        <v/>
      </c>
      <c r="AB8" s="56">
        <f>IF(N(AA8)=0,"",SUMPRODUCT(($E$21:$E$70&gt;=$Z$4)*($E$21:$E$70&lt;=EOMONTH($Z8,0)),$F$21:$F$70,$G$21:$G$70)/AA8)</f>
        <v/>
      </c>
      <c r="AC8" s="59">
        <f>IF($C8="","",SUMPRODUCT(($L$21:$L$70&gt;=$Z$4)*($L$21:$L$70&lt;=EOMONTH($Z8,0)),$N$21:$N$70))</f>
        <v/>
      </c>
      <c r="AD8" s="56">
        <f>IF(N(AC8)=0,"",SUMPRODUCT(($L$21:$L$70&gt;=$Z$4)*($L$21:$L$70&lt;=EOMONTH($Z8,0)),$M$21:$M$70,$N$21:$N$70)/AC8)</f>
        <v/>
      </c>
      <c r="AE8" s="56">
        <f>IF(N(AA8)+N(AC8)=0,"",(N(AB8)*N(AA8)+N(AD8)*N(AC8))/(N(AA8)+N(AC8)))</f>
        <v/>
      </c>
    </row>
    <row r="9" ht="18.75" customHeight="1">
      <c r="A9" s="53" t="n">
        <v>6</v>
      </c>
      <c r="B9" s="54" t="n">
        <v>46447</v>
      </c>
      <c r="C9" s="53">
        <f>IF(MAR!$H$5="","",MAR!$H$5)</f>
        <v/>
      </c>
      <c r="D9" s="55" t="n"/>
      <c r="E9" s="56">
        <f>IF(MAR!$H$43="","",MAR!$H$43)</f>
        <v/>
      </c>
      <c r="F9" s="57">
        <f>IF(OR(C9="",D9=""),"",C9*D9)</f>
        <v/>
      </c>
      <c r="G9" s="58">
        <f>IF(OR(E9="",N(F9)=0),"",E9/F9)</f>
        <v/>
      </c>
      <c r="I9" s="53" t="n">
        <v>6</v>
      </c>
      <c r="J9" s="54" t="n">
        <v>46447</v>
      </c>
      <c r="K9" s="53">
        <f>C9</f>
        <v/>
      </c>
      <c r="L9" s="59">
        <f>IF(D9="","",D9)</f>
        <v/>
      </c>
      <c r="M9" s="56">
        <f>IF(MAR!$H$44="","",MAR!$H$44)</f>
        <v/>
      </c>
      <c r="N9" s="57">
        <f>IF(OR(K9="",L9=""),"",K9*L9)</f>
        <v/>
      </c>
      <c r="O9" s="58">
        <f>IF(OR(M9="",N(N9)=0),"",M9/N9)</f>
        <v/>
      </c>
      <c r="Q9" s="53" t="n">
        <v>6</v>
      </c>
      <c r="R9" s="54" t="n">
        <v>46447</v>
      </c>
      <c r="S9" s="53">
        <f>C9</f>
        <v/>
      </c>
      <c r="T9" s="59">
        <f>IF(D9="","",D9)</f>
        <v/>
      </c>
      <c r="U9" s="56">
        <f>IF(COUNT(E9,M9)=0,"",SUM(E9,M9))</f>
        <v/>
      </c>
      <c r="V9" s="57">
        <f>IF(OR(S9="",T9=""),"",S9*T9)</f>
        <v/>
      </c>
      <c r="W9" s="58">
        <f>IF(OR(U9="",N(V9)=0),"",U9/V9)</f>
        <v/>
      </c>
      <c r="Y9" s="53" t="n">
        <v>6</v>
      </c>
      <c r="Z9" s="54" t="n">
        <v>46447</v>
      </c>
      <c r="AA9" s="59">
        <f>IF($C9="","",SUMPRODUCT(($E$21:$E$70&gt;=$Z$4)*($E$21:$E$70&lt;=EOMONTH($Z9,0)),$G$21:$G$70))</f>
        <v/>
      </c>
      <c r="AB9" s="56">
        <f>IF(N(AA9)=0,"",SUMPRODUCT(($E$21:$E$70&gt;=$Z$4)*($E$21:$E$70&lt;=EOMONTH($Z9,0)),$F$21:$F$70,$G$21:$G$70)/AA9)</f>
        <v/>
      </c>
      <c r="AC9" s="59">
        <f>IF($C9="","",SUMPRODUCT(($L$21:$L$70&gt;=$Z$4)*($L$21:$L$70&lt;=EOMONTH($Z9,0)),$N$21:$N$70))</f>
        <v/>
      </c>
      <c r="AD9" s="56">
        <f>IF(N(AC9)=0,"",SUMPRODUCT(($L$21:$L$70&gt;=$Z$4)*($L$21:$L$70&lt;=EOMONTH($Z9,0)),$M$21:$M$70,$N$21:$N$70)/AC9)</f>
        <v/>
      </c>
      <c r="AE9" s="56">
        <f>IF(N(AA9)+N(AC9)=0,"",(N(AB9)*N(AA9)+N(AD9)*N(AC9))/(N(AA9)+N(AC9)))</f>
        <v/>
      </c>
    </row>
    <row r="10" ht="18.75" customHeight="1">
      <c r="A10" s="53" t="n">
        <v>7</v>
      </c>
      <c r="B10" s="54" t="n">
        <v>46478</v>
      </c>
      <c r="C10" s="53">
        <f>IF(APR!$H$5="","",APR!$H$5)</f>
        <v/>
      </c>
      <c r="D10" s="55" t="n"/>
      <c r="E10" s="56">
        <f>IF(APR!$H$43="","",APR!$H$43)</f>
        <v/>
      </c>
      <c r="F10" s="57">
        <f>IF(OR(C10="",D10=""),"",C10*D10)</f>
        <v/>
      </c>
      <c r="G10" s="58">
        <f>IF(OR(E10="",N(F10)=0),"",E10/F10)</f>
        <v/>
      </c>
      <c r="I10" s="53" t="n">
        <v>7</v>
      </c>
      <c r="J10" s="54" t="n">
        <v>46478</v>
      </c>
      <c r="K10" s="53">
        <f>C10</f>
        <v/>
      </c>
      <c r="L10" s="59">
        <f>IF(D10="","",D10)</f>
        <v/>
      </c>
      <c r="M10" s="56">
        <f>IF(APR!$H$44="","",APR!$H$44)</f>
        <v/>
      </c>
      <c r="N10" s="57">
        <f>IF(OR(K10="",L10=""),"",K10*L10)</f>
        <v/>
      </c>
      <c r="O10" s="58">
        <f>IF(OR(M10="",N(N10)=0),"",M10/N10)</f>
        <v/>
      </c>
      <c r="Q10" s="53" t="n">
        <v>7</v>
      </c>
      <c r="R10" s="54" t="n">
        <v>46478</v>
      </c>
      <c r="S10" s="53">
        <f>C10</f>
        <v/>
      </c>
      <c r="T10" s="59">
        <f>IF(D10="","",D10)</f>
        <v/>
      </c>
      <c r="U10" s="56">
        <f>IF(COUNT(E10,M10)=0,"",SUM(E10,M10))</f>
        <v/>
      </c>
      <c r="V10" s="57">
        <f>IF(OR(S10="",T10=""),"",S10*T10)</f>
        <v/>
      </c>
      <c r="W10" s="58">
        <f>IF(OR(U10="",N(V10)=0),"",U10/V10)</f>
        <v/>
      </c>
      <c r="Y10" s="53" t="n">
        <v>7</v>
      </c>
      <c r="Z10" s="54" t="n">
        <v>46478</v>
      </c>
      <c r="AA10" s="59">
        <f>IF($C10="","",SUMPRODUCT(($E$21:$E$70&gt;=$Z$4)*($E$21:$E$70&lt;=EOMONTH($Z10,0)),$G$21:$G$70))</f>
        <v/>
      </c>
      <c r="AB10" s="56">
        <f>IF(N(AA10)=0,"",SUMPRODUCT(($E$21:$E$70&gt;=$Z$4)*($E$21:$E$70&lt;=EOMONTH($Z10,0)),$F$21:$F$70,$G$21:$G$70)/AA10)</f>
        <v/>
      </c>
      <c r="AC10" s="59">
        <f>IF($C10="","",SUMPRODUCT(($L$21:$L$70&gt;=$Z$4)*($L$21:$L$70&lt;=EOMONTH($Z10,0)),$N$21:$N$70))</f>
        <v/>
      </c>
      <c r="AD10" s="56">
        <f>IF(N(AC10)=0,"",SUMPRODUCT(($L$21:$L$70&gt;=$Z$4)*($L$21:$L$70&lt;=EOMONTH($Z10,0)),$M$21:$M$70,$N$21:$N$70)/AC10)</f>
        <v/>
      </c>
      <c r="AE10" s="56">
        <f>IF(N(AA10)+N(AC10)=0,"",(N(AB10)*N(AA10)+N(AD10)*N(AC10))/(N(AA10)+N(AC10)))</f>
        <v/>
      </c>
    </row>
    <row r="11" ht="18.75" customHeight="1">
      <c r="A11" s="53" t="n">
        <v>8</v>
      </c>
      <c r="B11" s="54" t="n">
        <v>46508</v>
      </c>
      <c r="C11" s="53">
        <f>IF(MAY!$H$5="","",MAY!$H$5)</f>
        <v/>
      </c>
      <c r="D11" s="55" t="n"/>
      <c r="E11" s="56">
        <f>IF(MAY!$H$43="","",MAY!$H$43)</f>
        <v/>
      </c>
      <c r="F11" s="57">
        <f>IF(OR(C11="",D11=""),"",C11*D11)</f>
        <v/>
      </c>
      <c r="G11" s="58">
        <f>IF(OR(E11="",N(F11)=0),"",E11/F11)</f>
        <v/>
      </c>
      <c r="I11" s="53" t="n">
        <v>8</v>
      </c>
      <c r="J11" s="54" t="n">
        <v>46508</v>
      </c>
      <c r="K11" s="53">
        <f>C11</f>
        <v/>
      </c>
      <c r="L11" s="59">
        <f>IF(D11="","",D11)</f>
        <v/>
      </c>
      <c r="M11" s="56">
        <f>IF(MAY!$H$44="","",MAY!$H$44)</f>
        <v/>
      </c>
      <c r="N11" s="57">
        <f>IF(OR(K11="",L11=""),"",K11*L11)</f>
        <v/>
      </c>
      <c r="O11" s="58">
        <f>IF(OR(M11="",N(N11)=0),"",M11/N11)</f>
        <v/>
      </c>
      <c r="Q11" s="53" t="n">
        <v>8</v>
      </c>
      <c r="R11" s="54" t="n">
        <v>46508</v>
      </c>
      <c r="S11" s="53">
        <f>C11</f>
        <v/>
      </c>
      <c r="T11" s="59">
        <f>IF(D11="","",D11)</f>
        <v/>
      </c>
      <c r="U11" s="56">
        <f>IF(COUNT(E11,M11)=0,"",SUM(E11,M11))</f>
        <v/>
      </c>
      <c r="V11" s="57">
        <f>IF(OR(S11="",T11=""),"",S11*T11)</f>
        <v/>
      </c>
      <c r="W11" s="58">
        <f>IF(OR(U11="",N(V11)=0),"",U11/V11)</f>
        <v/>
      </c>
      <c r="Y11" s="53" t="n">
        <v>8</v>
      </c>
      <c r="Z11" s="54" t="n">
        <v>46508</v>
      </c>
      <c r="AA11" s="59">
        <f>IF($C11="","",SUMPRODUCT(($E$21:$E$70&gt;=$Z$4)*($E$21:$E$70&lt;=EOMONTH($Z11,0)),$G$21:$G$70))</f>
        <v/>
      </c>
      <c r="AB11" s="56">
        <f>IF(N(AA11)=0,"",SUMPRODUCT(($E$21:$E$70&gt;=$Z$4)*($E$21:$E$70&lt;=EOMONTH($Z11,0)),$F$21:$F$70,$G$21:$G$70)/AA11)</f>
        <v/>
      </c>
      <c r="AC11" s="59">
        <f>IF($C11="","",SUMPRODUCT(($L$21:$L$70&gt;=$Z$4)*($L$21:$L$70&lt;=EOMONTH($Z11,0)),$N$21:$N$70))</f>
        <v/>
      </c>
      <c r="AD11" s="56">
        <f>IF(N(AC11)=0,"",SUMPRODUCT(($L$21:$L$70&gt;=$Z$4)*($L$21:$L$70&lt;=EOMONTH($Z11,0)),$M$21:$M$70,$N$21:$N$70)/AC11)</f>
        <v/>
      </c>
      <c r="AE11" s="56">
        <f>IF(N(AA11)+N(AC11)=0,"",(N(AB11)*N(AA11)+N(AD11)*N(AC11))/(N(AA11)+N(AC11)))</f>
        <v/>
      </c>
    </row>
    <row r="12" ht="18.75" customHeight="1">
      <c r="A12" s="53" t="n">
        <v>9</v>
      </c>
      <c r="B12" s="54" t="n">
        <v>46539</v>
      </c>
      <c r="C12" s="53">
        <f>IF(JUN!$H$5="","",JUN!$H$5)</f>
        <v/>
      </c>
      <c r="D12" s="55" t="n"/>
      <c r="E12" s="56">
        <f>IF(JUN!$H$43="","",JUN!$H$43)</f>
        <v/>
      </c>
      <c r="F12" s="57">
        <f>IF(OR(C12="",D12=""),"",C12*D12)</f>
        <v/>
      </c>
      <c r="G12" s="58">
        <f>IF(OR(E12="",N(F12)=0),"",E12/F12)</f>
        <v/>
      </c>
      <c r="I12" s="53" t="n">
        <v>9</v>
      </c>
      <c r="J12" s="54" t="n">
        <v>46539</v>
      </c>
      <c r="K12" s="53">
        <f>C12</f>
        <v/>
      </c>
      <c r="L12" s="59">
        <f>IF(D12="","",D12)</f>
        <v/>
      </c>
      <c r="M12" s="56">
        <f>IF(JUN!$H$44="","",JUN!$H$44)</f>
        <v/>
      </c>
      <c r="N12" s="57">
        <f>IF(OR(K12="",L12=""),"",K12*L12)</f>
        <v/>
      </c>
      <c r="O12" s="58">
        <f>IF(OR(M12="",N(N12)=0),"",M12/N12)</f>
        <v/>
      </c>
      <c r="Q12" s="53" t="n">
        <v>9</v>
      </c>
      <c r="R12" s="54" t="n">
        <v>46539</v>
      </c>
      <c r="S12" s="53">
        <f>C12</f>
        <v/>
      </c>
      <c r="T12" s="59">
        <f>IF(D12="","",D12)</f>
        <v/>
      </c>
      <c r="U12" s="56">
        <f>IF(COUNT(E12,M12)=0,"",SUM(E12,M12))</f>
        <v/>
      </c>
      <c r="V12" s="57">
        <f>IF(OR(S12="",T12=""),"",S12*T12)</f>
        <v/>
      </c>
      <c r="W12" s="58">
        <f>IF(OR(U12="",N(V12)=0),"",U12/V12)</f>
        <v/>
      </c>
      <c r="Y12" s="53" t="n">
        <v>9</v>
      </c>
      <c r="Z12" s="54" t="n">
        <v>46539</v>
      </c>
      <c r="AA12" s="59">
        <f>IF($C12="","",SUMPRODUCT(($E$21:$E$70&gt;=$Z$4)*($E$21:$E$70&lt;=EOMONTH($Z12,0)),$G$21:$G$70))</f>
        <v/>
      </c>
      <c r="AB12" s="56">
        <f>IF(N(AA12)=0,"",SUMPRODUCT(($E$21:$E$70&gt;=$Z$4)*($E$21:$E$70&lt;=EOMONTH($Z12,0)),$F$21:$F$70,$G$21:$G$70)/AA12)</f>
        <v/>
      </c>
      <c r="AC12" s="59">
        <f>IF($C12="","",SUMPRODUCT(($L$21:$L$70&gt;=$Z$4)*($L$21:$L$70&lt;=EOMONTH($Z12,0)),$N$21:$N$70))</f>
        <v/>
      </c>
      <c r="AD12" s="56">
        <f>IF(N(AC12)=0,"",SUMPRODUCT(($L$21:$L$70&gt;=$Z$4)*($L$21:$L$70&lt;=EOMONTH($Z12,0)),$M$21:$M$70,$N$21:$N$70)/AC12)</f>
        <v/>
      </c>
      <c r="AE12" s="56">
        <f>IF(N(AA12)+N(AC12)=0,"",(N(AB12)*N(AA12)+N(AD12)*N(AC12))/(N(AA12)+N(AC12)))</f>
        <v/>
      </c>
    </row>
    <row r="13" ht="18.75" customHeight="1">
      <c r="A13" s="53" t="n">
        <v>10</v>
      </c>
      <c r="B13" s="54" t="n">
        <v>46569</v>
      </c>
      <c r="C13" s="53">
        <f>IF(JUL!$H$5="","",JUL!$H$5)</f>
        <v/>
      </c>
      <c r="D13" s="55" t="n"/>
      <c r="E13" s="56">
        <f>IF(JUL!$H$43="","",JUL!$H$43)</f>
        <v/>
      </c>
      <c r="F13" s="57">
        <f>IF(OR(C13="",D13=""),"",C13*D13)</f>
        <v/>
      </c>
      <c r="G13" s="58">
        <f>IF(OR(E13="",N(F13)=0),"",E13/F13)</f>
        <v/>
      </c>
      <c r="I13" s="53" t="n">
        <v>10</v>
      </c>
      <c r="J13" s="54" t="n">
        <v>46569</v>
      </c>
      <c r="K13" s="53">
        <f>C13</f>
        <v/>
      </c>
      <c r="L13" s="59">
        <f>IF(D13="","",D13)</f>
        <v/>
      </c>
      <c r="M13" s="56">
        <f>IF(JUL!$H$44="","",JUL!$H$44)</f>
        <v/>
      </c>
      <c r="N13" s="57">
        <f>IF(OR(K13="",L13=""),"",K13*L13)</f>
        <v/>
      </c>
      <c r="O13" s="58">
        <f>IF(OR(M13="",N(N13)=0),"",M13/N13)</f>
        <v/>
      </c>
      <c r="Q13" s="53" t="n">
        <v>10</v>
      </c>
      <c r="R13" s="54" t="n">
        <v>46569</v>
      </c>
      <c r="S13" s="53">
        <f>C13</f>
        <v/>
      </c>
      <c r="T13" s="59">
        <f>IF(D13="","",D13)</f>
        <v/>
      </c>
      <c r="U13" s="56">
        <f>IF(COUNT(E13,M13)=0,"",SUM(E13,M13))</f>
        <v/>
      </c>
      <c r="V13" s="57">
        <f>IF(OR(S13="",T13=""),"",S13*T13)</f>
        <v/>
      </c>
      <c r="W13" s="58">
        <f>IF(OR(U13="",N(V13)=0),"",U13/V13)</f>
        <v/>
      </c>
      <c r="Y13" s="53" t="n">
        <v>10</v>
      </c>
      <c r="Z13" s="54" t="n">
        <v>46569</v>
      </c>
      <c r="AA13" s="59">
        <f>IF($C13="","",SUMPRODUCT(($E$21:$E$70&gt;=$Z$4)*($E$21:$E$70&lt;=EOMONTH($Z13,0)),$G$21:$G$70))</f>
        <v/>
      </c>
      <c r="AB13" s="56">
        <f>IF(N(AA13)=0,"",SUMPRODUCT(($E$21:$E$70&gt;=$Z$4)*($E$21:$E$70&lt;=EOMONTH($Z13,0)),$F$21:$F$70,$G$21:$G$70)/AA13)</f>
        <v/>
      </c>
      <c r="AC13" s="59">
        <f>IF($C13="","",SUMPRODUCT(($L$21:$L$70&gt;=$Z$4)*($L$21:$L$70&lt;=EOMONTH($Z13,0)),$N$21:$N$70))</f>
        <v/>
      </c>
      <c r="AD13" s="56">
        <f>IF(N(AC13)=0,"",SUMPRODUCT(($L$21:$L$70&gt;=$Z$4)*($L$21:$L$70&lt;=EOMONTH($Z13,0)),$M$21:$M$70,$N$21:$N$70)/AC13)</f>
        <v/>
      </c>
      <c r="AE13" s="56">
        <f>IF(N(AA13)+N(AC13)=0,"",(N(AB13)*N(AA13)+N(AD13)*N(AC13))/(N(AA13)+N(AC13)))</f>
        <v/>
      </c>
    </row>
    <row r="14" ht="18.75" customHeight="1">
      <c r="A14" s="53" t="n">
        <v>11</v>
      </c>
      <c r="B14" s="54" t="n">
        <v>46600</v>
      </c>
      <c r="C14" s="53">
        <f>IF(AUG!$H$5="","",AUG!$H$5)</f>
        <v/>
      </c>
      <c r="D14" s="55" t="n"/>
      <c r="E14" s="56">
        <f>IF(AUG!$H$43="","",AUG!$H$43)</f>
        <v/>
      </c>
      <c r="F14" s="57">
        <f>IF(OR(C14="",D14=""),"",C14*D14)</f>
        <v/>
      </c>
      <c r="G14" s="58">
        <f>IF(OR(E14="",N(F14)=0),"",E14/F14)</f>
        <v/>
      </c>
      <c r="I14" s="53" t="n">
        <v>11</v>
      </c>
      <c r="J14" s="54" t="n">
        <v>46600</v>
      </c>
      <c r="K14" s="53">
        <f>C14</f>
        <v/>
      </c>
      <c r="L14" s="59">
        <f>IF(D14="","",D14)</f>
        <v/>
      </c>
      <c r="M14" s="56">
        <f>IF(AUG!$H$44="","",AUG!$H$44)</f>
        <v/>
      </c>
      <c r="N14" s="57">
        <f>IF(OR(K14="",L14=""),"",K14*L14)</f>
        <v/>
      </c>
      <c r="O14" s="58">
        <f>IF(OR(M14="",N(N14)=0),"",M14/N14)</f>
        <v/>
      </c>
      <c r="Q14" s="53" t="n">
        <v>11</v>
      </c>
      <c r="R14" s="54" t="n">
        <v>46600</v>
      </c>
      <c r="S14" s="53">
        <f>C14</f>
        <v/>
      </c>
      <c r="T14" s="59">
        <f>IF(D14="","",D14)</f>
        <v/>
      </c>
      <c r="U14" s="56">
        <f>IF(COUNT(E14,M14)=0,"",SUM(E14,M14))</f>
        <v/>
      </c>
      <c r="V14" s="57">
        <f>IF(OR(S14="",T14=""),"",S14*T14)</f>
        <v/>
      </c>
      <c r="W14" s="58">
        <f>IF(OR(U14="",N(V14)=0),"",U14/V14)</f>
        <v/>
      </c>
      <c r="Y14" s="53" t="n">
        <v>11</v>
      </c>
      <c r="Z14" s="54" t="n">
        <v>46600</v>
      </c>
      <c r="AA14" s="59">
        <f>IF($C14="","",SUMPRODUCT(($E$21:$E$70&gt;=$Z$4)*($E$21:$E$70&lt;=EOMONTH($Z14,0)),$G$21:$G$70))</f>
        <v/>
      </c>
      <c r="AB14" s="56">
        <f>IF(N(AA14)=0,"",SUMPRODUCT(($E$21:$E$70&gt;=$Z$4)*($E$21:$E$70&lt;=EOMONTH($Z14,0)),$F$21:$F$70,$G$21:$G$70)/AA14)</f>
        <v/>
      </c>
      <c r="AC14" s="59">
        <f>IF($C14="","",SUMPRODUCT(($L$21:$L$70&gt;=$Z$4)*($L$21:$L$70&lt;=EOMONTH($Z14,0)),$N$21:$N$70))</f>
        <v/>
      </c>
      <c r="AD14" s="56">
        <f>IF(N(AC14)=0,"",SUMPRODUCT(($L$21:$L$70&gt;=$Z$4)*($L$21:$L$70&lt;=EOMONTH($Z14,0)),$M$21:$M$70,$N$21:$N$70)/AC14)</f>
        <v/>
      </c>
      <c r="AE14" s="56">
        <f>IF(N(AA14)+N(AC14)=0,"",(N(AB14)*N(AA14)+N(AD14)*N(AC14))/(N(AA14)+N(AC14)))</f>
        <v/>
      </c>
    </row>
    <row r="15" ht="18.75" customHeight="1">
      <c r="A15" s="53" t="n">
        <v>12</v>
      </c>
      <c r="B15" s="54" t="n">
        <v>46631</v>
      </c>
      <c r="C15" s="53">
        <f>IF(SEP!$H$5="","",SEP!$H$5)</f>
        <v/>
      </c>
      <c r="D15" s="55" t="n"/>
      <c r="E15" s="56">
        <f>IF(SEP!$H$43="","",SEP!$H$43)</f>
        <v/>
      </c>
      <c r="F15" s="57">
        <f>IF(OR(C15="",D15=""),"",C15*D15)</f>
        <v/>
      </c>
      <c r="G15" s="58">
        <f>IF(OR(E15="",N(F15)=0),"",E15/F15)</f>
        <v/>
      </c>
      <c r="I15" s="53" t="n">
        <v>12</v>
      </c>
      <c r="J15" s="54" t="n">
        <v>46631</v>
      </c>
      <c r="K15" s="53">
        <f>C15</f>
        <v/>
      </c>
      <c r="L15" s="59">
        <f>IF(D15="","",D15)</f>
        <v/>
      </c>
      <c r="M15" s="56">
        <f>IF(SEP!$H$44="","",SEP!$H$44)</f>
        <v/>
      </c>
      <c r="N15" s="57">
        <f>IF(OR(K15="",L15=""),"",K15*L15)</f>
        <v/>
      </c>
      <c r="O15" s="58">
        <f>IF(OR(M15="",N(N15)=0),"",M15/N15)</f>
        <v/>
      </c>
      <c r="Q15" s="53" t="n">
        <v>12</v>
      </c>
      <c r="R15" s="54" t="n">
        <v>46631</v>
      </c>
      <c r="S15" s="53">
        <f>C15</f>
        <v/>
      </c>
      <c r="T15" s="59">
        <f>IF(D15="","",D15)</f>
        <v/>
      </c>
      <c r="U15" s="56">
        <f>IF(COUNT(E15,M15)=0,"",SUM(E15,M15))</f>
        <v/>
      </c>
      <c r="V15" s="57">
        <f>IF(OR(S15="",T15=""),"",S15*T15)</f>
        <v/>
      </c>
      <c r="W15" s="58">
        <f>IF(OR(U15="",N(V15)=0),"",U15/V15)</f>
        <v/>
      </c>
      <c r="Y15" s="53" t="n">
        <v>12</v>
      </c>
      <c r="Z15" s="54" t="n">
        <v>46631</v>
      </c>
      <c r="AA15" s="59">
        <f>IF($C15="","",SUMPRODUCT(($E$21:$E$70&gt;=$Z$4)*($E$21:$E$70&lt;=EOMONTH($Z15,0)),$G$21:$G$70))</f>
        <v/>
      </c>
      <c r="AB15" s="56">
        <f>IF(N(AA15)=0,"",SUMPRODUCT(($E$21:$E$70&gt;=$Z$4)*($E$21:$E$70&lt;=EOMONTH($Z15,0)),$F$21:$F$70,$G$21:$G$70)/AA15)</f>
        <v/>
      </c>
      <c r="AC15" s="59">
        <f>IF($C15="","",SUMPRODUCT(($L$21:$L$70&gt;=$Z$4)*($L$21:$L$70&lt;=EOMONTH($Z15,0)),$N$21:$N$70))</f>
        <v/>
      </c>
      <c r="AD15" s="56">
        <f>IF(N(AC15)=0,"",SUMPRODUCT(($L$21:$L$70&gt;=$Z$4)*($L$21:$L$70&lt;=EOMONTH($Z15,0)),$M$21:$M$70,$N$21:$N$70)/AC15)</f>
        <v/>
      </c>
      <c r="AE15" s="56">
        <f>IF(N(AA15)+N(AC15)=0,"",(N(AB15)*N(AA15)+N(AD15)*N(AC15))/(N(AA15)+N(AC15)))</f>
        <v/>
      </c>
    </row>
    <row r="16" ht="18.75" customHeight="1">
      <c r="A16" s="60" t="n"/>
      <c r="B16" s="60" t="n"/>
      <c r="C16" s="60" t="n"/>
      <c r="D16" s="61" t="inlineStr">
        <is>
          <t>Total YTD</t>
        </is>
      </c>
      <c r="E16" s="62">
        <f>IF(COUNT(E4:E15)=0,"",SUM(E4:E15))</f>
        <v/>
      </c>
      <c r="F16" s="63">
        <f>SUMPRODUCT(--ISNUMBER(E4:E15),F4:F15)</f>
        <v/>
      </c>
      <c r="G16" s="64">
        <f>IF(COUNT(E4:E15)=0,"",IFERROR(E16/F16,""))</f>
        <v/>
      </c>
      <c r="I16" s="60" t="n"/>
      <c r="J16" s="60" t="n"/>
      <c r="K16" s="60" t="n"/>
      <c r="L16" s="61" t="inlineStr">
        <is>
          <t>Total YTD</t>
        </is>
      </c>
      <c r="M16" s="62">
        <f>IF(COUNT(M4:M15)=0,"",SUM(M4:M15))</f>
        <v/>
      </c>
      <c r="N16" s="63">
        <f>SUMPRODUCT(--ISNUMBER(M4:M15),N4:N15)</f>
        <v/>
      </c>
      <c r="O16" s="64">
        <f>IF(COUNT(M4:M15)=0,"",IFERROR(M16/N16,""))</f>
        <v/>
      </c>
      <c r="Q16" s="60" t="n"/>
      <c r="R16" s="60" t="n"/>
      <c r="S16" s="60" t="n"/>
      <c r="T16" s="61" t="inlineStr">
        <is>
          <t>Total YTD</t>
        </is>
      </c>
      <c r="U16" s="62">
        <f>IF(COUNT(U4:U15)=0,"",SUM(U4:U15))</f>
        <v/>
      </c>
      <c r="V16" s="63">
        <f>SUMPRODUCT(--ISNUMBER(U4:U15),V4:V15)</f>
        <v/>
      </c>
      <c r="W16" s="64">
        <f>IF(COUNT(U4:U15)=0,"",IFERROR(U16/V16,""))</f>
        <v/>
      </c>
      <c r="Y16" s="60" t="n"/>
      <c r="Z16" s="61" t="inlineStr">
        <is>
          <t>FY2027 YTD</t>
        </is>
      </c>
      <c r="AA16" s="65">
        <f>SUMPRODUCT(($E$21:$E$70&gt;=$Z$4)*($E$21:$E$70&lt;=EOMONTH($Z$15,0)),$G$21:$G$70)</f>
        <v/>
      </c>
      <c r="AB16" s="62">
        <f>IF(N(AA16)=0,"",SUMPRODUCT(($E$21:$E$70&gt;=$Z$4)*($E$21:$E$70&lt;=EOMONTH($Z$15,0)),$F$21:$F$70,$G$21:$G$70)/AA16)</f>
        <v/>
      </c>
      <c r="AC16" s="65">
        <f>SUMPRODUCT(($L$21:$L$70&gt;=$Z$4)*($L$21:$L$70&lt;=EOMONTH($Z$15,0)),$N$21:$N$70)</f>
        <v/>
      </c>
      <c r="AD16" s="62">
        <f>IF(N(AC16)=0,"",SUMPRODUCT(($L$21:$L$70&gt;=$Z$4)*($L$21:$L$70&lt;=EOMONTH($Z$15,0)),$M$21:$M$70,$N$21:$N$70)/AC16)</f>
        <v/>
      </c>
      <c r="AE16" s="62">
        <f>IF(N(AA16)+N(AC16)=0,"",(N(AB16)*N(AA16)+N(AD16)*N(AC16))/(N(AA16)+N(AC16)))</f>
        <v/>
      </c>
    </row>
    <row r="17">
      <c r="Y17" s="66" t="inlineStr">
        <is>
          <t>Only contracts signed within FY2027 (Oct-2026 to the month shown) are counted; weighted by posts filled.</t>
        </is>
      </c>
    </row>
    <row r="18" ht="24.75" customHeight="1">
      <c r="A18" s="40">
        <f>A1</f>
        <v/>
      </c>
      <c r="B18" s="41" t="n"/>
      <c r="C18" s="42" t="n"/>
      <c r="D18" s="40" t="inlineStr">
        <is>
          <t>TIME TO HIRE YTD (Days)</t>
        </is>
      </c>
      <c r="E18" s="44" t="n"/>
      <c r="F18" s="46">
        <f>AB16</f>
        <v/>
      </c>
      <c r="G18" s="44" t="n"/>
      <c r="H18" s="40">
        <f>A1</f>
        <v/>
      </c>
      <c r="I18" s="41" t="n"/>
      <c r="J18" s="42" t="n"/>
      <c r="K18" s="40" t="inlineStr">
        <is>
          <t>TIME TO HIRE YTD (Days)</t>
        </is>
      </c>
      <c r="L18" s="44" t="n"/>
      <c r="M18" s="46">
        <f>AD16</f>
        <v/>
      </c>
      <c r="N18" s="44" t="n"/>
    </row>
    <row r="19" ht="21.75" customHeight="1">
      <c r="A19" s="47" t="inlineStr">
        <is>
          <t>PERMANENT EE</t>
        </is>
      </c>
      <c r="B19" s="41" t="n"/>
      <c r="C19" s="42" t="n"/>
      <c r="D19" s="48" t="n"/>
      <c r="E19" s="50" t="n"/>
      <c r="F19" s="48" t="n"/>
      <c r="G19" s="50" t="n"/>
      <c r="H19" s="47" t="inlineStr">
        <is>
          <t>TEMPORARY EE</t>
        </is>
      </c>
      <c r="I19" s="41" t="n"/>
      <c r="J19" s="42" t="n"/>
      <c r="K19" s="48" t="n"/>
      <c r="L19" s="50" t="n"/>
      <c r="M19" s="48" t="n"/>
      <c r="N19" s="50" t="n"/>
    </row>
    <row r="20" ht="60" customHeight="1">
      <c r="A20" s="52" t="inlineStr">
        <is>
          <t>No.</t>
        </is>
      </c>
      <c r="B20" s="52" t="inlineStr">
        <is>
          <t>Job Title</t>
        </is>
      </c>
      <c r="C20" s="52" t="inlineStr">
        <is>
          <t>No. of Posts</t>
        </is>
      </c>
      <c r="D20" s="52" t="inlineStr">
        <is>
          <t>Job Opening Date (mm/dd/yyyy)</t>
        </is>
      </c>
      <c r="E20" s="52" t="inlineStr">
        <is>
          <t>Contract Signed Date (mm/dd/yyyy)</t>
        </is>
      </c>
      <c r="F20" s="52" t="inlineStr">
        <is>
          <t>Time to Hire by Position (Days)</t>
        </is>
      </c>
      <c r="G20" s="52" t="inlineStr">
        <is>
          <t>Posts Filled (auto)</t>
        </is>
      </c>
      <c r="H20" s="52" t="inlineStr">
        <is>
          <t>No.</t>
        </is>
      </c>
      <c r="I20" s="52" t="inlineStr">
        <is>
          <t>Job Title</t>
        </is>
      </c>
      <c r="J20" s="52" t="inlineStr">
        <is>
          <t>No. of Posts</t>
        </is>
      </c>
      <c r="K20" s="52" t="inlineStr">
        <is>
          <t>Job Opening Date (mm/dd/yyyy)</t>
        </is>
      </c>
      <c r="L20" s="52" t="inlineStr">
        <is>
          <t>Contract Signed Date (mm/dd/yyyy)</t>
        </is>
      </c>
      <c r="M20" s="52" t="inlineStr">
        <is>
          <t>Time to Hire by Position (Days)</t>
        </is>
      </c>
      <c r="N20" s="52" t="inlineStr">
        <is>
          <t>Posts Filled (auto)</t>
        </is>
      </c>
    </row>
    <row r="21">
      <c r="A21" s="53" t="n">
        <v>1</v>
      </c>
      <c r="B21" s="67" t="n"/>
      <c r="C21" s="55" t="n"/>
      <c r="D21" s="68" t="n"/>
      <c r="E21" s="68" t="n"/>
      <c r="F21" s="59">
        <f>IF(OR(E21="",D21=""),"",MAX(E21-D21,0))</f>
        <v/>
      </c>
      <c r="G21" s="59">
        <f>IF(F21="","",IF(N(C21)=0,1,C21))</f>
        <v/>
      </c>
      <c r="H21" s="53" t="n">
        <v>1</v>
      </c>
      <c r="I21" s="67" t="n"/>
      <c r="J21" s="55" t="n"/>
      <c r="K21" s="68" t="n"/>
      <c r="L21" s="68" t="n"/>
      <c r="M21" s="59">
        <f>IF(OR(L21="",K21=""),"",MAX(L21-K21,0))</f>
        <v/>
      </c>
      <c r="N21" s="59">
        <f>IF(M21="","",IF(N(J21)=0,1,J21))</f>
        <v/>
      </c>
    </row>
    <row r="22">
      <c r="A22" s="53" t="n">
        <v>2</v>
      </c>
      <c r="B22" s="67" t="n"/>
      <c r="C22" s="55" t="n"/>
      <c r="D22" s="68" t="n"/>
      <c r="E22" s="68" t="n"/>
      <c r="F22" s="59">
        <f>IF(OR(E22="",D22=""),"",MAX(E22-D22,0))</f>
        <v/>
      </c>
      <c r="G22" s="59">
        <f>IF(F22="","",IF(N(C22)=0,1,C22))</f>
        <v/>
      </c>
      <c r="H22" s="53" t="n">
        <v>2</v>
      </c>
      <c r="I22" s="67" t="n"/>
      <c r="J22" s="55" t="n"/>
      <c r="K22" s="68" t="n"/>
      <c r="L22" s="68" t="n"/>
      <c r="M22" s="59">
        <f>IF(OR(L22="",K22=""),"",MAX(L22-K22,0))</f>
        <v/>
      </c>
      <c r="N22" s="59">
        <f>IF(M22="","",IF(N(J22)=0,1,J22))</f>
        <v/>
      </c>
    </row>
    <row r="23">
      <c r="A23" s="53" t="n">
        <v>3</v>
      </c>
      <c r="B23" s="67" t="n"/>
      <c r="C23" s="55" t="n"/>
      <c r="D23" s="68" t="n"/>
      <c r="E23" s="68" t="n"/>
      <c r="F23" s="59">
        <f>IF(OR(E23="",D23=""),"",MAX(E23-D23,0))</f>
        <v/>
      </c>
      <c r="G23" s="59">
        <f>IF(F23="","",IF(N(C23)=0,1,C23))</f>
        <v/>
      </c>
      <c r="H23" s="53" t="n">
        <v>3</v>
      </c>
      <c r="I23" s="67" t="n"/>
      <c r="J23" s="55" t="n"/>
      <c r="K23" s="68" t="n"/>
      <c r="L23" s="68" t="n"/>
      <c r="M23" s="59">
        <f>IF(OR(L23="",K23=""),"",MAX(L23-K23,0))</f>
        <v/>
      </c>
      <c r="N23" s="59">
        <f>IF(M23="","",IF(N(J23)=0,1,J23))</f>
        <v/>
      </c>
    </row>
    <row r="24">
      <c r="A24" s="53" t="n">
        <v>4</v>
      </c>
      <c r="B24" s="67" t="n"/>
      <c r="C24" s="55" t="n"/>
      <c r="D24" s="68" t="n"/>
      <c r="E24" s="68" t="n"/>
      <c r="F24" s="59">
        <f>IF(OR(E24="",D24=""),"",MAX(E24-D24,0))</f>
        <v/>
      </c>
      <c r="G24" s="59">
        <f>IF(F24="","",IF(N(C24)=0,1,C24))</f>
        <v/>
      </c>
      <c r="H24" s="53" t="n">
        <v>4</v>
      </c>
      <c r="I24" s="67" t="n"/>
      <c r="J24" s="55" t="n"/>
      <c r="K24" s="68" t="n"/>
      <c r="L24" s="68" t="n"/>
      <c r="M24" s="59">
        <f>IF(OR(L24="",K24=""),"",MAX(L24-K24,0))</f>
        <v/>
      </c>
      <c r="N24" s="59">
        <f>IF(M24="","",IF(N(J24)=0,1,J24))</f>
        <v/>
      </c>
    </row>
    <row r="25">
      <c r="A25" s="53" t="n">
        <v>5</v>
      </c>
      <c r="B25" s="67" t="n"/>
      <c r="C25" s="55" t="n"/>
      <c r="D25" s="68" t="n"/>
      <c r="E25" s="68" t="n"/>
      <c r="F25" s="59">
        <f>IF(OR(E25="",D25=""),"",MAX(E25-D25,0))</f>
        <v/>
      </c>
      <c r="G25" s="59">
        <f>IF(F25="","",IF(N(C25)=0,1,C25))</f>
        <v/>
      </c>
      <c r="H25" s="53" t="n">
        <v>5</v>
      </c>
      <c r="I25" s="67" t="n"/>
      <c r="J25" s="55" t="n"/>
      <c r="K25" s="68" t="n"/>
      <c r="L25" s="68" t="n"/>
      <c r="M25" s="59">
        <f>IF(OR(L25="",K25=""),"",MAX(L25-K25,0))</f>
        <v/>
      </c>
      <c r="N25" s="59">
        <f>IF(M25="","",IF(N(J25)=0,1,J25))</f>
        <v/>
      </c>
    </row>
    <row r="26">
      <c r="A26" s="53" t="n">
        <v>6</v>
      </c>
      <c r="B26" s="67" t="n"/>
      <c r="C26" s="55" t="n"/>
      <c r="D26" s="68" t="n"/>
      <c r="E26" s="68" t="n"/>
      <c r="F26" s="59">
        <f>IF(OR(E26="",D26=""),"",MAX(E26-D26,0))</f>
        <v/>
      </c>
      <c r="G26" s="59">
        <f>IF(F26="","",IF(N(C26)=0,1,C26))</f>
        <v/>
      </c>
      <c r="H26" s="53" t="n">
        <v>6</v>
      </c>
      <c r="I26" s="67" t="n"/>
      <c r="J26" s="55" t="n"/>
      <c r="K26" s="68" t="n"/>
      <c r="L26" s="68" t="n"/>
      <c r="M26" s="59">
        <f>IF(OR(L26="",K26=""),"",MAX(L26-K26,0))</f>
        <v/>
      </c>
      <c r="N26" s="59">
        <f>IF(M26="","",IF(N(J26)=0,1,J26))</f>
        <v/>
      </c>
    </row>
    <row r="27">
      <c r="A27" s="53" t="n">
        <v>7</v>
      </c>
      <c r="B27" s="67" t="n"/>
      <c r="C27" s="55" t="n"/>
      <c r="D27" s="68" t="n"/>
      <c r="E27" s="68" t="n"/>
      <c r="F27" s="59">
        <f>IF(OR(E27="",D27=""),"",MAX(E27-D27,0))</f>
        <v/>
      </c>
      <c r="G27" s="59">
        <f>IF(F27="","",IF(N(C27)=0,1,C27))</f>
        <v/>
      </c>
      <c r="H27" s="53" t="n">
        <v>7</v>
      </c>
      <c r="I27" s="67" t="n"/>
      <c r="J27" s="55" t="n"/>
      <c r="K27" s="68" t="n"/>
      <c r="L27" s="68" t="n"/>
      <c r="M27" s="59">
        <f>IF(OR(L27="",K27=""),"",MAX(L27-K27,0))</f>
        <v/>
      </c>
      <c r="N27" s="59">
        <f>IF(M27="","",IF(N(J27)=0,1,J27))</f>
        <v/>
      </c>
    </row>
    <row r="28">
      <c r="A28" s="53" t="n">
        <v>8</v>
      </c>
      <c r="B28" s="67" t="n"/>
      <c r="C28" s="55" t="n"/>
      <c r="D28" s="68" t="n"/>
      <c r="E28" s="68" t="n"/>
      <c r="F28" s="59">
        <f>IF(OR(E28="",D28=""),"",MAX(E28-D28,0))</f>
        <v/>
      </c>
      <c r="G28" s="59">
        <f>IF(F28="","",IF(N(C28)=0,1,C28))</f>
        <v/>
      </c>
      <c r="H28" s="53" t="n">
        <v>8</v>
      </c>
      <c r="I28" s="67" t="n"/>
      <c r="J28" s="55" t="n"/>
      <c r="K28" s="68" t="n"/>
      <c r="L28" s="68" t="n"/>
      <c r="M28" s="59">
        <f>IF(OR(L28="",K28=""),"",MAX(L28-K28,0))</f>
        <v/>
      </c>
      <c r="N28" s="59">
        <f>IF(M28="","",IF(N(J28)=0,1,J28))</f>
        <v/>
      </c>
    </row>
    <row r="29">
      <c r="A29" s="53" t="n">
        <v>9</v>
      </c>
      <c r="B29" s="67" t="n"/>
      <c r="C29" s="55" t="n"/>
      <c r="D29" s="68" t="n"/>
      <c r="E29" s="68" t="n"/>
      <c r="F29" s="59">
        <f>IF(OR(E29="",D29=""),"",MAX(E29-D29,0))</f>
        <v/>
      </c>
      <c r="G29" s="59">
        <f>IF(F29="","",IF(N(C29)=0,1,C29))</f>
        <v/>
      </c>
      <c r="H29" s="53" t="n">
        <v>9</v>
      </c>
      <c r="I29" s="67" t="n"/>
      <c r="J29" s="55" t="n"/>
      <c r="K29" s="68" t="n"/>
      <c r="L29" s="68" t="n"/>
      <c r="M29" s="59">
        <f>IF(OR(L29="",K29=""),"",MAX(L29-K29,0))</f>
        <v/>
      </c>
      <c r="N29" s="59">
        <f>IF(M29="","",IF(N(J29)=0,1,J29))</f>
        <v/>
      </c>
    </row>
    <row r="30">
      <c r="A30" s="53" t="n">
        <v>10</v>
      </c>
      <c r="B30" s="67" t="n"/>
      <c r="C30" s="55" t="n"/>
      <c r="D30" s="68" t="n"/>
      <c r="E30" s="68" t="n"/>
      <c r="F30" s="59">
        <f>IF(OR(E30="",D30=""),"",MAX(E30-D30,0))</f>
        <v/>
      </c>
      <c r="G30" s="59">
        <f>IF(F30="","",IF(N(C30)=0,1,C30))</f>
        <v/>
      </c>
      <c r="H30" s="53" t="n">
        <v>10</v>
      </c>
      <c r="I30" s="67" t="n"/>
      <c r="J30" s="55" t="n"/>
      <c r="K30" s="68" t="n"/>
      <c r="L30" s="68" t="n"/>
      <c r="M30" s="59">
        <f>IF(OR(L30="",K30=""),"",MAX(L30-K30,0))</f>
        <v/>
      </c>
      <c r="N30" s="59">
        <f>IF(M30="","",IF(N(J30)=0,1,J30))</f>
        <v/>
      </c>
    </row>
    <row r="31">
      <c r="A31" s="53" t="n">
        <v>11</v>
      </c>
      <c r="B31" s="67" t="n"/>
      <c r="C31" s="55" t="n"/>
      <c r="D31" s="68" t="n"/>
      <c r="E31" s="68" t="n"/>
      <c r="F31" s="59">
        <f>IF(OR(E31="",D31=""),"",MAX(E31-D31,0))</f>
        <v/>
      </c>
      <c r="G31" s="59">
        <f>IF(F31="","",IF(N(C31)=0,1,C31))</f>
        <v/>
      </c>
      <c r="H31" s="53" t="n">
        <v>11</v>
      </c>
      <c r="I31" s="67" t="n"/>
      <c r="J31" s="55" t="n"/>
      <c r="K31" s="68" t="n"/>
      <c r="L31" s="68" t="n"/>
      <c r="M31" s="59">
        <f>IF(OR(L31="",K31=""),"",MAX(L31-K31,0))</f>
        <v/>
      </c>
      <c r="N31" s="59">
        <f>IF(M31="","",IF(N(J31)=0,1,J31))</f>
        <v/>
      </c>
    </row>
    <row r="32">
      <c r="A32" s="53" t="n">
        <v>12</v>
      </c>
      <c r="B32" s="67" t="n"/>
      <c r="C32" s="55" t="n"/>
      <c r="D32" s="68" t="n"/>
      <c r="E32" s="68" t="n"/>
      <c r="F32" s="59">
        <f>IF(OR(E32="",D32=""),"",MAX(E32-D32,0))</f>
        <v/>
      </c>
      <c r="G32" s="59">
        <f>IF(F32="","",IF(N(C32)=0,1,C32))</f>
        <v/>
      </c>
      <c r="H32" s="53" t="n">
        <v>12</v>
      </c>
      <c r="I32" s="67" t="n"/>
      <c r="J32" s="55" t="n"/>
      <c r="K32" s="68" t="n"/>
      <c r="L32" s="68" t="n"/>
      <c r="M32" s="59">
        <f>IF(OR(L32="",K32=""),"",MAX(L32-K32,0))</f>
        <v/>
      </c>
      <c r="N32" s="59">
        <f>IF(M32="","",IF(N(J32)=0,1,J32))</f>
        <v/>
      </c>
    </row>
    <row r="33">
      <c r="A33" s="53" t="n">
        <v>13</v>
      </c>
      <c r="B33" s="67" t="n"/>
      <c r="C33" s="55" t="n"/>
      <c r="D33" s="68" t="n"/>
      <c r="E33" s="68" t="n"/>
      <c r="F33" s="59">
        <f>IF(OR(E33="",D33=""),"",MAX(E33-D33,0))</f>
        <v/>
      </c>
      <c r="G33" s="59">
        <f>IF(F33="","",IF(N(C33)=0,1,C33))</f>
        <v/>
      </c>
      <c r="H33" s="53" t="n">
        <v>13</v>
      </c>
      <c r="I33" s="67" t="n"/>
      <c r="J33" s="55" t="n"/>
      <c r="K33" s="68" t="n"/>
      <c r="L33" s="68" t="n"/>
      <c r="M33" s="59">
        <f>IF(OR(L33="",K33=""),"",MAX(L33-K33,0))</f>
        <v/>
      </c>
      <c r="N33" s="59">
        <f>IF(M33="","",IF(N(J33)=0,1,J33))</f>
        <v/>
      </c>
    </row>
    <row r="34">
      <c r="A34" s="53" t="n">
        <v>14</v>
      </c>
      <c r="B34" s="67" t="n"/>
      <c r="C34" s="55" t="n"/>
      <c r="D34" s="68" t="n"/>
      <c r="E34" s="68" t="n"/>
      <c r="F34" s="59">
        <f>IF(OR(E34="",D34=""),"",MAX(E34-D34,0))</f>
        <v/>
      </c>
      <c r="G34" s="59">
        <f>IF(F34="","",IF(N(C34)=0,1,C34))</f>
        <v/>
      </c>
      <c r="H34" s="53" t="n">
        <v>14</v>
      </c>
      <c r="I34" s="67" t="n"/>
      <c r="J34" s="55" t="n"/>
      <c r="K34" s="68" t="n"/>
      <c r="L34" s="68" t="n"/>
      <c r="M34" s="59">
        <f>IF(OR(L34="",K34=""),"",MAX(L34-K34,0))</f>
        <v/>
      </c>
      <c r="N34" s="59">
        <f>IF(M34="","",IF(N(J34)=0,1,J34))</f>
        <v/>
      </c>
    </row>
    <row r="35">
      <c r="A35" s="53" t="n">
        <v>15</v>
      </c>
      <c r="B35" s="67" t="n"/>
      <c r="C35" s="55" t="n"/>
      <c r="D35" s="68" t="n"/>
      <c r="E35" s="68" t="n"/>
      <c r="F35" s="59">
        <f>IF(OR(E35="",D35=""),"",MAX(E35-D35,0))</f>
        <v/>
      </c>
      <c r="G35" s="59">
        <f>IF(F35="","",IF(N(C35)=0,1,C35))</f>
        <v/>
      </c>
      <c r="H35" s="53" t="n">
        <v>15</v>
      </c>
      <c r="I35" s="67" t="n"/>
      <c r="J35" s="55" t="n"/>
      <c r="K35" s="68" t="n"/>
      <c r="L35" s="68" t="n"/>
      <c r="M35" s="59">
        <f>IF(OR(L35="",K35=""),"",MAX(L35-K35,0))</f>
        <v/>
      </c>
      <c r="N35" s="59">
        <f>IF(M35="","",IF(N(J35)=0,1,J35))</f>
        <v/>
      </c>
    </row>
    <row r="36">
      <c r="A36" s="53" t="n">
        <v>16</v>
      </c>
      <c r="B36" s="67" t="n"/>
      <c r="C36" s="55" t="n"/>
      <c r="D36" s="68" t="n"/>
      <c r="E36" s="68" t="n"/>
      <c r="F36" s="59">
        <f>IF(OR(E36="",D36=""),"",MAX(E36-D36,0))</f>
        <v/>
      </c>
      <c r="G36" s="59">
        <f>IF(F36="","",IF(N(C36)=0,1,C36))</f>
        <v/>
      </c>
      <c r="H36" s="53" t="n">
        <v>16</v>
      </c>
      <c r="I36" s="67" t="n"/>
      <c r="J36" s="55" t="n"/>
      <c r="K36" s="68" t="n"/>
      <c r="L36" s="68" t="n"/>
      <c r="M36" s="59">
        <f>IF(OR(L36="",K36=""),"",MAX(L36-K36,0))</f>
        <v/>
      </c>
      <c r="N36" s="59">
        <f>IF(M36="","",IF(N(J36)=0,1,J36))</f>
        <v/>
      </c>
    </row>
    <row r="37">
      <c r="A37" s="53" t="n">
        <v>17</v>
      </c>
      <c r="B37" s="67" t="n"/>
      <c r="C37" s="55" t="n"/>
      <c r="D37" s="68" t="n"/>
      <c r="E37" s="68" t="n"/>
      <c r="F37" s="59">
        <f>IF(OR(E37="",D37=""),"",MAX(E37-D37,0))</f>
        <v/>
      </c>
      <c r="G37" s="59">
        <f>IF(F37="","",IF(N(C37)=0,1,C37))</f>
        <v/>
      </c>
      <c r="H37" s="53" t="n">
        <v>17</v>
      </c>
      <c r="I37" s="67" t="n"/>
      <c r="J37" s="55" t="n"/>
      <c r="K37" s="68" t="n"/>
      <c r="L37" s="68" t="n"/>
      <c r="M37" s="59">
        <f>IF(OR(L37="",K37=""),"",MAX(L37-K37,0))</f>
        <v/>
      </c>
      <c r="N37" s="59">
        <f>IF(M37="","",IF(N(J37)=0,1,J37))</f>
        <v/>
      </c>
    </row>
    <row r="38">
      <c r="A38" s="53" t="n">
        <v>18</v>
      </c>
      <c r="B38" s="67" t="n"/>
      <c r="C38" s="55" t="n"/>
      <c r="D38" s="68" t="n"/>
      <c r="E38" s="68" t="n"/>
      <c r="F38" s="59">
        <f>IF(OR(E38="",D38=""),"",MAX(E38-D38,0))</f>
        <v/>
      </c>
      <c r="G38" s="59">
        <f>IF(F38="","",IF(N(C38)=0,1,C38))</f>
        <v/>
      </c>
      <c r="H38" s="53" t="n">
        <v>18</v>
      </c>
      <c r="I38" s="67" t="n"/>
      <c r="J38" s="55" t="n"/>
      <c r="K38" s="68" t="n"/>
      <c r="L38" s="68" t="n"/>
      <c r="M38" s="59">
        <f>IF(OR(L38="",K38=""),"",MAX(L38-K38,0))</f>
        <v/>
      </c>
      <c r="N38" s="59">
        <f>IF(M38="","",IF(N(J38)=0,1,J38))</f>
        <v/>
      </c>
    </row>
    <row r="39">
      <c r="A39" s="53" t="n">
        <v>19</v>
      </c>
      <c r="B39" s="67" t="n"/>
      <c r="C39" s="55" t="n"/>
      <c r="D39" s="68" t="n"/>
      <c r="E39" s="68" t="n"/>
      <c r="F39" s="59">
        <f>IF(OR(E39="",D39=""),"",MAX(E39-D39,0))</f>
        <v/>
      </c>
      <c r="G39" s="59">
        <f>IF(F39="","",IF(N(C39)=0,1,C39))</f>
        <v/>
      </c>
      <c r="H39" s="53" t="n">
        <v>19</v>
      </c>
      <c r="I39" s="67" t="n"/>
      <c r="J39" s="55" t="n"/>
      <c r="K39" s="68" t="n"/>
      <c r="L39" s="68" t="n"/>
      <c r="M39" s="59">
        <f>IF(OR(L39="",K39=""),"",MAX(L39-K39,0))</f>
        <v/>
      </c>
      <c r="N39" s="59">
        <f>IF(M39="","",IF(N(J39)=0,1,J39))</f>
        <v/>
      </c>
    </row>
    <row r="40">
      <c r="A40" s="53" t="n">
        <v>20</v>
      </c>
      <c r="B40" s="67" t="n"/>
      <c r="C40" s="55" t="n"/>
      <c r="D40" s="68" t="n"/>
      <c r="E40" s="68" t="n"/>
      <c r="F40" s="59">
        <f>IF(OR(E40="",D40=""),"",MAX(E40-D40,0))</f>
        <v/>
      </c>
      <c r="G40" s="59">
        <f>IF(F40="","",IF(N(C40)=0,1,C40))</f>
        <v/>
      </c>
      <c r="H40" s="53" t="n">
        <v>20</v>
      </c>
      <c r="I40" s="67" t="n"/>
      <c r="J40" s="55" t="n"/>
      <c r="K40" s="68" t="n"/>
      <c r="L40" s="68" t="n"/>
      <c r="M40" s="59">
        <f>IF(OR(L40="",K40=""),"",MAX(L40-K40,0))</f>
        <v/>
      </c>
      <c r="N40" s="59">
        <f>IF(M40="","",IF(N(J40)=0,1,J40))</f>
        <v/>
      </c>
    </row>
    <row r="41">
      <c r="A41" s="53" t="n">
        <v>21</v>
      </c>
      <c r="B41" s="67" t="n"/>
      <c r="C41" s="55" t="n"/>
      <c r="D41" s="68" t="n"/>
      <c r="E41" s="68" t="n"/>
      <c r="F41" s="59">
        <f>IF(OR(E41="",D41=""),"",MAX(E41-D41,0))</f>
        <v/>
      </c>
      <c r="G41" s="59">
        <f>IF(F41="","",IF(N(C41)=0,1,C41))</f>
        <v/>
      </c>
      <c r="H41" s="53" t="n">
        <v>21</v>
      </c>
      <c r="I41" s="67" t="n"/>
      <c r="J41" s="55" t="n"/>
      <c r="K41" s="68" t="n"/>
      <c r="L41" s="68" t="n"/>
      <c r="M41" s="59">
        <f>IF(OR(L41="",K41=""),"",MAX(L41-K41,0))</f>
        <v/>
      </c>
      <c r="N41" s="59">
        <f>IF(M41="","",IF(N(J41)=0,1,J41))</f>
        <v/>
      </c>
    </row>
    <row r="42">
      <c r="A42" s="53" t="n">
        <v>22</v>
      </c>
      <c r="B42" s="67" t="n"/>
      <c r="C42" s="55" t="n"/>
      <c r="D42" s="68" t="n"/>
      <c r="E42" s="68" t="n"/>
      <c r="F42" s="59">
        <f>IF(OR(E42="",D42=""),"",MAX(E42-D42,0))</f>
        <v/>
      </c>
      <c r="G42" s="59">
        <f>IF(F42="","",IF(N(C42)=0,1,C42))</f>
        <v/>
      </c>
      <c r="H42" s="53" t="n">
        <v>22</v>
      </c>
      <c r="I42" s="67" t="n"/>
      <c r="J42" s="55" t="n"/>
      <c r="K42" s="68" t="n"/>
      <c r="L42" s="68" t="n"/>
      <c r="M42" s="59">
        <f>IF(OR(L42="",K42=""),"",MAX(L42-K42,0))</f>
        <v/>
      </c>
      <c r="N42" s="59">
        <f>IF(M42="","",IF(N(J42)=0,1,J42))</f>
        <v/>
      </c>
    </row>
    <row r="43">
      <c r="A43" s="53" t="n">
        <v>23</v>
      </c>
      <c r="B43" s="67" t="n"/>
      <c r="C43" s="55" t="n"/>
      <c r="D43" s="68" t="n"/>
      <c r="E43" s="68" t="n"/>
      <c r="F43" s="59">
        <f>IF(OR(E43="",D43=""),"",MAX(E43-D43,0))</f>
        <v/>
      </c>
      <c r="G43" s="59">
        <f>IF(F43="","",IF(N(C43)=0,1,C43))</f>
        <v/>
      </c>
      <c r="H43" s="53" t="n">
        <v>23</v>
      </c>
      <c r="I43" s="67" t="n"/>
      <c r="J43" s="55" t="n"/>
      <c r="K43" s="68" t="n"/>
      <c r="L43" s="68" t="n"/>
      <c r="M43" s="59">
        <f>IF(OR(L43="",K43=""),"",MAX(L43-K43,0))</f>
        <v/>
      </c>
      <c r="N43" s="59">
        <f>IF(M43="","",IF(N(J43)=0,1,J43))</f>
        <v/>
      </c>
    </row>
    <row r="44">
      <c r="A44" s="53" t="n">
        <v>24</v>
      </c>
      <c r="B44" s="67" t="n"/>
      <c r="C44" s="55" t="n"/>
      <c r="D44" s="68" t="n"/>
      <c r="E44" s="68" t="n"/>
      <c r="F44" s="59">
        <f>IF(OR(E44="",D44=""),"",MAX(E44-D44,0))</f>
        <v/>
      </c>
      <c r="G44" s="59">
        <f>IF(F44="","",IF(N(C44)=0,1,C44))</f>
        <v/>
      </c>
      <c r="H44" s="53" t="n">
        <v>24</v>
      </c>
      <c r="I44" s="67" t="n"/>
      <c r="J44" s="55" t="n"/>
      <c r="K44" s="68" t="n"/>
      <c r="L44" s="68" t="n"/>
      <c r="M44" s="59">
        <f>IF(OR(L44="",K44=""),"",MAX(L44-K44,0))</f>
        <v/>
      </c>
      <c r="N44" s="59">
        <f>IF(M44="","",IF(N(J44)=0,1,J44))</f>
        <v/>
      </c>
    </row>
    <row r="45">
      <c r="A45" s="53" t="n">
        <v>25</v>
      </c>
      <c r="B45" s="67" t="n"/>
      <c r="C45" s="55" t="n"/>
      <c r="D45" s="68" t="n"/>
      <c r="E45" s="68" t="n"/>
      <c r="F45" s="59">
        <f>IF(OR(E45="",D45=""),"",MAX(E45-D45,0))</f>
        <v/>
      </c>
      <c r="G45" s="59">
        <f>IF(F45="","",IF(N(C45)=0,1,C45))</f>
        <v/>
      </c>
      <c r="H45" s="53" t="n">
        <v>25</v>
      </c>
      <c r="I45" s="67" t="n"/>
      <c r="J45" s="55" t="n"/>
      <c r="K45" s="68" t="n"/>
      <c r="L45" s="68" t="n"/>
      <c r="M45" s="59">
        <f>IF(OR(L45="",K45=""),"",MAX(L45-K45,0))</f>
        <v/>
      </c>
      <c r="N45" s="59">
        <f>IF(M45="","",IF(N(J45)=0,1,J45))</f>
        <v/>
      </c>
    </row>
    <row r="46">
      <c r="A46" s="53" t="n">
        <v>26</v>
      </c>
      <c r="B46" s="67" t="n"/>
      <c r="C46" s="55" t="n"/>
      <c r="D46" s="68" t="n"/>
      <c r="E46" s="68" t="n"/>
      <c r="F46" s="59">
        <f>IF(OR(E46="",D46=""),"",MAX(E46-D46,0))</f>
        <v/>
      </c>
      <c r="G46" s="59">
        <f>IF(F46="","",IF(N(C46)=0,1,C46))</f>
        <v/>
      </c>
      <c r="H46" s="53" t="n">
        <v>26</v>
      </c>
      <c r="I46" s="67" t="n"/>
      <c r="J46" s="55" t="n"/>
      <c r="K46" s="68" t="n"/>
      <c r="L46" s="68" t="n"/>
      <c r="M46" s="59">
        <f>IF(OR(L46="",K46=""),"",MAX(L46-K46,0))</f>
        <v/>
      </c>
      <c r="N46" s="59">
        <f>IF(M46="","",IF(N(J46)=0,1,J46))</f>
        <v/>
      </c>
    </row>
    <row r="47">
      <c r="A47" s="53" t="n">
        <v>27</v>
      </c>
      <c r="B47" s="67" t="n"/>
      <c r="C47" s="55" t="n"/>
      <c r="D47" s="68" t="n"/>
      <c r="E47" s="68" t="n"/>
      <c r="F47" s="59">
        <f>IF(OR(E47="",D47=""),"",MAX(E47-D47,0))</f>
        <v/>
      </c>
      <c r="G47" s="59">
        <f>IF(F47="","",IF(N(C47)=0,1,C47))</f>
        <v/>
      </c>
      <c r="H47" s="53" t="n">
        <v>27</v>
      </c>
      <c r="I47" s="67" t="n"/>
      <c r="J47" s="55" t="n"/>
      <c r="K47" s="68" t="n"/>
      <c r="L47" s="68" t="n"/>
      <c r="M47" s="59">
        <f>IF(OR(L47="",K47=""),"",MAX(L47-K47,0))</f>
        <v/>
      </c>
      <c r="N47" s="59">
        <f>IF(M47="","",IF(N(J47)=0,1,J47))</f>
        <v/>
      </c>
    </row>
    <row r="48">
      <c r="A48" s="53" t="n">
        <v>28</v>
      </c>
      <c r="B48" s="67" t="n"/>
      <c r="C48" s="55" t="n"/>
      <c r="D48" s="68" t="n"/>
      <c r="E48" s="68" t="n"/>
      <c r="F48" s="59">
        <f>IF(OR(E48="",D48=""),"",MAX(E48-D48,0))</f>
        <v/>
      </c>
      <c r="G48" s="59">
        <f>IF(F48="","",IF(N(C48)=0,1,C48))</f>
        <v/>
      </c>
      <c r="H48" s="53" t="n">
        <v>28</v>
      </c>
      <c r="I48" s="67" t="n"/>
      <c r="J48" s="55" t="n"/>
      <c r="K48" s="68" t="n"/>
      <c r="L48" s="68" t="n"/>
      <c r="M48" s="59">
        <f>IF(OR(L48="",K48=""),"",MAX(L48-K48,0))</f>
        <v/>
      </c>
      <c r="N48" s="59">
        <f>IF(M48="","",IF(N(J48)=0,1,J48))</f>
        <v/>
      </c>
    </row>
    <row r="49">
      <c r="A49" s="53" t="n">
        <v>29</v>
      </c>
      <c r="B49" s="67" t="n"/>
      <c r="C49" s="55" t="n"/>
      <c r="D49" s="68" t="n"/>
      <c r="E49" s="68" t="n"/>
      <c r="F49" s="59">
        <f>IF(OR(E49="",D49=""),"",MAX(E49-D49,0))</f>
        <v/>
      </c>
      <c r="G49" s="59">
        <f>IF(F49="","",IF(N(C49)=0,1,C49))</f>
        <v/>
      </c>
      <c r="H49" s="53" t="n">
        <v>29</v>
      </c>
      <c r="I49" s="67" t="n"/>
      <c r="J49" s="55" t="n"/>
      <c r="K49" s="68" t="n"/>
      <c r="L49" s="68" t="n"/>
      <c r="M49" s="59">
        <f>IF(OR(L49="",K49=""),"",MAX(L49-K49,0))</f>
        <v/>
      </c>
      <c r="N49" s="59">
        <f>IF(M49="","",IF(N(J49)=0,1,J49))</f>
        <v/>
      </c>
    </row>
    <row r="50">
      <c r="A50" s="53" t="n">
        <v>30</v>
      </c>
      <c r="B50" s="67" t="n"/>
      <c r="C50" s="55" t="n"/>
      <c r="D50" s="68" t="n"/>
      <c r="E50" s="68" t="n"/>
      <c r="F50" s="59">
        <f>IF(OR(E50="",D50=""),"",MAX(E50-D50,0))</f>
        <v/>
      </c>
      <c r="G50" s="59">
        <f>IF(F50="","",IF(N(C50)=0,1,C50))</f>
        <v/>
      </c>
      <c r="H50" s="53" t="n">
        <v>30</v>
      </c>
      <c r="I50" s="67" t="n"/>
      <c r="J50" s="55" t="n"/>
      <c r="K50" s="68" t="n"/>
      <c r="L50" s="68" t="n"/>
      <c r="M50" s="59">
        <f>IF(OR(L50="",K50=""),"",MAX(L50-K50,0))</f>
        <v/>
      </c>
      <c r="N50" s="59">
        <f>IF(M50="","",IF(N(J50)=0,1,J50))</f>
        <v/>
      </c>
    </row>
    <row r="51">
      <c r="A51" s="53" t="n">
        <v>31</v>
      </c>
      <c r="B51" s="67" t="n"/>
      <c r="C51" s="55" t="n"/>
      <c r="D51" s="68" t="n"/>
      <c r="E51" s="68" t="n"/>
      <c r="F51" s="59">
        <f>IF(OR(E51="",D51=""),"",MAX(E51-D51,0))</f>
        <v/>
      </c>
      <c r="G51" s="59">
        <f>IF(F51="","",IF(N(C51)=0,1,C51))</f>
        <v/>
      </c>
      <c r="H51" s="53" t="n">
        <v>31</v>
      </c>
      <c r="I51" s="67" t="n"/>
      <c r="J51" s="55" t="n"/>
      <c r="K51" s="68" t="n"/>
      <c r="L51" s="68" t="n"/>
      <c r="M51" s="59">
        <f>IF(OR(L51="",K51=""),"",MAX(L51-K51,0))</f>
        <v/>
      </c>
      <c r="N51" s="59">
        <f>IF(M51="","",IF(N(J51)=0,1,J51))</f>
        <v/>
      </c>
    </row>
    <row r="52">
      <c r="A52" s="53" t="n">
        <v>32</v>
      </c>
      <c r="B52" s="67" t="n"/>
      <c r="C52" s="55" t="n"/>
      <c r="D52" s="68" t="n"/>
      <c r="E52" s="68" t="n"/>
      <c r="F52" s="59">
        <f>IF(OR(E52="",D52=""),"",MAX(E52-D52,0))</f>
        <v/>
      </c>
      <c r="G52" s="59">
        <f>IF(F52="","",IF(N(C52)=0,1,C52))</f>
        <v/>
      </c>
      <c r="H52" s="53" t="n">
        <v>32</v>
      </c>
      <c r="I52" s="67" t="n"/>
      <c r="J52" s="55" t="n"/>
      <c r="K52" s="68" t="n"/>
      <c r="L52" s="68" t="n"/>
      <c r="M52" s="59">
        <f>IF(OR(L52="",K52=""),"",MAX(L52-K52,0))</f>
        <v/>
      </c>
      <c r="N52" s="59">
        <f>IF(M52="","",IF(N(J52)=0,1,J52))</f>
        <v/>
      </c>
    </row>
    <row r="53">
      <c r="A53" s="53" t="n">
        <v>33</v>
      </c>
      <c r="B53" s="67" t="n"/>
      <c r="C53" s="55" t="n"/>
      <c r="D53" s="68" t="n"/>
      <c r="E53" s="68" t="n"/>
      <c r="F53" s="59">
        <f>IF(OR(E53="",D53=""),"",MAX(E53-D53,0))</f>
        <v/>
      </c>
      <c r="G53" s="59">
        <f>IF(F53="","",IF(N(C53)=0,1,C53))</f>
        <v/>
      </c>
      <c r="H53" s="53" t="n">
        <v>33</v>
      </c>
      <c r="I53" s="67" t="n"/>
      <c r="J53" s="55" t="n"/>
      <c r="K53" s="68" t="n"/>
      <c r="L53" s="68" t="n"/>
      <c r="M53" s="59">
        <f>IF(OR(L53="",K53=""),"",MAX(L53-K53,0))</f>
        <v/>
      </c>
      <c r="N53" s="59">
        <f>IF(M53="","",IF(N(J53)=0,1,J53))</f>
        <v/>
      </c>
    </row>
    <row r="54">
      <c r="A54" s="53" t="n">
        <v>34</v>
      </c>
      <c r="B54" s="67" t="n"/>
      <c r="C54" s="55" t="n"/>
      <c r="D54" s="68" t="n"/>
      <c r="E54" s="68" t="n"/>
      <c r="F54" s="59">
        <f>IF(OR(E54="",D54=""),"",MAX(E54-D54,0))</f>
        <v/>
      </c>
      <c r="G54" s="59">
        <f>IF(F54="","",IF(N(C54)=0,1,C54))</f>
        <v/>
      </c>
      <c r="H54" s="53" t="n">
        <v>34</v>
      </c>
      <c r="I54" s="67" t="n"/>
      <c r="J54" s="55" t="n"/>
      <c r="K54" s="68" t="n"/>
      <c r="L54" s="68" t="n"/>
      <c r="M54" s="59">
        <f>IF(OR(L54="",K54=""),"",MAX(L54-K54,0))</f>
        <v/>
      </c>
      <c r="N54" s="59">
        <f>IF(M54="","",IF(N(J54)=0,1,J54))</f>
        <v/>
      </c>
    </row>
    <row r="55">
      <c r="A55" s="53" t="n">
        <v>35</v>
      </c>
      <c r="B55" s="67" t="n"/>
      <c r="C55" s="55" t="n"/>
      <c r="D55" s="68" t="n"/>
      <c r="E55" s="68" t="n"/>
      <c r="F55" s="59">
        <f>IF(OR(E55="",D55=""),"",MAX(E55-D55,0))</f>
        <v/>
      </c>
      <c r="G55" s="59">
        <f>IF(F55="","",IF(N(C55)=0,1,C55))</f>
        <v/>
      </c>
      <c r="H55" s="53" t="n">
        <v>35</v>
      </c>
      <c r="I55" s="67" t="n"/>
      <c r="J55" s="55" t="n"/>
      <c r="K55" s="68" t="n"/>
      <c r="L55" s="68" t="n"/>
      <c r="M55" s="59">
        <f>IF(OR(L55="",K55=""),"",MAX(L55-K55,0))</f>
        <v/>
      </c>
      <c r="N55" s="59">
        <f>IF(M55="","",IF(N(J55)=0,1,J55))</f>
        <v/>
      </c>
    </row>
    <row r="56">
      <c r="A56" s="53" t="n">
        <v>36</v>
      </c>
      <c r="B56" s="67" t="n"/>
      <c r="C56" s="55" t="n"/>
      <c r="D56" s="68" t="n"/>
      <c r="E56" s="68" t="n"/>
      <c r="F56" s="59">
        <f>IF(OR(E56="",D56=""),"",MAX(E56-D56,0))</f>
        <v/>
      </c>
      <c r="G56" s="59">
        <f>IF(F56="","",IF(N(C56)=0,1,C56))</f>
        <v/>
      </c>
      <c r="H56" s="53" t="n">
        <v>36</v>
      </c>
      <c r="I56" s="67" t="n"/>
      <c r="J56" s="55" t="n"/>
      <c r="K56" s="68" t="n"/>
      <c r="L56" s="68" t="n"/>
      <c r="M56" s="59">
        <f>IF(OR(L56="",K56=""),"",MAX(L56-K56,0))</f>
        <v/>
      </c>
      <c r="N56" s="59">
        <f>IF(M56="","",IF(N(J56)=0,1,J56))</f>
        <v/>
      </c>
    </row>
    <row r="57">
      <c r="A57" s="53" t="n">
        <v>37</v>
      </c>
      <c r="B57" s="67" t="n"/>
      <c r="C57" s="55" t="n"/>
      <c r="D57" s="68" t="n"/>
      <c r="E57" s="68" t="n"/>
      <c r="F57" s="59">
        <f>IF(OR(E57="",D57=""),"",MAX(E57-D57,0))</f>
        <v/>
      </c>
      <c r="G57" s="59">
        <f>IF(F57="","",IF(N(C57)=0,1,C57))</f>
        <v/>
      </c>
      <c r="H57" s="53" t="n">
        <v>37</v>
      </c>
      <c r="I57" s="67" t="n"/>
      <c r="J57" s="55" t="n"/>
      <c r="K57" s="68" t="n"/>
      <c r="L57" s="68" t="n"/>
      <c r="M57" s="59">
        <f>IF(OR(L57="",K57=""),"",MAX(L57-K57,0))</f>
        <v/>
      </c>
      <c r="N57" s="59">
        <f>IF(M57="","",IF(N(J57)=0,1,J57))</f>
        <v/>
      </c>
    </row>
    <row r="58">
      <c r="A58" s="53" t="n">
        <v>38</v>
      </c>
      <c r="B58" s="67" t="n"/>
      <c r="C58" s="55" t="n"/>
      <c r="D58" s="68" t="n"/>
      <c r="E58" s="68" t="n"/>
      <c r="F58" s="59">
        <f>IF(OR(E58="",D58=""),"",MAX(E58-D58,0))</f>
        <v/>
      </c>
      <c r="G58" s="59">
        <f>IF(F58="","",IF(N(C58)=0,1,C58))</f>
        <v/>
      </c>
      <c r="H58" s="53" t="n">
        <v>38</v>
      </c>
      <c r="I58" s="67" t="n"/>
      <c r="J58" s="55" t="n"/>
      <c r="K58" s="68" t="n"/>
      <c r="L58" s="68" t="n"/>
      <c r="M58" s="59">
        <f>IF(OR(L58="",K58=""),"",MAX(L58-K58,0))</f>
        <v/>
      </c>
      <c r="N58" s="59">
        <f>IF(M58="","",IF(N(J58)=0,1,J58))</f>
        <v/>
      </c>
    </row>
    <row r="59">
      <c r="A59" s="53" t="n">
        <v>39</v>
      </c>
      <c r="B59" s="67" t="n"/>
      <c r="C59" s="55" t="n"/>
      <c r="D59" s="68" t="n"/>
      <c r="E59" s="68" t="n"/>
      <c r="F59" s="59">
        <f>IF(OR(E59="",D59=""),"",MAX(E59-D59,0))</f>
        <v/>
      </c>
      <c r="G59" s="59">
        <f>IF(F59="","",IF(N(C59)=0,1,C59))</f>
        <v/>
      </c>
      <c r="H59" s="53" t="n">
        <v>39</v>
      </c>
      <c r="I59" s="67" t="n"/>
      <c r="J59" s="55" t="n"/>
      <c r="K59" s="68" t="n"/>
      <c r="L59" s="68" t="n"/>
      <c r="M59" s="59">
        <f>IF(OR(L59="",K59=""),"",MAX(L59-K59,0))</f>
        <v/>
      </c>
      <c r="N59" s="59">
        <f>IF(M59="","",IF(N(J59)=0,1,J59))</f>
        <v/>
      </c>
    </row>
    <row r="60">
      <c r="A60" s="53" t="n">
        <v>40</v>
      </c>
      <c r="B60" s="67" t="n"/>
      <c r="C60" s="55" t="n"/>
      <c r="D60" s="68" t="n"/>
      <c r="E60" s="68" t="n"/>
      <c r="F60" s="59">
        <f>IF(OR(E60="",D60=""),"",MAX(E60-D60,0))</f>
        <v/>
      </c>
      <c r="G60" s="59">
        <f>IF(F60="","",IF(N(C60)=0,1,C60))</f>
        <v/>
      </c>
      <c r="H60" s="53" t="n">
        <v>40</v>
      </c>
      <c r="I60" s="67" t="n"/>
      <c r="J60" s="55" t="n"/>
      <c r="K60" s="68" t="n"/>
      <c r="L60" s="68" t="n"/>
      <c r="M60" s="59">
        <f>IF(OR(L60="",K60=""),"",MAX(L60-K60,0))</f>
        <v/>
      </c>
      <c r="N60" s="59">
        <f>IF(M60="","",IF(N(J60)=0,1,J60))</f>
        <v/>
      </c>
    </row>
    <row r="61">
      <c r="A61" s="53" t="n">
        <v>41</v>
      </c>
      <c r="B61" s="67" t="n"/>
      <c r="C61" s="55" t="n"/>
      <c r="D61" s="68" t="n"/>
      <c r="E61" s="68" t="n"/>
      <c r="F61" s="59">
        <f>IF(OR(E61="",D61=""),"",MAX(E61-D61,0))</f>
        <v/>
      </c>
      <c r="G61" s="59">
        <f>IF(F61="","",IF(N(C61)=0,1,C61))</f>
        <v/>
      </c>
      <c r="H61" s="53" t="n">
        <v>41</v>
      </c>
      <c r="I61" s="67" t="n"/>
      <c r="J61" s="55" t="n"/>
      <c r="K61" s="68" t="n"/>
      <c r="L61" s="68" t="n"/>
      <c r="M61" s="59">
        <f>IF(OR(L61="",K61=""),"",MAX(L61-K61,0))</f>
        <v/>
      </c>
      <c r="N61" s="59">
        <f>IF(M61="","",IF(N(J61)=0,1,J61))</f>
        <v/>
      </c>
    </row>
    <row r="62">
      <c r="A62" s="53" t="n">
        <v>42</v>
      </c>
      <c r="B62" s="67" t="n"/>
      <c r="C62" s="55" t="n"/>
      <c r="D62" s="68" t="n"/>
      <c r="E62" s="68" t="n"/>
      <c r="F62" s="59">
        <f>IF(OR(E62="",D62=""),"",MAX(E62-D62,0))</f>
        <v/>
      </c>
      <c r="G62" s="59">
        <f>IF(F62="","",IF(N(C62)=0,1,C62))</f>
        <v/>
      </c>
      <c r="H62" s="53" t="n">
        <v>42</v>
      </c>
      <c r="I62" s="67" t="n"/>
      <c r="J62" s="55" t="n"/>
      <c r="K62" s="68" t="n"/>
      <c r="L62" s="68" t="n"/>
      <c r="M62" s="59">
        <f>IF(OR(L62="",K62=""),"",MAX(L62-K62,0))</f>
        <v/>
      </c>
      <c r="N62" s="59">
        <f>IF(M62="","",IF(N(J62)=0,1,J62))</f>
        <v/>
      </c>
    </row>
    <row r="63">
      <c r="A63" s="53" t="n">
        <v>43</v>
      </c>
      <c r="B63" s="67" t="n"/>
      <c r="C63" s="55" t="n"/>
      <c r="D63" s="68" t="n"/>
      <c r="E63" s="68" t="n"/>
      <c r="F63" s="59">
        <f>IF(OR(E63="",D63=""),"",MAX(E63-D63,0))</f>
        <v/>
      </c>
      <c r="G63" s="59">
        <f>IF(F63="","",IF(N(C63)=0,1,C63))</f>
        <v/>
      </c>
      <c r="H63" s="53" t="n">
        <v>43</v>
      </c>
      <c r="I63" s="67" t="n"/>
      <c r="J63" s="55" t="n"/>
      <c r="K63" s="68" t="n"/>
      <c r="L63" s="68" t="n"/>
      <c r="M63" s="59">
        <f>IF(OR(L63="",K63=""),"",MAX(L63-K63,0))</f>
        <v/>
      </c>
      <c r="N63" s="59">
        <f>IF(M63="","",IF(N(J63)=0,1,J63))</f>
        <v/>
      </c>
    </row>
    <row r="64">
      <c r="A64" s="53" t="n">
        <v>44</v>
      </c>
      <c r="B64" s="67" t="n"/>
      <c r="C64" s="55" t="n"/>
      <c r="D64" s="68" t="n"/>
      <c r="E64" s="68" t="n"/>
      <c r="F64" s="59">
        <f>IF(OR(E64="",D64=""),"",MAX(E64-D64,0))</f>
        <v/>
      </c>
      <c r="G64" s="59">
        <f>IF(F64="","",IF(N(C64)=0,1,C64))</f>
        <v/>
      </c>
      <c r="H64" s="53" t="n">
        <v>44</v>
      </c>
      <c r="I64" s="67" t="n"/>
      <c r="J64" s="55" t="n"/>
      <c r="K64" s="68" t="n"/>
      <c r="L64" s="68" t="n"/>
      <c r="M64" s="59">
        <f>IF(OR(L64="",K64=""),"",MAX(L64-K64,0))</f>
        <v/>
      </c>
      <c r="N64" s="59">
        <f>IF(M64="","",IF(N(J64)=0,1,J64))</f>
        <v/>
      </c>
    </row>
    <row r="65">
      <c r="A65" s="53" t="n">
        <v>45</v>
      </c>
      <c r="B65" s="67" t="n"/>
      <c r="C65" s="55" t="n"/>
      <c r="D65" s="68" t="n"/>
      <c r="E65" s="68" t="n"/>
      <c r="F65" s="59">
        <f>IF(OR(E65="",D65=""),"",MAX(E65-D65,0))</f>
        <v/>
      </c>
      <c r="G65" s="59">
        <f>IF(F65="","",IF(N(C65)=0,1,C65))</f>
        <v/>
      </c>
      <c r="H65" s="53" t="n">
        <v>45</v>
      </c>
      <c r="I65" s="67" t="n"/>
      <c r="J65" s="55" t="n"/>
      <c r="K65" s="68" t="n"/>
      <c r="L65" s="68" t="n"/>
      <c r="M65" s="59">
        <f>IF(OR(L65="",K65=""),"",MAX(L65-K65,0))</f>
        <v/>
      </c>
      <c r="N65" s="59">
        <f>IF(M65="","",IF(N(J65)=0,1,J65))</f>
        <v/>
      </c>
    </row>
    <row r="66">
      <c r="A66" s="53" t="n">
        <v>46</v>
      </c>
      <c r="B66" s="67" t="n"/>
      <c r="C66" s="55" t="n"/>
      <c r="D66" s="68" t="n"/>
      <c r="E66" s="68" t="n"/>
      <c r="F66" s="59">
        <f>IF(OR(E66="",D66=""),"",MAX(E66-D66,0))</f>
        <v/>
      </c>
      <c r="G66" s="59">
        <f>IF(F66="","",IF(N(C66)=0,1,C66))</f>
        <v/>
      </c>
      <c r="H66" s="53" t="n">
        <v>46</v>
      </c>
      <c r="I66" s="67" t="n"/>
      <c r="J66" s="55" t="n"/>
      <c r="K66" s="68" t="n"/>
      <c r="L66" s="68" t="n"/>
      <c r="M66" s="59">
        <f>IF(OR(L66="",K66=""),"",MAX(L66-K66,0))</f>
        <v/>
      </c>
      <c r="N66" s="59">
        <f>IF(M66="","",IF(N(J66)=0,1,J66))</f>
        <v/>
      </c>
    </row>
    <row r="67">
      <c r="A67" s="53" t="n">
        <v>47</v>
      </c>
      <c r="B67" s="67" t="n"/>
      <c r="C67" s="55" t="n"/>
      <c r="D67" s="68" t="n"/>
      <c r="E67" s="68" t="n"/>
      <c r="F67" s="59">
        <f>IF(OR(E67="",D67=""),"",MAX(E67-D67,0))</f>
        <v/>
      </c>
      <c r="G67" s="59">
        <f>IF(F67="","",IF(N(C67)=0,1,C67))</f>
        <v/>
      </c>
      <c r="H67" s="53" t="n">
        <v>47</v>
      </c>
      <c r="I67" s="67" t="n"/>
      <c r="J67" s="55" t="n"/>
      <c r="K67" s="68" t="n"/>
      <c r="L67" s="68" t="n"/>
      <c r="M67" s="59">
        <f>IF(OR(L67="",K67=""),"",MAX(L67-K67,0))</f>
        <v/>
      </c>
      <c r="N67" s="59">
        <f>IF(M67="","",IF(N(J67)=0,1,J67))</f>
        <v/>
      </c>
    </row>
    <row r="68">
      <c r="A68" s="53" t="n">
        <v>48</v>
      </c>
      <c r="B68" s="67" t="n"/>
      <c r="C68" s="55" t="n"/>
      <c r="D68" s="68" t="n"/>
      <c r="E68" s="68" t="n"/>
      <c r="F68" s="59">
        <f>IF(OR(E68="",D68=""),"",MAX(E68-D68,0))</f>
        <v/>
      </c>
      <c r="G68" s="59">
        <f>IF(F68="","",IF(N(C68)=0,1,C68))</f>
        <v/>
      </c>
      <c r="H68" s="53" t="n">
        <v>48</v>
      </c>
      <c r="I68" s="67" t="n"/>
      <c r="J68" s="55" t="n"/>
      <c r="K68" s="68" t="n"/>
      <c r="L68" s="68" t="n"/>
      <c r="M68" s="59">
        <f>IF(OR(L68="",K68=""),"",MAX(L68-K68,0))</f>
        <v/>
      </c>
      <c r="N68" s="59">
        <f>IF(M68="","",IF(N(J68)=0,1,J68))</f>
        <v/>
      </c>
    </row>
    <row r="69">
      <c r="A69" s="53" t="n">
        <v>49</v>
      </c>
      <c r="B69" s="67" t="n"/>
      <c r="C69" s="55" t="n"/>
      <c r="D69" s="68" t="n"/>
      <c r="E69" s="68" t="n"/>
      <c r="F69" s="59">
        <f>IF(OR(E69="",D69=""),"",MAX(E69-D69,0))</f>
        <v/>
      </c>
      <c r="G69" s="59">
        <f>IF(F69="","",IF(N(C69)=0,1,C69))</f>
        <v/>
      </c>
      <c r="H69" s="53" t="n">
        <v>49</v>
      </c>
      <c r="I69" s="67" t="n"/>
      <c r="J69" s="55" t="n"/>
      <c r="K69" s="68" t="n"/>
      <c r="L69" s="68" t="n"/>
      <c r="M69" s="59">
        <f>IF(OR(L69="",K69=""),"",MAX(L69-K69,0))</f>
        <v/>
      </c>
      <c r="N69" s="59">
        <f>IF(M69="","",IF(N(J69)=0,1,J69))</f>
        <v/>
      </c>
    </row>
    <row r="70">
      <c r="A70" s="53" t="n">
        <v>50</v>
      </c>
      <c r="B70" s="67" t="n"/>
      <c r="C70" s="55" t="n"/>
      <c r="D70" s="68" t="n"/>
      <c r="E70" s="68" t="n"/>
      <c r="F70" s="59">
        <f>IF(OR(E70="",D70=""),"",MAX(E70-D70,0))</f>
        <v/>
      </c>
      <c r="G70" s="59">
        <f>IF(F70="","",IF(N(C70)=0,1,C70))</f>
        <v/>
      </c>
      <c r="H70" s="53" t="n">
        <v>50</v>
      </c>
      <c r="I70" s="67" t="n"/>
      <c r="J70" s="55" t="n"/>
      <c r="K70" s="68" t="n"/>
      <c r="L70" s="68" t="n"/>
      <c r="M70" s="59">
        <f>IF(OR(L70="",K70=""),"",MAX(L70-K70,0))</f>
        <v/>
      </c>
      <c r="N70" s="59">
        <f>IF(M70="","",IF(N(J70)=0,1,J70))</f>
        <v/>
      </c>
    </row>
    <row r="71">
      <c r="A71" s="60" t="n"/>
      <c r="B71" s="61" t="inlineStr">
        <is>
          <t>Total</t>
        </is>
      </c>
      <c r="C71" s="65">
        <f>SUM(C21:C70)</f>
        <v/>
      </c>
      <c r="D71" s="60" t="n"/>
      <c r="E71" s="60" t="n"/>
      <c r="F71" s="62">
        <f>IF(N(G71)=0,"",SUMPRODUCT(F21:F70,G21:G70)/G71)</f>
        <v/>
      </c>
      <c r="G71" s="65">
        <f>SUM(G21:G70)</f>
        <v/>
      </c>
      <c r="H71" s="60" t="n"/>
      <c r="I71" s="61" t="inlineStr">
        <is>
          <t>Total</t>
        </is>
      </c>
      <c r="J71" s="65">
        <f>SUM(J21:J70)</f>
        <v/>
      </c>
      <c r="K71" s="60" t="n"/>
      <c r="L71" s="60" t="n"/>
      <c r="M71" s="62">
        <f>IF(N(N71)=0,"",SUMPRODUCT(M21:M70,N21:N70)/N71)</f>
        <v/>
      </c>
      <c r="N71" s="65">
        <f>SUM(N21:N70)</f>
        <v/>
      </c>
    </row>
    <row r="72">
      <c r="B72" s="66" t="inlineStr">
        <is>
          <t>Insert rows above the Total row as necessary and copy the formulas of the 'Time to Hire' and 'Posts Filled' columns into the new rows. Blank 'No. of Posts' on a filled position counts as 1 post.</t>
        </is>
      </c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IK1mo3n2o9zLr8wGMYhctA==" formatRows="0" sort="1" spinCount="100000" hashValue="BxtlLJhy4LlRWdVEjwrO4taZuxvjBDAYtqNtPV4JxIOlFYuzAu35PaQ28q55hr5X/YUx3By7q0/tp1NhUSsxrA=="/>
  <mergeCells count="24">
    <mergeCell ref="Y2:AA2"/>
    <mergeCell ref="Y1:AA1"/>
    <mergeCell ref="A18:C18"/>
    <mergeCell ref="Q1:S1"/>
    <mergeCell ref="D18:E19"/>
    <mergeCell ref="O1:O2"/>
    <mergeCell ref="A2:C2"/>
    <mergeCell ref="D1:F2"/>
    <mergeCell ref="W1:W2"/>
    <mergeCell ref="M18:N19"/>
    <mergeCell ref="H19:J19"/>
    <mergeCell ref="I1:K1"/>
    <mergeCell ref="AB1:AD2"/>
    <mergeCell ref="AE1:AE2"/>
    <mergeCell ref="Q2:S2"/>
    <mergeCell ref="A19:C19"/>
    <mergeCell ref="H18:J18"/>
    <mergeCell ref="K18:L19"/>
    <mergeCell ref="G1:G2"/>
    <mergeCell ref="L1:N2"/>
    <mergeCell ref="I2:K2"/>
    <mergeCell ref="A1:C1"/>
    <mergeCell ref="T1:V2"/>
    <mergeCell ref="F18:G19"/>
  </mergeCells>
  <dataValidations count="5">
    <dataValidation sqref="D21:E7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C21:C70" showDropDown="0" showInputMessage="0" showErrorMessage="1" allowBlank="1" error="No. of Posts must be a whole number &gt;= 1." type="whole" operator="greaterThanOrEqual">
      <formula1>1</formula1>
    </dataValidation>
    <dataValidation sqref="K21:L7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J21:J70" showDropDown="0" showInputMessage="0" showErrorMessage="1" allowBlank="1" error="No. of Posts must be a whole number &gt;= 1." type="whole" operator="greaterThanOrEqual">
      <formula1>1</formula1>
    </dataValidation>
    <dataValidation sqref="D4:D15" showDropDown="0" showInputMessage="0" showErrorMessage="1" allowBlank="1" error="Working days must be between 0 and 31." type="whole" operator="between">
      <formula1>0</formula1>
      <formula2>31</formula2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132"/>
  <sheetViews>
    <sheetView showGridLines="0" zoomScale="80" workbookViewId="0">
      <selection activeCell="A1" sqref="A1"/>
    </sheetView>
  </sheetViews>
  <sheetFormatPr baseColWidth="8" defaultRowHeight="15"/>
  <cols>
    <col width="5.5" customWidth="1" min="1" max="1"/>
    <col width="16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5.5" customWidth="1" min="8" max="8"/>
    <col width="16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3" customWidth="1" min="15" max="15"/>
    <col width="3" customWidth="1" min="16" max="16"/>
    <col width="5.5" customWidth="1" min="17" max="17"/>
    <col width="16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3" customWidth="1" min="24" max="24"/>
    <col width="5.5" customWidth="1" min="25" max="25"/>
    <col width="1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4.75" customHeight="1">
      <c r="A1" s="40" t="inlineStr">
        <is>
          <t>GCG El Salvador</t>
        </is>
      </c>
      <c r="B1" s="41" t="n"/>
      <c r="C1" s="42" t="n"/>
      <c r="D1" s="40" t="inlineStr">
        <is>
          <t>ABSENCE RATE YTD</t>
        </is>
      </c>
      <c r="E1" s="43" t="n"/>
      <c r="F1" s="44" t="n"/>
      <c r="G1" s="45">
        <f>G16</f>
        <v/>
      </c>
      <c r="I1" s="40">
        <f>A1</f>
        <v/>
      </c>
      <c r="J1" s="41" t="n"/>
      <c r="K1" s="42" t="n"/>
      <c r="L1" s="40" t="inlineStr">
        <is>
          <t>ABSENCE RATE YTD</t>
        </is>
      </c>
      <c r="M1" s="43" t="n"/>
      <c r="N1" s="44" t="n"/>
      <c r="O1" s="45">
        <f>O16</f>
        <v/>
      </c>
      <c r="Q1" s="40">
        <f>A1</f>
        <v/>
      </c>
      <c r="R1" s="41" t="n"/>
      <c r="S1" s="42" t="n"/>
      <c r="T1" s="40" t="inlineStr">
        <is>
          <t>ABSENCE RATE YTD</t>
        </is>
      </c>
      <c r="U1" s="43" t="n"/>
      <c r="V1" s="44" t="n"/>
      <c r="W1" s="45">
        <f>W16</f>
        <v/>
      </c>
      <c r="Y1" s="40">
        <f>A1</f>
        <v/>
      </c>
      <c r="Z1" s="41" t="n"/>
      <c r="AA1" s="42" t="n"/>
      <c r="AB1" s="40" t="inlineStr">
        <is>
          <t>TIME TO HIRE YTD (Days)</t>
        </is>
      </c>
      <c r="AC1" s="43" t="n"/>
      <c r="AD1" s="44" t="n"/>
      <c r="AE1" s="46">
        <f>AE16</f>
        <v/>
      </c>
    </row>
    <row r="2" ht="18.75" customHeight="1">
      <c r="A2" s="47" t="inlineStr">
        <is>
          <t>NON-CERTIFIED</t>
        </is>
      </c>
      <c r="B2" s="41" t="n"/>
      <c r="C2" s="42" t="n"/>
      <c r="D2" s="48" t="n"/>
      <c r="E2" s="49" t="n"/>
      <c r="F2" s="50" t="n"/>
      <c r="G2" s="51" t="n"/>
      <c r="I2" s="47" t="inlineStr">
        <is>
          <t>CERTIFIED</t>
        </is>
      </c>
      <c r="J2" s="41" t="n"/>
      <c r="K2" s="42" t="n"/>
      <c r="L2" s="48" t="n"/>
      <c r="M2" s="49" t="n"/>
      <c r="N2" s="50" t="n"/>
      <c r="O2" s="51" t="n"/>
      <c r="Q2" s="47" t="inlineStr">
        <is>
          <t>TOTAL ABSENCES</t>
        </is>
      </c>
      <c r="R2" s="41" t="n"/>
      <c r="S2" s="42" t="n"/>
      <c r="T2" s="48" t="n"/>
      <c r="U2" s="49" t="n"/>
      <c r="V2" s="50" t="n"/>
      <c r="W2" s="51" t="n"/>
      <c r="Y2" s="47" t="inlineStr">
        <is>
          <t>TIME TO HIRE BY MONTH</t>
        </is>
      </c>
      <c r="Z2" s="41" t="n"/>
      <c r="AA2" s="42" t="n"/>
      <c r="AB2" s="48" t="n"/>
      <c r="AC2" s="49" t="n"/>
      <c r="AD2" s="50" t="n"/>
      <c r="AE2" s="51" t="n"/>
    </row>
    <row r="3" ht="55" customHeight="1">
      <c r="A3" s="52" t="inlineStr">
        <is>
          <t>No.</t>
        </is>
      </c>
      <c r="B3" s="52" t="inlineStr">
        <is>
          <t>Month</t>
        </is>
      </c>
      <c r="C3" s="52" t="inlineStr">
        <is>
          <t>Total Employees</t>
        </is>
      </c>
      <c r="D3" s="52" t="inlineStr">
        <is>
          <t>Working Days</t>
        </is>
      </c>
      <c r="E3" s="52" t="inlineStr">
        <is>
          <t>Total Days Lost</t>
        </is>
      </c>
      <c r="F3" s="52" t="inlineStr">
        <is>
          <t>Total Working Days</t>
        </is>
      </c>
      <c r="G3" s="52" t="inlineStr">
        <is>
          <t>Monthly Absence Rate</t>
        </is>
      </c>
      <c r="I3" s="52" t="inlineStr">
        <is>
          <t>No.</t>
        </is>
      </c>
      <c r="J3" s="52" t="inlineStr">
        <is>
          <t>Month</t>
        </is>
      </c>
      <c r="K3" s="52" t="inlineStr">
        <is>
          <t>Total Employees</t>
        </is>
      </c>
      <c r="L3" s="52" t="inlineStr">
        <is>
          <t>Working Days</t>
        </is>
      </c>
      <c r="M3" s="52" t="inlineStr">
        <is>
          <t>Total Days Lost</t>
        </is>
      </c>
      <c r="N3" s="52" t="inlineStr">
        <is>
          <t>Total Working Days</t>
        </is>
      </c>
      <c r="O3" s="52" t="inlineStr">
        <is>
          <t>Monthly Absence Rate</t>
        </is>
      </c>
      <c r="Q3" s="52" t="inlineStr">
        <is>
          <t>No.</t>
        </is>
      </c>
      <c r="R3" s="52" t="inlineStr">
        <is>
          <t>Month</t>
        </is>
      </c>
      <c r="S3" s="52" t="inlineStr">
        <is>
          <t>Total Employees</t>
        </is>
      </c>
      <c r="T3" s="52" t="inlineStr">
        <is>
          <t>Working Days</t>
        </is>
      </c>
      <c r="U3" s="52" t="inlineStr">
        <is>
          <t>Total Days Lost</t>
        </is>
      </c>
      <c r="V3" s="52" t="inlineStr">
        <is>
          <t>Total Working Days</t>
        </is>
      </c>
      <c r="W3" s="52" t="inlineStr">
        <is>
          <t>Monthly Absence Rate</t>
        </is>
      </c>
      <c r="Y3" s="52" t="inlineStr">
        <is>
          <t>No.</t>
        </is>
      </c>
      <c r="Z3" s="52" t="inlineStr">
        <is>
          <t>Month</t>
        </is>
      </c>
      <c r="AA3" s="52" t="inlineStr">
        <is>
          <t>Permanent Posts Filled YTD</t>
        </is>
      </c>
      <c r="AB3" s="52" t="inlineStr">
        <is>
          <t>Permanent Time to Hire YTD (Days)</t>
        </is>
      </c>
      <c r="AC3" s="52" t="inlineStr">
        <is>
          <t>Temporary Posts Filled YTD</t>
        </is>
      </c>
      <c r="AD3" s="52" t="inlineStr">
        <is>
          <t>Temporary Time to Hire YTD (Days)</t>
        </is>
      </c>
      <c r="AE3" s="52" t="inlineStr">
        <is>
          <t>Total Time to Hire YTD (Days)</t>
        </is>
      </c>
    </row>
    <row r="4" ht="18.75" customHeight="1">
      <c r="A4" s="53" t="n">
        <v>1</v>
      </c>
      <c r="B4" s="54" t="n">
        <v>46296</v>
      </c>
      <c r="C4" s="53">
        <f>IF(OCT!$I$5="","",OCT!$I$5)</f>
        <v/>
      </c>
      <c r="D4" s="55" t="n"/>
      <c r="E4" s="56">
        <f>IF(OCT!$I$43="","",OCT!$I$43)</f>
        <v/>
      </c>
      <c r="F4" s="57">
        <f>IF(OR(C4="",D4=""),"",C4*D4)</f>
        <v/>
      </c>
      <c r="G4" s="58">
        <f>IF(OR(E4="",N(F4)=0),"",E4/F4)</f>
        <v/>
      </c>
      <c r="I4" s="53" t="n">
        <v>1</v>
      </c>
      <c r="J4" s="54" t="n">
        <v>46296</v>
      </c>
      <c r="K4" s="53">
        <f>C4</f>
        <v/>
      </c>
      <c r="L4" s="59">
        <f>IF(D4="","",D4)</f>
        <v/>
      </c>
      <c r="M4" s="56">
        <f>IF(OCT!$I$44="","",OCT!$I$44)</f>
        <v/>
      </c>
      <c r="N4" s="57">
        <f>IF(OR(K4="",L4=""),"",K4*L4)</f>
        <v/>
      </c>
      <c r="O4" s="58">
        <f>IF(OR(M4="",N(N4)=0),"",M4/N4)</f>
        <v/>
      </c>
      <c r="Q4" s="53" t="n">
        <v>1</v>
      </c>
      <c r="R4" s="54" t="n">
        <v>46296</v>
      </c>
      <c r="S4" s="53">
        <f>C4</f>
        <v/>
      </c>
      <c r="T4" s="59">
        <f>IF(D4="","",D4)</f>
        <v/>
      </c>
      <c r="U4" s="56">
        <f>IF(COUNT(E4,M4)=0,"",SUM(E4,M4))</f>
        <v/>
      </c>
      <c r="V4" s="57">
        <f>IF(OR(S4="",T4=""),"",S4*T4)</f>
        <v/>
      </c>
      <c r="W4" s="58">
        <f>IF(OR(U4="",N(V4)=0),"",U4/V4)</f>
        <v/>
      </c>
      <c r="Y4" s="53" t="n">
        <v>1</v>
      </c>
      <c r="Z4" s="54" t="n">
        <v>46296</v>
      </c>
      <c r="AA4" s="59">
        <f>IF($C4="","",SUMPRODUCT(($E$21:$E$130&gt;=$Z$4)*($E$21:$E$130&lt;=EOMONTH($Z4,0)),$G$21:$G$130))</f>
        <v/>
      </c>
      <c r="AB4" s="56">
        <f>IF(N(AA4)=0,"",SUMPRODUCT(($E$21:$E$130&gt;=$Z$4)*($E$21:$E$130&lt;=EOMONTH($Z4,0)),$F$21:$F$130,$G$21:$G$130)/AA4)</f>
        <v/>
      </c>
      <c r="AC4" s="59">
        <f>IF($C4="","",SUMPRODUCT(($L$21:$L$130&gt;=$Z$4)*($L$21:$L$130&lt;=EOMONTH($Z4,0)),$N$21:$N$130))</f>
        <v/>
      </c>
      <c r="AD4" s="56">
        <f>IF(N(AC4)=0,"",SUMPRODUCT(($L$21:$L$130&gt;=$Z$4)*($L$21:$L$130&lt;=EOMONTH($Z4,0)),$M$21:$M$130,$N$21:$N$130)/AC4)</f>
        <v/>
      </c>
      <c r="AE4" s="56">
        <f>IF(N(AA4)+N(AC4)=0,"",(N(AB4)*N(AA4)+N(AD4)*N(AC4))/(N(AA4)+N(AC4)))</f>
        <v/>
      </c>
    </row>
    <row r="5" ht="18.75" customHeight="1">
      <c r="A5" s="53" t="n">
        <v>2</v>
      </c>
      <c r="B5" s="54" t="n">
        <v>46327</v>
      </c>
      <c r="C5" s="53">
        <f>IF(NOV!$I$5="","",NOV!$I$5)</f>
        <v/>
      </c>
      <c r="D5" s="55" t="n"/>
      <c r="E5" s="56">
        <f>IF(NOV!$I$43="","",NOV!$I$43)</f>
        <v/>
      </c>
      <c r="F5" s="57">
        <f>IF(OR(C5="",D5=""),"",C5*D5)</f>
        <v/>
      </c>
      <c r="G5" s="58">
        <f>IF(OR(E5="",N(F5)=0),"",E5/F5)</f>
        <v/>
      </c>
      <c r="I5" s="53" t="n">
        <v>2</v>
      </c>
      <c r="J5" s="54" t="n">
        <v>46327</v>
      </c>
      <c r="K5" s="53">
        <f>C5</f>
        <v/>
      </c>
      <c r="L5" s="59">
        <f>IF(D5="","",D5)</f>
        <v/>
      </c>
      <c r="M5" s="56">
        <f>IF(NOV!$I$44="","",NOV!$I$44)</f>
        <v/>
      </c>
      <c r="N5" s="57">
        <f>IF(OR(K5="",L5=""),"",K5*L5)</f>
        <v/>
      </c>
      <c r="O5" s="58">
        <f>IF(OR(M5="",N(N5)=0),"",M5/N5)</f>
        <v/>
      </c>
      <c r="Q5" s="53" t="n">
        <v>2</v>
      </c>
      <c r="R5" s="54" t="n">
        <v>46327</v>
      </c>
      <c r="S5" s="53">
        <f>C5</f>
        <v/>
      </c>
      <c r="T5" s="59">
        <f>IF(D5="","",D5)</f>
        <v/>
      </c>
      <c r="U5" s="56">
        <f>IF(COUNT(E5,M5)=0,"",SUM(E5,M5))</f>
        <v/>
      </c>
      <c r="V5" s="57">
        <f>IF(OR(S5="",T5=""),"",S5*T5)</f>
        <v/>
      </c>
      <c r="W5" s="58">
        <f>IF(OR(U5="",N(V5)=0),"",U5/V5)</f>
        <v/>
      </c>
      <c r="Y5" s="53" t="n">
        <v>2</v>
      </c>
      <c r="Z5" s="54" t="n">
        <v>46327</v>
      </c>
      <c r="AA5" s="59">
        <f>IF($C5="","",SUMPRODUCT(($E$21:$E$130&gt;=$Z$4)*($E$21:$E$130&lt;=EOMONTH($Z5,0)),$G$21:$G$130))</f>
        <v/>
      </c>
      <c r="AB5" s="56">
        <f>IF(N(AA5)=0,"",SUMPRODUCT(($E$21:$E$130&gt;=$Z$4)*($E$21:$E$130&lt;=EOMONTH($Z5,0)),$F$21:$F$130,$G$21:$G$130)/AA5)</f>
        <v/>
      </c>
      <c r="AC5" s="59">
        <f>IF($C5="","",SUMPRODUCT(($L$21:$L$130&gt;=$Z$4)*($L$21:$L$130&lt;=EOMONTH($Z5,0)),$N$21:$N$130))</f>
        <v/>
      </c>
      <c r="AD5" s="56">
        <f>IF(N(AC5)=0,"",SUMPRODUCT(($L$21:$L$130&gt;=$Z$4)*($L$21:$L$130&lt;=EOMONTH($Z5,0)),$M$21:$M$130,$N$21:$N$130)/AC5)</f>
        <v/>
      </c>
      <c r="AE5" s="56">
        <f>IF(N(AA5)+N(AC5)=0,"",(N(AB5)*N(AA5)+N(AD5)*N(AC5))/(N(AA5)+N(AC5)))</f>
        <v/>
      </c>
    </row>
    <row r="6" ht="18.75" customHeight="1">
      <c r="A6" s="53" t="n">
        <v>3</v>
      </c>
      <c r="B6" s="54" t="n">
        <v>46357</v>
      </c>
      <c r="C6" s="53">
        <f>IF(DEC!$I$5="","",DEC!$I$5)</f>
        <v/>
      </c>
      <c r="D6" s="55" t="n"/>
      <c r="E6" s="56">
        <f>IF(DEC!$I$43="","",DEC!$I$43)</f>
        <v/>
      </c>
      <c r="F6" s="57">
        <f>IF(OR(C6="",D6=""),"",C6*D6)</f>
        <v/>
      </c>
      <c r="G6" s="58">
        <f>IF(OR(E6="",N(F6)=0),"",E6/F6)</f>
        <v/>
      </c>
      <c r="I6" s="53" t="n">
        <v>3</v>
      </c>
      <c r="J6" s="54" t="n">
        <v>46357</v>
      </c>
      <c r="K6" s="53">
        <f>C6</f>
        <v/>
      </c>
      <c r="L6" s="59">
        <f>IF(D6="","",D6)</f>
        <v/>
      </c>
      <c r="M6" s="56">
        <f>IF(DEC!$I$44="","",DEC!$I$44)</f>
        <v/>
      </c>
      <c r="N6" s="57">
        <f>IF(OR(K6="",L6=""),"",K6*L6)</f>
        <v/>
      </c>
      <c r="O6" s="58">
        <f>IF(OR(M6="",N(N6)=0),"",M6/N6)</f>
        <v/>
      </c>
      <c r="Q6" s="53" t="n">
        <v>3</v>
      </c>
      <c r="R6" s="54" t="n">
        <v>46357</v>
      </c>
      <c r="S6" s="53">
        <f>C6</f>
        <v/>
      </c>
      <c r="T6" s="59">
        <f>IF(D6="","",D6)</f>
        <v/>
      </c>
      <c r="U6" s="56">
        <f>IF(COUNT(E6,M6)=0,"",SUM(E6,M6))</f>
        <v/>
      </c>
      <c r="V6" s="57">
        <f>IF(OR(S6="",T6=""),"",S6*T6)</f>
        <v/>
      </c>
      <c r="W6" s="58">
        <f>IF(OR(U6="",N(V6)=0),"",U6/V6)</f>
        <v/>
      </c>
      <c r="Y6" s="53" t="n">
        <v>3</v>
      </c>
      <c r="Z6" s="54" t="n">
        <v>46357</v>
      </c>
      <c r="AA6" s="59">
        <f>IF($C6="","",SUMPRODUCT(($E$21:$E$130&gt;=$Z$4)*($E$21:$E$130&lt;=EOMONTH($Z6,0)),$G$21:$G$130))</f>
        <v/>
      </c>
      <c r="AB6" s="56">
        <f>IF(N(AA6)=0,"",SUMPRODUCT(($E$21:$E$130&gt;=$Z$4)*($E$21:$E$130&lt;=EOMONTH($Z6,0)),$F$21:$F$130,$G$21:$G$130)/AA6)</f>
        <v/>
      </c>
      <c r="AC6" s="59">
        <f>IF($C6="","",SUMPRODUCT(($L$21:$L$130&gt;=$Z$4)*($L$21:$L$130&lt;=EOMONTH($Z6,0)),$N$21:$N$130))</f>
        <v/>
      </c>
      <c r="AD6" s="56">
        <f>IF(N(AC6)=0,"",SUMPRODUCT(($L$21:$L$130&gt;=$Z$4)*($L$21:$L$130&lt;=EOMONTH($Z6,0)),$M$21:$M$130,$N$21:$N$130)/AC6)</f>
        <v/>
      </c>
      <c r="AE6" s="56">
        <f>IF(N(AA6)+N(AC6)=0,"",(N(AB6)*N(AA6)+N(AD6)*N(AC6))/(N(AA6)+N(AC6)))</f>
        <v/>
      </c>
    </row>
    <row r="7" ht="18.75" customHeight="1">
      <c r="A7" s="53" t="n">
        <v>4</v>
      </c>
      <c r="B7" s="54" t="n">
        <v>46388</v>
      </c>
      <c r="C7" s="53">
        <f>IF(JAN!$I$5="","",JAN!$I$5)</f>
        <v/>
      </c>
      <c r="D7" s="55" t="n"/>
      <c r="E7" s="56">
        <f>IF(JAN!$I$43="","",JAN!$I$43)</f>
        <v/>
      </c>
      <c r="F7" s="57">
        <f>IF(OR(C7="",D7=""),"",C7*D7)</f>
        <v/>
      </c>
      <c r="G7" s="58">
        <f>IF(OR(E7="",N(F7)=0),"",E7/F7)</f>
        <v/>
      </c>
      <c r="I7" s="53" t="n">
        <v>4</v>
      </c>
      <c r="J7" s="54" t="n">
        <v>46388</v>
      </c>
      <c r="K7" s="53">
        <f>C7</f>
        <v/>
      </c>
      <c r="L7" s="59">
        <f>IF(D7="","",D7)</f>
        <v/>
      </c>
      <c r="M7" s="56">
        <f>IF(JAN!$I$44="","",JAN!$I$44)</f>
        <v/>
      </c>
      <c r="N7" s="57">
        <f>IF(OR(K7="",L7=""),"",K7*L7)</f>
        <v/>
      </c>
      <c r="O7" s="58">
        <f>IF(OR(M7="",N(N7)=0),"",M7/N7)</f>
        <v/>
      </c>
      <c r="Q7" s="53" t="n">
        <v>4</v>
      </c>
      <c r="R7" s="54" t="n">
        <v>46388</v>
      </c>
      <c r="S7" s="53">
        <f>C7</f>
        <v/>
      </c>
      <c r="T7" s="59">
        <f>IF(D7="","",D7)</f>
        <v/>
      </c>
      <c r="U7" s="56">
        <f>IF(COUNT(E7,M7)=0,"",SUM(E7,M7))</f>
        <v/>
      </c>
      <c r="V7" s="57">
        <f>IF(OR(S7="",T7=""),"",S7*T7)</f>
        <v/>
      </c>
      <c r="W7" s="58">
        <f>IF(OR(U7="",N(V7)=0),"",U7/V7)</f>
        <v/>
      </c>
      <c r="Y7" s="53" t="n">
        <v>4</v>
      </c>
      <c r="Z7" s="54" t="n">
        <v>46388</v>
      </c>
      <c r="AA7" s="59">
        <f>IF($C7="","",SUMPRODUCT(($E$21:$E$130&gt;=$Z$4)*($E$21:$E$130&lt;=EOMONTH($Z7,0)),$G$21:$G$130))</f>
        <v/>
      </c>
      <c r="AB7" s="56">
        <f>IF(N(AA7)=0,"",SUMPRODUCT(($E$21:$E$130&gt;=$Z$4)*($E$21:$E$130&lt;=EOMONTH($Z7,0)),$F$21:$F$130,$G$21:$G$130)/AA7)</f>
        <v/>
      </c>
      <c r="AC7" s="59">
        <f>IF($C7="","",SUMPRODUCT(($L$21:$L$130&gt;=$Z$4)*($L$21:$L$130&lt;=EOMONTH($Z7,0)),$N$21:$N$130))</f>
        <v/>
      </c>
      <c r="AD7" s="56">
        <f>IF(N(AC7)=0,"",SUMPRODUCT(($L$21:$L$130&gt;=$Z$4)*($L$21:$L$130&lt;=EOMONTH($Z7,0)),$M$21:$M$130,$N$21:$N$130)/AC7)</f>
        <v/>
      </c>
      <c r="AE7" s="56">
        <f>IF(N(AA7)+N(AC7)=0,"",(N(AB7)*N(AA7)+N(AD7)*N(AC7))/(N(AA7)+N(AC7)))</f>
        <v/>
      </c>
    </row>
    <row r="8" ht="18.75" customHeight="1">
      <c r="A8" s="53" t="n">
        <v>5</v>
      </c>
      <c r="B8" s="54" t="n">
        <v>46419</v>
      </c>
      <c r="C8" s="53">
        <f>IF(FEB!$I$5="","",FEB!$I$5)</f>
        <v/>
      </c>
      <c r="D8" s="55" t="n"/>
      <c r="E8" s="56">
        <f>IF(FEB!$I$43="","",FEB!$I$43)</f>
        <v/>
      </c>
      <c r="F8" s="57">
        <f>IF(OR(C8="",D8=""),"",C8*D8)</f>
        <v/>
      </c>
      <c r="G8" s="58">
        <f>IF(OR(E8="",N(F8)=0),"",E8/F8)</f>
        <v/>
      </c>
      <c r="I8" s="53" t="n">
        <v>5</v>
      </c>
      <c r="J8" s="54" t="n">
        <v>46419</v>
      </c>
      <c r="K8" s="53">
        <f>C8</f>
        <v/>
      </c>
      <c r="L8" s="59">
        <f>IF(D8="","",D8)</f>
        <v/>
      </c>
      <c r="M8" s="56">
        <f>IF(FEB!$I$44="","",FEB!$I$44)</f>
        <v/>
      </c>
      <c r="N8" s="57">
        <f>IF(OR(K8="",L8=""),"",K8*L8)</f>
        <v/>
      </c>
      <c r="O8" s="58">
        <f>IF(OR(M8="",N(N8)=0),"",M8/N8)</f>
        <v/>
      </c>
      <c r="Q8" s="53" t="n">
        <v>5</v>
      </c>
      <c r="R8" s="54" t="n">
        <v>46419</v>
      </c>
      <c r="S8" s="53">
        <f>C8</f>
        <v/>
      </c>
      <c r="T8" s="59">
        <f>IF(D8="","",D8)</f>
        <v/>
      </c>
      <c r="U8" s="56">
        <f>IF(COUNT(E8,M8)=0,"",SUM(E8,M8))</f>
        <v/>
      </c>
      <c r="V8" s="57">
        <f>IF(OR(S8="",T8=""),"",S8*T8)</f>
        <v/>
      </c>
      <c r="W8" s="58">
        <f>IF(OR(U8="",N(V8)=0),"",U8/V8)</f>
        <v/>
      </c>
      <c r="Y8" s="53" t="n">
        <v>5</v>
      </c>
      <c r="Z8" s="54" t="n">
        <v>46419</v>
      </c>
      <c r="AA8" s="59">
        <f>IF($C8="","",SUMPRODUCT(($E$21:$E$130&gt;=$Z$4)*($E$21:$E$130&lt;=EOMONTH($Z8,0)),$G$21:$G$130))</f>
        <v/>
      </c>
      <c r="AB8" s="56">
        <f>IF(N(AA8)=0,"",SUMPRODUCT(($E$21:$E$130&gt;=$Z$4)*($E$21:$E$130&lt;=EOMONTH($Z8,0)),$F$21:$F$130,$G$21:$G$130)/AA8)</f>
        <v/>
      </c>
      <c r="AC8" s="59">
        <f>IF($C8="","",SUMPRODUCT(($L$21:$L$130&gt;=$Z$4)*($L$21:$L$130&lt;=EOMONTH($Z8,0)),$N$21:$N$130))</f>
        <v/>
      </c>
      <c r="AD8" s="56">
        <f>IF(N(AC8)=0,"",SUMPRODUCT(($L$21:$L$130&gt;=$Z$4)*($L$21:$L$130&lt;=EOMONTH($Z8,0)),$M$21:$M$130,$N$21:$N$130)/AC8)</f>
        <v/>
      </c>
      <c r="AE8" s="56">
        <f>IF(N(AA8)+N(AC8)=0,"",(N(AB8)*N(AA8)+N(AD8)*N(AC8))/(N(AA8)+N(AC8)))</f>
        <v/>
      </c>
    </row>
    <row r="9" ht="18.75" customHeight="1">
      <c r="A9" s="53" t="n">
        <v>6</v>
      </c>
      <c r="B9" s="54" t="n">
        <v>46447</v>
      </c>
      <c r="C9" s="53">
        <f>IF(MAR!$I$5="","",MAR!$I$5)</f>
        <v/>
      </c>
      <c r="D9" s="55" t="n"/>
      <c r="E9" s="56">
        <f>IF(MAR!$I$43="","",MAR!$I$43)</f>
        <v/>
      </c>
      <c r="F9" s="57">
        <f>IF(OR(C9="",D9=""),"",C9*D9)</f>
        <v/>
      </c>
      <c r="G9" s="58">
        <f>IF(OR(E9="",N(F9)=0),"",E9/F9)</f>
        <v/>
      </c>
      <c r="I9" s="53" t="n">
        <v>6</v>
      </c>
      <c r="J9" s="54" t="n">
        <v>46447</v>
      </c>
      <c r="K9" s="53">
        <f>C9</f>
        <v/>
      </c>
      <c r="L9" s="59">
        <f>IF(D9="","",D9)</f>
        <v/>
      </c>
      <c r="M9" s="56">
        <f>IF(MAR!$I$44="","",MAR!$I$44)</f>
        <v/>
      </c>
      <c r="N9" s="57">
        <f>IF(OR(K9="",L9=""),"",K9*L9)</f>
        <v/>
      </c>
      <c r="O9" s="58">
        <f>IF(OR(M9="",N(N9)=0),"",M9/N9)</f>
        <v/>
      </c>
      <c r="Q9" s="53" t="n">
        <v>6</v>
      </c>
      <c r="R9" s="54" t="n">
        <v>46447</v>
      </c>
      <c r="S9" s="53">
        <f>C9</f>
        <v/>
      </c>
      <c r="T9" s="59">
        <f>IF(D9="","",D9)</f>
        <v/>
      </c>
      <c r="U9" s="56">
        <f>IF(COUNT(E9,M9)=0,"",SUM(E9,M9))</f>
        <v/>
      </c>
      <c r="V9" s="57">
        <f>IF(OR(S9="",T9=""),"",S9*T9)</f>
        <v/>
      </c>
      <c r="W9" s="58">
        <f>IF(OR(U9="",N(V9)=0),"",U9/V9)</f>
        <v/>
      </c>
      <c r="Y9" s="53" t="n">
        <v>6</v>
      </c>
      <c r="Z9" s="54" t="n">
        <v>46447</v>
      </c>
      <c r="AA9" s="59">
        <f>IF($C9="","",SUMPRODUCT(($E$21:$E$130&gt;=$Z$4)*($E$21:$E$130&lt;=EOMONTH($Z9,0)),$G$21:$G$130))</f>
        <v/>
      </c>
      <c r="AB9" s="56">
        <f>IF(N(AA9)=0,"",SUMPRODUCT(($E$21:$E$130&gt;=$Z$4)*($E$21:$E$130&lt;=EOMONTH($Z9,0)),$F$21:$F$130,$G$21:$G$130)/AA9)</f>
        <v/>
      </c>
      <c r="AC9" s="59">
        <f>IF($C9="","",SUMPRODUCT(($L$21:$L$130&gt;=$Z$4)*($L$21:$L$130&lt;=EOMONTH($Z9,0)),$N$21:$N$130))</f>
        <v/>
      </c>
      <c r="AD9" s="56">
        <f>IF(N(AC9)=0,"",SUMPRODUCT(($L$21:$L$130&gt;=$Z$4)*($L$21:$L$130&lt;=EOMONTH($Z9,0)),$M$21:$M$130,$N$21:$N$130)/AC9)</f>
        <v/>
      </c>
      <c r="AE9" s="56">
        <f>IF(N(AA9)+N(AC9)=0,"",(N(AB9)*N(AA9)+N(AD9)*N(AC9))/(N(AA9)+N(AC9)))</f>
        <v/>
      </c>
    </row>
    <row r="10" ht="18.75" customHeight="1">
      <c r="A10" s="53" t="n">
        <v>7</v>
      </c>
      <c r="B10" s="54" t="n">
        <v>46478</v>
      </c>
      <c r="C10" s="53">
        <f>IF(APR!$I$5="","",APR!$I$5)</f>
        <v/>
      </c>
      <c r="D10" s="55" t="n"/>
      <c r="E10" s="56">
        <f>IF(APR!$I$43="","",APR!$I$43)</f>
        <v/>
      </c>
      <c r="F10" s="57">
        <f>IF(OR(C10="",D10=""),"",C10*D10)</f>
        <v/>
      </c>
      <c r="G10" s="58">
        <f>IF(OR(E10="",N(F10)=0),"",E10/F10)</f>
        <v/>
      </c>
      <c r="I10" s="53" t="n">
        <v>7</v>
      </c>
      <c r="J10" s="54" t="n">
        <v>46478</v>
      </c>
      <c r="K10" s="53">
        <f>C10</f>
        <v/>
      </c>
      <c r="L10" s="59">
        <f>IF(D10="","",D10)</f>
        <v/>
      </c>
      <c r="M10" s="56">
        <f>IF(APR!$I$44="","",APR!$I$44)</f>
        <v/>
      </c>
      <c r="N10" s="57">
        <f>IF(OR(K10="",L10=""),"",K10*L10)</f>
        <v/>
      </c>
      <c r="O10" s="58">
        <f>IF(OR(M10="",N(N10)=0),"",M10/N10)</f>
        <v/>
      </c>
      <c r="Q10" s="53" t="n">
        <v>7</v>
      </c>
      <c r="R10" s="54" t="n">
        <v>46478</v>
      </c>
      <c r="S10" s="53">
        <f>C10</f>
        <v/>
      </c>
      <c r="T10" s="59">
        <f>IF(D10="","",D10)</f>
        <v/>
      </c>
      <c r="U10" s="56">
        <f>IF(COUNT(E10,M10)=0,"",SUM(E10,M10))</f>
        <v/>
      </c>
      <c r="V10" s="57">
        <f>IF(OR(S10="",T10=""),"",S10*T10)</f>
        <v/>
      </c>
      <c r="W10" s="58">
        <f>IF(OR(U10="",N(V10)=0),"",U10/V10)</f>
        <v/>
      </c>
      <c r="Y10" s="53" t="n">
        <v>7</v>
      </c>
      <c r="Z10" s="54" t="n">
        <v>46478</v>
      </c>
      <c r="AA10" s="59">
        <f>IF($C10="","",SUMPRODUCT(($E$21:$E$130&gt;=$Z$4)*($E$21:$E$130&lt;=EOMONTH($Z10,0)),$G$21:$G$130))</f>
        <v/>
      </c>
      <c r="AB10" s="56">
        <f>IF(N(AA10)=0,"",SUMPRODUCT(($E$21:$E$130&gt;=$Z$4)*($E$21:$E$130&lt;=EOMONTH($Z10,0)),$F$21:$F$130,$G$21:$G$130)/AA10)</f>
        <v/>
      </c>
      <c r="AC10" s="59">
        <f>IF($C10="","",SUMPRODUCT(($L$21:$L$130&gt;=$Z$4)*($L$21:$L$130&lt;=EOMONTH($Z10,0)),$N$21:$N$130))</f>
        <v/>
      </c>
      <c r="AD10" s="56">
        <f>IF(N(AC10)=0,"",SUMPRODUCT(($L$21:$L$130&gt;=$Z$4)*($L$21:$L$130&lt;=EOMONTH($Z10,0)),$M$21:$M$130,$N$21:$N$130)/AC10)</f>
        <v/>
      </c>
      <c r="AE10" s="56">
        <f>IF(N(AA10)+N(AC10)=0,"",(N(AB10)*N(AA10)+N(AD10)*N(AC10))/(N(AA10)+N(AC10)))</f>
        <v/>
      </c>
    </row>
    <row r="11" ht="18.75" customHeight="1">
      <c r="A11" s="53" t="n">
        <v>8</v>
      </c>
      <c r="B11" s="54" t="n">
        <v>46508</v>
      </c>
      <c r="C11" s="53">
        <f>IF(MAY!$I$5="","",MAY!$I$5)</f>
        <v/>
      </c>
      <c r="D11" s="55" t="n"/>
      <c r="E11" s="56">
        <f>IF(MAY!$I$43="","",MAY!$I$43)</f>
        <v/>
      </c>
      <c r="F11" s="57">
        <f>IF(OR(C11="",D11=""),"",C11*D11)</f>
        <v/>
      </c>
      <c r="G11" s="58">
        <f>IF(OR(E11="",N(F11)=0),"",E11/F11)</f>
        <v/>
      </c>
      <c r="I11" s="53" t="n">
        <v>8</v>
      </c>
      <c r="J11" s="54" t="n">
        <v>46508</v>
      </c>
      <c r="K11" s="53">
        <f>C11</f>
        <v/>
      </c>
      <c r="L11" s="59">
        <f>IF(D11="","",D11)</f>
        <v/>
      </c>
      <c r="M11" s="56">
        <f>IF(MAY!$I$44="","",MAY!$I$44)</f>
        <v/>
      </c>
      <c r="N11" s="57">
        <f>IF(OR(K11="",L11=""),"",K11*L11)</f>
        <v/>
      </c>
      <c r="O11" s="58">
        <f>IF(OR(M11="",N(N11)=0),"",M11/N11)</f>
        <v/>
      </c>
      <c r="Q11" s="53" t="n">
        <v>8</v>
      </c>
      <c r="R11" s="54" t="n">
        <v>46508</v>
      </c>
      <c r="S11" s="53">
        <f>C11</f>
        <v/>
      </c>
      <c r="T11" s="59">
        <f>IF(D11="","",D11)</f>
        <v/>
      </c>
      <c r="U11" s="56">
        <f>IF(COUNT(E11,M11)=0,"",SUM(E11,M11))</f>
        <v/>
      </c>
      <c r="V11" s="57">
        <f>IF(OR(S11="",T11=""),"",S11*T11)</f>
        <v/>
      </c>
      <c r="W11" s="58">
        <f>IF(OR(U11="",N(V11)=0),"",U11/V11)</f>
        <v/>
      </c>
      <c r="Y11" s="53" t="n">
        <v>8</v>
      </c>
      <c r="Z11" s="54" t="n">
        <v>46508</v>
      </c>
      <c r="AA11" s="59">
        <f>IF($C11="","",SUMPRODUCT(($E$21:$E$130&gt;=$Z$4)*($E$21:$E$130&lt;=EOMONTH($Z11,0)),$G$21:$G$130))</f>
        <v/>
      </c>
      <c r="AB11" s="56">
        <f>IF(N(AA11)=0,"",SUMPRODUCT(($E$21:$E$130&gt;=$Z$4)*($E$21:$E$130&lt;=EOMONTH($Z11,0)),$F$21:$F$130,$G$21:$G$130)/AA11)</f>
        <v/>
      </c>
      <c r="AC11" s="59">
        <f>IF($C11="","",SUMPRODUCT(($L$21:$L$130&gt;=$Z$4)*($L$21:$L$130&lt;=EOMONTH($Z11,0)),$N$21:$N$130))</f>
        <v/>
      </c>
      <c r="AD11" s="56">
        <f>IF(N(AC11)=0,"",SUMPRODUCT(($L$21:$L$130&gt;=$Z$4)*($L$21:$L$130&lt;=EOMONTH($Z11,0)),$M$21:$M$130,$N$21:$N$130)/AC11)</f>
        <v/>
      </c>
      <c r="AE11" s="56">
        <f>IF(N(AA11)+N(AC11)=0,"",(N(AB11)*N(AA11)+N(AD11)*N(AC11))/(N(AA11)+N(AC11)))</f>
        <v/>
      </c>
    </row>
    <row r="12" ht="18.75" customHeight="1">
      <c r="A12" s="53" t="n">
        <v>9</v>
      </c>
      <c r="B12" s="54" t="n">
        <v>46539</v>
      </c>
      <c r="C12" s="53">
        <f>IF(JUN!$I$5="","",JUN!$I$5)</f>
        <v/>
      </c>
      <c r="D12" s="55" t="n"/>
      <c r="E12" s="56">
        <f>IF(JUN!$I$43="","",JUN!$I$43)</f>
        <v/>
      </c>
      <c r="F12" s="57">
        <f>IF(OR(C12="",D12=""),"",C12*D12)</f>
        <v/>
      </c>
      <c r="G12" s="58">
        <f>IF(OR(E12="",N(F12)=0),"",E12/F12)</f>
        <v/>
      </c>
      <c r="I12" s="53" t="n">
        <v>9</v>
      </c>
      <c r="J12" s="54" t="n">
        <v>46539</v>
      </c>
      <c r="K12" s="53">
        <f>C12</f>
        <v/>
      </c>
      <c r="L12" s="59">
        <f>IF(D12="","",D12)</f>
        <v/>
      </c>
      <c r="M12" s="56">
        <f>IF(JUN!$I$44="","",JUN!$I$44)</f>
        <v/>
      </c>
      <c r="N12" s="57">
        <f>IF(OR(K12="",L12=""),"",K12*L12)</f>
        <v/>
      </c>
      <c r="O12" s="58">
        <f>IF(OR(M12="",N(N12)=0),"",M12/N12)</f>
        <v/>
      </c>
      <c r="Q12" s="53" t="n">
        <v>9</v>
      </c>
      <c r="R12" s="54" t="n">
        <v>46539</v>
      </c>
      <c r="S12" s="53">
        <f>C12</f>
        <v/>
      </c>
      <c r="T12" s="59">
        <f>IF(D12="","",D12)</f>
        <v/>
      </c>
      <c r="U12" s="56">
        <f>IF(COUNT(E12,M12)=0,"",SUM(E12,M12))</f>
        <v/>
      </c>
      <c r="V12" s="57">
        <f>IF(OR(S12="",T12=""),"",S12*T12)</f>
        <v/>
      </c>
      <c r="W12" s="58">
        <f>IF(OR(U12="",N(V12)=0),"",U12/V12)</f>
        <v/>
      </c>
      <c r="Y12" s="53" t="n">
        <v>9</v>
      </c>
      <c r="Z12" s="54" t="n">
        <v>46539</v>
      </c>
      <c r="AA12" s="59">
        <f>IF($C12="","",SUMPRODUCT(($E$21:$E$130&gt;=$Z$4)*($E$21:$E$130&lt;=EOMONTH($Z12,0)),$G$21:$G$130))</f>
        <v/>
      </c>
      <c r="AB12" s="56">
        <f>IF(N(AA12)=0,"",SUMPRODUCT(($E$21:$E$130&gt;=$Z$4)*($E$21:$E$130&lt;=EOMONTH($Z12,0)),$F$21:$F$130,$G$21:$G$130)/AA12)</f>
        <v/>
      </c>
      <c r="AC12" s="59">
        <f>IF($C12="","",SUMPRODUCT(($L$21:$L$130&gt;=$Z$4)*($L$21:$L$130&lt;=EOMONTH($Z12,0)),$N$21:$N$130))</f>
        <v/>
      </c>
      <c r="AD12" s="56">
        <f>IF(N(AC12)=0,"",SUMPRODUCT(($L$21:$L$130&gt;=$Z$4)*($L$21:$L$130&lt;=EOMONTH($Z12,0)),$M$21:$M$130,$N$21:$N$130)/AC12)</f>
        <v/>
      </c>
      <c r="AE12" s="56">
        <f>IF(N(AA12)+N(AC12)=0,"",(N(AB12)*N(AA12)+N(AD12)*N(AC12))/(N(AA12)+N(AC12)))</f>
        <v/>
      </c>
    </row>
    <row r="13" ht="18.75" customHeight="1">
      <c r="A13" s="53" t="n">
        <v>10</v>
      </c>
      <c r="B13" s="54" t="n">
        <v>46569</v>
      </c>
      <c r="C13" s="53">
        <f>IF(JUL!$I$5="","",JUL!$I$5)</f>
        <v/>
      </c>
      <c r="D13" s="55" t="n"/>
      <c r="E13" s="56">
        <f>IF(JUL!$I$43="","",JUL!$I$43)</f>
        <v/>
      </c>
      <c r="F13" s="57">
        <f>IF(OR(C13="",D13=""),"",C13*D13)</f>
        <v/>
      </c>
      <c r="G13" s="58">
        <f>IF(OR(E13="",N(F13)=0),"",E13/F13)</f>
        <v/>
      </c>
      <c r="I13" s="53" t="n">
        <v>10</v>
      </c>
      <c r="J13" s="54" t="n">
        <v>46569</v>
      </c>
      <c r="K13" s="53">
        <f>C13</f>
        <v/>
      </c>
      <c r="L13" s="59">
        <f>IF(D13="","",D13)</f>
        <v/>
      </c>
      <c r="M13" s="56">
        <f>IF(JUL!$I$44="","",JUL!$I$44)</f>
        <v/>
      </c>
      <c r="N13" s="57">
        <f>IF(OR(K13="",L13=""),"",K13*L13)</f>
        <v/>
      </c>
      <c r="O13" s="58">
        <f>IF(OR(M13="",N(N13)=0),"",M13/N13)</f>
        <v/>
      </c>
      <c r="Q13" s="53" t="n">
        <v>10</v>
      </c>
      <c r="R13" s="54" t="n">
        <v>46569</v>
      </c>
      <c r="S13" s="53">
        <f>C13</f>
        <v/>
      </c>
      <c r="T13" s="59">
        <f>IF(D13="","",D13)</f>
        <v/>
      </c>
      <c r="U13" s="56">
        <f>IF(COUNT(E13,M13)=0,"",SUM(E13,M13))</f>
        <v/>
      </c>
      <c r="V13" s="57">
        <f>IF(OR(S13="",T13=""),"",S13*T13)</f>
        <v/>
      </c>
      <c r="W13" s="58">
        <f>IF(OR(U13="",N(V13)=0),"",U13/V13)</f>
        <v/>
      </c>
      <c r="Y13" s="53" t="n">
        <v>10</v>
      </c>
      <c r="Z13" s="54" t="n">
        <v>46569</v>
      </c>
      <c r="AA13" s="59">
        <f>IF($C13="","",SUMPRODUCT(($E$21:$E$130&gt;=$Z$4)*($E$21:$E$130&lt;=EOMONTH($Z13,0)),$G$21:$G$130))</f>
        <v/>
      </c>
      <c r="AB13" s="56">
        <f>IF(N(AA13)=0,"",SUMPRODUCT(($E$21:$E$130&gt;=$Z$4)*($E$21:$E$130&lt;=EOMONTH($Z13,0)),$F$21:$F$130,$G$21:$G$130)/AA13)</f>
        <v/>
      </c>
      <c r="AC13" s="59">
        <f>IF($C13="","",SUMPRODUCT(($L$21:$L$130&gt;=$Z$4)*($L$21:$L$130&lt;=EOMONTH($Z13,0)),$N$21:$N$130))</f>
        <v/>
      </c>
      <c r="AD13" s="56">
        <f>IF(N(AC13)=0,"",SUMPRODUCT(($L$21:$L$130&gt;=$Z$4)*($L$21:$L$130&lt;=EOMONTH($Z13,0)),$M$21:$M$130,$N$21:$N$130)/AC13)</f>
        <v/>
      </c>
      <c r="AE13" s="56">
        <f>IF(N(AA13)+N(AC13)=0,"",(N(AB13)*N(AA13)+N(AD13)*N(AC13))/(N(AA13)+N(AC13)))</f>
        <v/>
      </c>
    </row>
    <row r="14" ht="18.75" customHeight="1">
      <c r="A14" s="53" t="n">
        <v>11</v>
      </c>
      <c r="B14" s="54" t="n">
        <v>46600</v>
      </c>
      <c r="C14" s="53">
        <f>IF(AUG!$I$5="","",AUG!$I$5)</f>
        <v/>
      </c>
      <c r="D14" s="55" t="n"/>
      <c r="E14" s="56">
        <f>IF(AUG!$I$43="","",AUG!$I$43)</f>
        <v/>
      </c>
      <c r="F14" s="57">
        <f>IF(OR(C14="",D14=""),"",C14*D14)</f>
        <v/>
      </c>
      <c r="G14" s="58">
        <f>IF(OR(E14="",N(F14)=0),"",E14/F14)</f>
        <v/>
      </c>
      <c r="I14" s="53" t="n">
        <v>11</v>
      </c>
      <c r="J14" s="54" t="n">
        <v>46600</v>
      </c>
      <c r="K14" s="53">
        <f>C14</f>
        <v/>
      </c>
      <c r="L14" s="59">
        <f>IF(D14="","",D14)</f>
        <v/>
      </c>
      <c r="M14" s="56">
        <f>IF(AUG!$I$44="","",AUG!$I$44)</f>
        <v/>
      </c>
      <c r="N14" s="57">
        <f>IF(OR(K14="",L14=""),"",K14*L14)</f>
        <v/>
      </c>
      <c r="O14" s="58">
        <f>IF(OR(M14="",N(N14)=0),"",M14/N14)</f>
        <v/>
      </c>
      <c r="Q14" s="53" t="n">
        <v>11</v>
      </c>
      <c r="R14" s="54" t="n">
        <v>46600</v>
      </c>
      <c r="S14" s="53">
        <f>C14</f>
        <v/>
      </c>
      <c r="T14" s="59">
        <f>IF(D14="","",D14)</f>
        <v/>
      </c>
      <c r="U14" s="56">
        <f>IF(COUNT(E14,M14)=0,"",SUM(E14,M14))</f>
        <v/>
      </c>
      <c r="V14" s="57">
        <f>IF(OR(S14="",T14=""),"",S14*T14)</f>
        <v/>
      </c>
      <c r="W14" s="58">
        <f>IF(OR(U14="",N(V14)=0),"",U14/V14)</f>
        <v/>
      </c>
      <c r="Y14" s="53" t="n">
        <v>11</v>
      </c>
      <c r="Z14" s="54" t="n">
        <v>46600</v>
      </c>
      <c r="AA14" s="59">
        <f>IF($C14="","",SUMPRODUCT(($E$21:$E$130&gt;=$Z$4)*($E$21:$E$130&lt;=EOMONTH($Z14,0)),$G$21:$G$130))</f>
        <v/>
      </c>
      <c r="AB14" s="56">
        <f>IF(N(AA14)=0,"",SUMPRODUCT(($E$21:$E$130&gt;=$Z$4)*($E$21:$E$130&lt;=EOMONTH($Z14,0)),$F$21:$F$130,$G$21:$G$130)/AA14)</f>
        <v/>
      </c>
      <c r="AC14" s="59">
        <f>IF($C14="","",SUMPRODUCT(($L$21:$L$130&gt;=$Z$4)*($L$21:$L$130&lt;=EOMONTH($Z14,0)),$N$21:$N$130))</f>
        <v/>
      </c>
      <c r="AD14" s="56">
        <f>IF(N(AC14)=0,"",SUMPRODUCT(($L$21:$L$130&gt;=$Z$4)*($L$21:$L$130&lt;=EOMONTH($Z14,0)),$M$21:$M$130,$N$21:$N$130)/AC14)</f>
        <v/>
      </c>
      <c r="AE14" s="56">
        <f>IF(N(AA14)+N(AC14)=0,"",(N(AB14)*N(AA14)+N(AD14)*N(AC14))/(N(AA14)+N(AC14)))</f>
        <v/>
      </c>
    </row>
    <row r="15" ht="18.75" customHeight="1">
      <c r="A15" s="53" t="n">
        <v>12</v>
      </c>
      <c r="B15" s="54" t="n">
        <v>46631</v>
      </c>
      <c r="C15" s="53">
        <f>IF(SEP!$I$5="","",SEP!$I$5)</f>
        <v/>
      </c>
      <c r="D15" s="55" t="n"/>
      <c r="E15" s="56">
        <f>IF(SEP!$I$43="","",SEP!$I$43)</f>
        <v/>
      </c>
      <c r="F15" s="57">
        <f>IF(OR(C15="",D15=""),"",C15*D15)</f>
        <v/>
      </c>
      <c r="G15" s="58">
        <f>IF(OR(E15="",N(F15)=0),"",E15/F15)</f>
        <v/>
      </c>
      <c r="I15" s="53" t="n">
        <v>12</v>
      </c>
      <c r="J15" s="54" t="n">
        <v>46631</v>
      </c>
      <c r="K15" s="53">
        <f>C15</f>
        <v/>
      </c>
      <c r="L15" s="59">
        <f>IF(D15="","",D15)</f>
        <v/>
      </c>
      <c r="M15" s="56">
        <f>IF(SEP!$I$44="","",SEP!$I$44)</f>
        <v/>
      </c>
      <c r="N15" s="57">
        <f>IF(OR(K15="",L15=""),"",K15*L15)</f>
        <v/>
      </c>
      <c r="O15" s="58">
        <f>IF(OR(M15="",N(N15)=0),"",M15/N15)</f>
        <v/>
      </c>
      <c r="Q15" s="53" t="n">
        <v>12</v>
      </c>
      <c r="R15" s="54" t="n">
        <v>46631</v>
      </c>
      <c r="S15" s="53">
        <f>C15</f>
        <v/>
      </c>
      <c r="T15" s="59">
        <f>IF(D15="","",D15)</f>
        <v/>
      </c>
      <c r="U15" s="56">
        <f>IF(COUNT(E15,M15)=0,"",SUM(E15,M15))</f>
        <v/>
      </c>
      <c r="V15" s="57">
        <f>IF(OR(S15="",T15=""),"",S15*T15)</f>
        <v/>
      </c>
      <c r="W15" s="58">
        <f>IF(OR(U15="",N(V15)=0),"",U15/V15)</f>
        <v/>
      </c>
      <c r="Y15" s="53" t="n">
        <v>12</v>
      </c>
      <c r="Z15" s="54" t="n">
        <v>46631</v>
      </c>
      <c r="AA15" s="59">
        <f>IF($C15="","",SUMPRODUCT(($E$21:$E$130&gt;=$Z$4)*($E$21:$E$130&lt;=EOMONTH($Z15,0)),$G$21:$G$130))</f>
        <v/>
      </c>
      <c r="AB15" s="56">
        <f>IF(N(AA15)=0,"",SUMPRODUCT(($E$21:$E$130&gt;=$Z$4)*($E$21:$E$130&lt;=EOMONTH($Z15,0)),$F$21:$F$130,$G$21:$G$130)/AA15)</f>
        <v/>
      </c>
      <c r="AC15" s="59">
        <f>IF($C15="","",SUMPRODUCT(($L$21:$L$130&gt;=$Z$4)*($L$21:$L$130&lt;=EOMONTH($Z15,0)),$N$21:$N$130))</f>
        <v/>
      </c>
      <c r="AD15" s="56">
        <f>IF(N(AC15)=0,"",SUMPRODUCT(($L$21:$L$130&gt;=$Z$4)*($L$21:$L$130&lt;=EOMONTH($Z15,0)),$M$21:$M$130,$N$21:$N$130)/AC15)</f>
        <v/>
      </c>
      <c r="AE15" s="56">
        <f>IF(N(AA15)+N(AC15)=0,"",(N(AB15)*N(AA15)+N(AD15)*N(AC15))/(N(AA15)+N(AC15)))</f>
        <v/>
      </c>
    </row>
    <row r="16" ht="18.75" customHeight="1">
      <c r="A16" s="60" t="n"/>
      <c r="B16" s="60" t="n"/>
      <c r="C16" s="60" t="n"/>
      <c r="D16" s="61" t="inlineStr">
        <is>
          <t>Total YTD</t>
        </is>
      </c>
      <c r="E16" s="62">
        <f>IF(COUNT(E4:E15)=0,"",SUM(E4:E15))</f>
        <v/>
      </c>
      <c r="F16" s="63">
        <f>SUMPRODUCT(--ISNUMBER(E4:E15),F4:F15)</f>
        <v/>
      </c>
      <c r="G16" s="64">
        <f>IF(COUNT(E4:E15)=0,"",IFERROR(E16/F16,""))</f>
        <v/>
      </c>
      <c r="I16" s="60" t="n"/>
      <c r="J16" s="60" t="n"/>
      <c r="K16" s="60" t="n"/>
      <c r="L16" s="61" t="inlineStr">
        <is>
          <t>Total YTD</t>
        </is>
      </c>
      <c r="M16" s="62">
        <f>IF(COUNT(M4:M15)=0,"",SUM(M4:M15))</f>
        <v/>
      </c>
      <c r="N16" s="63">
        <f>SUMPRODUCT(--ISNUMBER(M4:M15),N4:N15)</f>
        <v/>
      </c>
      <c r="O16" s="64">
        <f>IF(COUNT(M4:M15)=0,"",IFERROR(M16/N16,""))</f>
        <v/>
      </c>
      <c r="Q16" s="60" t="n"/>
      <c r="R16" s="60" t="n"/>
      <c r="S16" s="60" t="n"/>
      <c r="T16" s="61" t="inlineStr">
        <is>
          <t>Total YTD</t>
        </is>
      </c>
      <c r="U16" s="62">
        <f>IF(COUNT(U4:U15)=0,"",SUM(U4:U15))</f>
        <v/>
      </c>
      <c r="V16" s="63">
        <f>SUMPRODUCT(--ISNUMBER(U4:U15),V4:V15)</f>
        <v/>
      </c>
      <c r="W16" s="64">
        <f>IF(COUNT(U4:U15)=0,"",IFERROR(U16/V16,""))</f>
        <v/>
      </c>
      <c r="Y16" s="60" t="n"/>
      <c r="Z16" s="61" t="inlineStr">
        <is>
          <t>FY2027 YTD</t>
        </is>
      </c>
      <c r="AA16" s="65">
        <f>SUMPRODUCT(($E$21:$E$130&gt;=$Z$4)*($E$21:$E$130&lt;=EOMONTH($Z$15,0)),$G$21:$G$130)</f>
        <v/>
      </c>
      <c r="AB16" s="62">
        <f>IF(N(AA16)=0,"",SUMPRODUCT(($E$21:$E$130&gt;=$Z$4)*($E$21:$E$130&lt;=EOMONTH($Z$15,0)),$F$21:$F$130,$G$21:$G$130)/AA16)</f>
        <v/>
      </c>
      <c r="AC16" s="65">
        <f>SUMPRODUCT(($L$21:$L$130&gt;=$Z$4)*($L$21:$L$130&lt;=EOMONTH($Z$15,0)),$N$21:$N$130)</f>
        <v/>
      </c>
      <c r="AD16" s="62">
        <f>IF(N(AC16)=0,"",SUMPRODUCT(($L$21:$L$130&gt;=$Z$4)*($L$21:$L$130&lt;=EOMONTH($Z$15,0)),$M$21:$M$130,$N$21:$N$130)/AC16)</f>
        <v/>
      </c>
      <c r="AE16" s="62">
        <f>IF(N(AA16)+N(AC16)=0,"",(N(AB16)*N(AA16)+N(AD16)*N(AC16))/(N(AA16)+N(AC16)))</f>
        <v/>
      </c>
    </row>
    <row r="17">
      <c r="Y17" s="66" t="inlineStr">
        <is>
          <t>Only contracts signed within FY2027 (Oct-2026 to the month shown) are counted; weighted by posts filled.</t>
        </is>
      </c>
    </row>
    <row r="18" ht="24.75" customHeight="1">
      <c r="A18" s="40">
        <f>A1</f>
        <v/>
      </c>
      <c r="B18" s="41" t="n"/>
      <c r="C18" s="42" t="n"/>
      <c r="D18" s="40" t="inlineStr">
        <is>
          <t>TIME TO HIRE YTD (Days)</t>
        </is>
      </c>
      <c r="E18" s="44" t="n"/>
      <c r="F18" s="46">
        <f>AB16</f>
        <v/>
      </c>
      <c r="G18" s="44" t="n"/>
      <c r="H18" s="40">
        <f>A1</f>
        <v/>
      </c>
      <c r="I18" s="41" t="n"/>
      <c r="J18" s="42" t="n"/>
      <c r="K18" s="40" t="inlineStr">
        <is>
          <t>TIME TO HIRE YTD (Days)</t>
        </is>
      </c>
      <c r="L18" s="44" t="n"/>
      <c r="M18" s="46">
        <f>AD16</f>
        <v/>
      </c>
      <c r="N18" s="44" t="n"/>
    </row>
    <row r="19" ht="21.75" customHeight="1">
      <c r="A19" s="47" t="inlineStr">
        <is>
          <t>PERMANENT EE</t>
        </is>
      </c>
      <c r="B19" s="41" t="n"/>
      <c r="C19" s="42" t="n"/>
      <c r="D19" s="48" t="n"/>
      <c r="E19" s="50" t="n"/>
      <c r="F19" s="48" t="n"/>
      <c r="G19" s="50" t="n"/>
      <c r="H19" s="47" t="inlineStr">
        <is>
          <t>TEMPORARY EE</t>
        </is>
      </c>
      <c r="I19" s="41" t="n"/>
      <c r="J19" s="42" t="n"/>
      <c r="K19" s="48" t="n"/>
      <c r="L19" s="50" t="n"/>
      <c r="M19" s="48" t="n"/>
      <c r="N19" s="50" t="n"/>
    </row>
    <row r="20" ht="60" customHeight="1">
      <c r="A20" s="52" t="inlineStr">
        <is>
          <t>No.</t>
        </is>
      </c>
      <c r="B20" s="52" t="inlineStr">
        <is>
          <t>Job Title</t>
        </is>
      </c>
      <c r="C20" s="52" t="inlineStr">
        <is>
          <t>No. of Posts</t>
        </is>
      </c>
      <c r="D20" s="52" t="inlineStr">
        <is>
          <t>Job Opening Date (mm/dd/yyyy)</t>
        </is>
      </c>
      <c r="E20" s="52" t="inlineStr">
        <is>
          <t>Contract Signed Date (mm/dd/yyyy)</t>
        </is>
      </c>
      <c r="F20" s="52" t="inlineStr">
        <is>
          <t>Time to Hire by Position (Days)</t>
        </is>
      </c>
      <c r="G20" s="52" t="inlineStr">
        <is>
          <t>Posts Filled (auto)</t>
        </is>
      </c>
      <c r="H20" s="52" t="inlineStr">
        <is>
          <t>No.</t>
        </is>
      </c>
      <c r="I20" s="52" t="inlineStr">
        <is>
          <t>Job Title</t>
        </is>
      </c>
      <c r="J20" s="52" t="inlineStr">
        <is>
          <t>No. of Posts</t>
        </is>
      </c>
      <c r="K20" s="52" t="inlineStr">
        <is>
          <t>Job Opening Date (mm/dd/yyyy)</t>
        </is>
      </c>
      <c r="L20" s="52" t="inlineStr">
        <is>
          <t>Contract Signed Date (mm/dd/yyyy)</t>
        </is>
      </c>
      <c r="M20" s="52" t="inlineStr">
        <is>
          <t>Time to Hire by Position (Days)</t>
        </is>
      </c>
      <c r="N20" s="52" t="inlineStr">
        <is>
          <t>Posts Filled (auto)</t>
        </is>
      </c>
    </row>
    <row r="21">
      <c r="A21" s="53" t="n">
        <v>1</v>
      </c>
      <c r="B21" s="67" t="n"/>
      <c r="C21" s="55" t="n"/>
      <c r="D21" s="68" t="n"/>
      <c r="E21" s="68" t="n"/>
      <c r="F21" s="59">
        <f>IF(OR(E21="",D21=""),"",MAX(E21-D21,0))</f>
        <v/>
      </c>
      <c r="G21" s="59">
        <f>IF(F21="","",IF(N(C21)=0,1,C21))</f>
        <v/>
      </c>
      <c r="H21" s="53" t="n">
        <v>1</v>
      </c>
      <c r="I21" s="67" t="n"/>
      <c r="J21" s="55" t="n"/>
      <c r="K21" s="68" t="n"/>
      <c r="L21" s="68" t="n"/>
      <c r="M21" s="59">
        <f>IF(OR(L21="",K21=""),"",MAX(L21-K21,0))</f>
        <v/>
      </c>
      <c r="N21" s="59">
        <f>IF(M21="","",IF(N(J21)=0,1,J21))</f>
        <v/>
      </c>
    </row>
    <row r="22">
      <c r="A22" s="53" t="n">
        <v>2</v>
      </c>
      <c r="B22" s="67" t="n"/>
      <c r="C22" s="55" t="n"/>
      <c r="D22" s="68" t="n"/>
      <c r="E22" s="68" t="n"/>
      <c r="F22" s="59">
        <f>IF(OR(E22="",D22=""),"",MAX(E22-D22,0))</f>
        <v/>
      </c>
      <c r="G22" s="59">
        <f>IF(F22="","",IF(N(C22)=0,1,C22))</f>
        <v/>
      </c>
      <c r="H22" s="53" t="n">
        <v>2</v>
      </c>
      <c r="I22" s="67" t="n"/>
      <c r="J22" s="55" t="n"/>
      <c r="K22" s="68" t="n"/>
      <c r="L22" s="68" t="n"/>
      <c r="M22" s="59">
        <f>IF(OR(L22="",K22=""),"",MAX(L22-K22,0))</f>
        <v/>
      </c>
      <c r="N22" s="59">
        <f>IF(M22="","",IF(N(J22)=0,1,J22))</f>
        <v/>
      </c>
    </row>
    <row r="23">
      <c r="A23" s="53" t="n">
        <v>3</v>
      </c>
      <c r="B23" s="67" t="n"/>
      <c r="C23" s="55" t="n"/>
      <c r="D23" s="68" t="n"/>
      <c r="E23" s="68" t="n"/>
      <c r="F23" s="59">
        <f>IF(OR(E23="",D23=""),"",MAX(E23-D23,0))</f>
        <v/>
      </c>
      <c r="G23" s="59">
        <f>IF(F23="","",IF(N(C23)=0,1,C23))</f>
        <v/>
      </c>
      <c r="H23" s="53" t="n">
        <v>3</v>
      </c>
      <c r="I23" s="67" t="n"/>
      <c r="J23" s="55" t="n"/>
      <c r="K23" s="68" t="n"/>
      <c r="L23" s="68" t="n"/>
      <c r="M23" s="59">
        <f>IF(OR(L23="",K23=""),"",MAX(L23-K23,0))</f>
        <v/>
      </c>
      <c r="N23" s="59">
        <f>IF(M23="","",IF(N(J23)=0,1,J23))</f>
        <v/>
      </c>
    </row>
    <row r="24">
      <c r="A24" s="53" t="n">
        <v>4</v>
      </c>
      <c r="B24" s="67" t="n"/>
      <c r="C24" s="55" t="n"/>
      <c r="D24" s="68" t="n"/>
      <c r="E24" s="68" t="n"/>
      <c r="F24" s="59">
        <f>IF(OR(E24="",D24=""),"",MAX(E24-D24,0))</f>
        <v/>
      </c>
      <c r="G24" s="59">
        <f>IF(F24="","",IF(N(C24)=0,1,C24))</f>
        <v/>
      </c>
      <c r="H24" s="53" t="n">
        <v>4</v>
      </c>
      <c r="I24" s="67" t="n"/>
      <c r="J24" s="55" t="n"/>
      <c r="K24" s="68" t="n"/>
      <c r="L24" s="68" t="n"/>
      <c r="M24" s="59">
        <f>IF(OR(L24="",K24=""),"",MAX(L24-K24,0))</f>
        <v/>
      </c>
      <c r="N24" s="59">
        <f>IF(M24="","",IF(N(J24)=0,1,J24))</f>
        <v/>
      </c>
    </row>
    <row r="25">
      <c r="A25" s="53" t="n">
        <v>5</v>
      </c>
      <c r="B25" s="67" t="n"/>
      <c r="C25" s="55" t="n"/>
      <c r="D25" s="68" t="n"/>
      <c r="E25" s="68" t="n"/>
      <c r="F25" s="59">
        <f>IF(OR(E25="",D25=""),"",MAX(E25-D25,0))</f>
        <v/>
      </c>
      <c r="G25" s="59">
        <f>IF(F25="","",IF(N(C25)=0,1,C25))</f>
        <v/>
      </c>
      <c r="H25" s="53" t="n">
        <v>5</v>
      </c>
      <c r="I25" s="67" t="n"/>
      <c r="J25" s="55" t="n"/>
      <c r="K25" s="68" t="n"/>
      <c r="L25" s="68" t="n"/>
      <c r="M25" s="59">
        <f>IF(OR(L25="",K25=""),"",MAX(L25-K25,0))</f>
        <v/>
      </c>
      <c r="N25" s="59">
        <f>IF(M25="","",IF(N(J25)=0,1,J25))</f>
        <v/>
      </c>
    </row>
    <row r="26">
      <c r="A26" s="53" t="n">
        <v>6</v>
      </c>
      <c r="B26" s="67" t="n"/>
      <c r="C26" s="55" t="n"/>
      <c r="D26" s="68" t="n"/>
      <c r="E26" s="68" t="n"/>
      <c r="F26" s="59">
        <f>IF(OR(E26="",D26=""),"",MAX(E26-D26,0))</f>
        <v/>
      </c>
      <c r="G26" s="59">
        <f>IF(F26="","",IF(N(C26)=0,1,C26))</f>
        <v/>
      </c>
      <c r="H26" s="53" t="n">
        <v>6</v>
      </c>
      <c r="I26" s="67" t="n"/>
      <c r="J26" s="55" t="n"/>
      <c r="K26" s="68" t="n"/>
      <c r="L26" s="68" t="n"/>
      <c r="M26" s="59">
        <f>IF(OR(L26="",K26=""),"",MAX(L26-K26,0))</f>
        <v/>
      </c>
      <c r="N26" s="59">
        <f>IF(M26="","",IF(N(J26)=0,1,J26))</f>
        <v/>
      </c>
    </row>
    <row r="27">
      <c r="A27" s="53" t="n">
        <v>7</v>
      </c>
      <c r="B27" s="67" t="n"/>
      <c r="C27" s="55" t="n"/>
      <c r="D27" s="68" t="n"/>
      <c r="E27" s="68" t="n"/>
      <c r="F27" s="59">
        <f>IF(OR(E27="",D27=""),"",MAX(E27-D27,0))</f>
        <v/>
      </c>
      <c r="G27" s="59">
        <f>IF(F27="","",IF(N(C27)=0,1,C27))</f>
        <v/>
      </c>
      <c r="H27" s="53" t="n">
        <v>7</v>
      </c>
      <c r="I27" s="67" t="n"/>
      <c r="J27" s="55" t="n"/>
      <c r="K27" s="68" t="n"/>
      <c r="L27" s="68" t="n"/>
      <c r="M27" s="59">
        <f>IF(OR(L27="",K27=""),"",MAX(L27-K27,0))</f>
        <v/>
      </c>
      <c r="N27" s="59">
        <f>IF(M27="","",IF(N(J27)=0,1,J27))</f>
        <v/>
      </c>
    </row>
    <row r="28">
      <c r="A28" s="53" t="n">
        <v>8</v>
      </c>
      <c r="B28" s="67" t="n"/>
      <c r="C28" s="55" t="n"/>
      <c r="D28" s="68" t="n"/>
      <c r="E28" s="68" t="n"/>
      <c r="F28" s="59">
        <f>IF(OR(E28="",D28=""),"",MAX(E28-D28,0))</f>
        <v/>
      </c>
      <c r="G28" s="59">
        <f>IF(F28="","",IF(N(C28)=0,1,C28))</f>
        <v/>
      </c>
      <c r="H28" s="53" t="n">
        <v>8</v>
      </c>
      <c r="I28" s="67" t="n"/>
      <c r="J28" s="55" t="n"/>
      <c r="K28" s="68" t="n"/>
      <c r="L28" s="68" t="n"/>
      <c r="M28" s="59">
        <f>IF(OR(L28="",K28=""),"",MAX(L28-K28,0))</f>
        <v/>
      </c>
      <c r="N28" s="59">
        <f>IF(M28="","",IF(N(J28)=0,1,J28))</f>
        <v/>
      </c>
    </row>
    <row r="29">
      <c r="A29" s="53" t="n">
        <v>9</v>
      </c>
      <c r="B29" s="67" t="n"/>
      <c r="C29" s="55" t="n"/>
      <c r="D29" s="68" t="n"/>
      <c r="E29" s="68" t="n"/>
      <c r="F29" s="59">
        <f>IF(OR(E29="",D29=""),"",MAX(E29-D29,0))</f>
        <v/>
      </c>
      <c r="G29" s="59">
        <f>IF(F29="","",IF(N(C29)=0,1,C29))</f>
        <v/>
      </c>
      <c r="H29" s="53" t="n">
        <v>9</v>
      </c>
      <c r="I29" s="67" t="n"/>
      <c r="J29" s="55" t="n"/>
      <c r="K29" s="68" t="n"/>
      <c r="L29" s="68" t="n"/>
      <c r="M29" s="59">
        <f>IF(OR(L29="",K29=""),"",MAX(L29-K29,0))</f>
        <v/>
      </c>
      <c r="N29" s="59">
        <f>IF(M29="","",IF(N(J29)=0,1,J29))</f>
        <v/>
      </c>
    </row>
    <row r="30">
      <c r="A30" s="53" t="n">
        <v>10</v>
      </c>
      <c r="B30" s="67" t="n"/>
      <c r="C30" s="55" t="n"/>
      <c r="D30" s="68" t="n"/>
      <c r="E30" s="68" t="n"/>
      <c r="F30" s="59">
        <f>IF(OR(E30="",D30=""),"",MAX(E30-D30,0))</f>
        <v/>
      </c>
      <c r="G30" s="59">
        <f>IF(F30="","",IF(N(C30)=0,1,C30))</f>
        <v/>
      </c>
      <c r="H30" s="53" t="n">
        <v>10</v>
      </c>
      <c r="I30" s="67" t="n"/>
      <c r="J30" s="55" t="n"/>
      <c r="K30" s="68" t="n"/>
      <c r="L30" s="68" t="n"/>
      <c r="M30" s="59">
        <f>IF(OR(L30="",K30=""),"",MAX(L30-K30,0))</f>
        <v/>
      </c>
      <c r="N30" s="59">
        <f>IF(M30="","",IF(N(J30)=0,1,J30))</f>
        <v/>
      </c>
    </row>
    <row r="31">
      <c r="A31" s="53" t="n">
        <v>11</v>
      </c>
      <c r="B31" s="67" t="n"/>
      <c r="C31" s="55" t="n"/>
      <c r="D31" s="68" t="n"/>
      <c r="E31" s="68" t="n"/>
      <c r="F31" s="59">
        <f>IF(OR(E31="",D31=""),"",MAX(E31-D31,0))</f>
        <v/>
      </c>
      <c r="G31" s="59">
        <f>IF(F31="","",IF(N(C31)=0,1,C31))</f>
        <v/>
      </c>
      <c r="H31" s="53" t="n">
        <v>11</v>
      </c>
      <c r="I31" s="67" t="n"/>
      <c r="J31" s="55" t="n"/>
      <c r="K31" s="68" t="n"/>
      <c r="L31" s="68" t="n"/>
      <c r="M31" s="59">
        <f>IF(OR(L31="",K31=""),"",MAX(L31-K31,0))</f>
        <v/>
      </c>
      <c r="N31" s="59">
        <f>IF(M31="","",IF(N(J31)=0,1,J31))</f>
        <v/>
      </c>
    </row>
    <row r="32">
      <c r="A32" s="53" t="n">
        <v>12</v>
      </c>
      <c r="B32" s="67" t="n"/>
      <c r="C32" s="55" t="n"/>
      <c r="D32" s="68" t="n"/>
      <c r="E32" s="68" t="n"/>
      <c r="F32" s="59">
        <f>IF(OR(E32="",D32=""),"",MAX(E32-D32,0))</f>
        <v/>
      </c>
      <c r="G32" s="59">
        <f>IF(F32="","",IF(N(C32)=0,1,C32))</f>
        <v/>
      </c>
      <c r="H32" s="53" t="n">
        <v>12</v>
      </c>
      <c r="I32" s="67" t="n"/>
      <c r="J32" s="55" t="n"/>
      <c r="K32" s="68" t="n"/>
      <c r="L32" s="68" t="n"/>
      <c r="M32" s="59">
        <f>IF(OR(L32="",K32=""),"",MAX(L32-K32,0))</f>
        <v/>
      </c>
      <c r="N32" s="59">
        <f>IF(M32="","",IF(N(J32)=0,1,J32))</f>
        <v/>
      </c>
    </row>
    <row r="33">
      <c r="A33" s="53" t="n">
        <v>13</v>
      </c>
      <c r="B33" s="67" t="n"/>
      <c r="C33" s="55" t="n"/>
      <c r="D33" s="68" t="n"/>
      <c r="E33" s="68" t="n"/>
      <c r="F33" s="59">
        <f>IF(OR(E33="",D33=""),"",MAX(E33-D33,0))</f>
        <v/>
      </c>
      <c r="G33" s="59">
        <f>IF(F33="","",IF(N(C33)=0,1,C33))</f>
        <v/>
      </c>
      <c r="H33" s="53" t="n">
        <v>13</v>
      </c>
      <c r="I33" s="67" t="n"/>
      <c r="J33" s="55" t="n"/>
      <c r="K33" s="68" t="n"/>
      <c r="L33" s="68" t="n"/>
      <c r="M33" s="59">
        <f>IF(OR(L33="",K33=""),"",MAX(L33-K33,0))</f>
        <v/>
      </c>
      <c r="N33" s="59">
        <f>IF(M33="","",IF(N(J33)=0,1,J33))</f>
        <v/>
      </c>
    </row>
    <row r="34">
      <c r="A34" s="53" t="n">
        <v>14</v>
      </c>
      <c r="B34" s="67" t="n"/>
      <c r="C34" s="55" t="n"/>
      <c r="D34" s="68" t="n"/>
      <c r="E34" s="68" t="n"/>
      <c r="F34" s="59">
        <f>IF(OR(E34="",D34=""),"",MAX(E34-D34,0))</f>
        <v/>
      </c>
      <c r="G34" s="59">
        <f>IF(F34="","",IF(N(C34)=0,1,C34))</f>
        <v/>
      </c>
      <c r="H34" s="53" t="n">
        <v>14</v>
      </c>
      <c r="I34" s="67" t="n"/>
      <c r="J34" s="55" t="n"/>
      <c r="K34" s="68" t="n"/>
      <c r="L34" s="68" t="n"/>
      <c r="M34" s="59">
        <f>IF(OR(L34="",K34=""),"",MAX(L34-K34,0))</f>
        <v/>
      </c>
      <c r="N34" s="59">
        <f>IF(M34="","",IF(N(J34)=0,1,J34))</f>
        <v/>
      </c>
    </row>
    <row r="35">
      <c r="A35" s="53" t="n">
        <v>15</v>
      </c>
      <c r="B35" s="67" t="n"/>
      <c r="C35" s="55" t="n"/>
      <c r="D35" s="68" t="n"/>
      <c r="E35" s="68" t="n"/>
      <c r="F35" s="59">
        <f>IF(OR(E35="",D35=""),"",MAX(E35-D35,0))</f>
        <v/>
      </c>
      <c r="G35" s="59">
        <f>IF(F35="","",IF(N(C35)=0,1,C35))</f>
        <v/>
      </c>
      <c r="H35" s="53" t="n">
        <v>15</v>
      </c>
      <c r="I35" s="67" t="n"/>
      <c r="J35" s="55" t="n"/>
      <c r="K35" s="68" t="n"/>
      <c r="L35" s="68" t="n"/>
      <c r="M35" s="59">
        <f>IF(OR(L35="",K35=""),"",MAX(L35-K35,0))</f>
        <v/>
      </c>
      <c r="N35" s="59">
        <f>IF(M35="","",IF(N(J35)=0,1,J35))</f>
        <v/>
      </c>
    </row>
    <row r="36">
      <c r="A36" s="53" t="n">
        <v>16</v>
      </c>
      <c r="B36" s="67" t="n"/>
      <c r="C36" s="55" t="n"/>
      <c r="D36" s="68" t="n"/>
      <c r="E36" s="68" t="n"/>
      <c r="F36" s="59">
        <f>IF(OR(E36="",D36=""),"",MAX(E36-D36,0))</f>
        <v/>
      </c>
      <c r="G36" s="59">
        <f>IF(F36="","",IF(N(C36)=0,1,C36))</f>
        <v/>
      </c>
      <c r="H36" s="53" t="n">
        <v>16</v>
      </c>
      <c r="I36" s="67" t="n"/>
      <c r="J36" s="55" t="n"/>
      <c r="K36" s="68" t="n"/>
      <c r="L36" s="68" t="n"/>
      <c r="M36" s="59">
        <f>IF(OR(L36="",K36=""),"",MAX(L36-K36,0))</f>
        <v/>
      </c>
      <c r="N36" s="59">
        <f>IF(M36="","",IF(N(J36)=0,1,J36))</f>
        <v/>
      </c>
    </row>
    <row r="37">
      <c r="A37" s="53" t="n">
        <v>17</v>
      </c>
      <c r="B37" s="67" t="n"/>
      <c r="C37" s="55" t="n"/>
      <c r="D37" s="68" t="n"/>
      <c r="E37" s="68" t="n"/>
      <c r="F37" s="59">
        <f>IF(OR(E37="",D37=""),"",MAX(E37-D37,0))</f>
        <v/>
      </c>
      <c r="G37" s="59">
        <f>IF(F37="","",IF(N(C37)=0,1,C37))</f>
        <v/>
      </c>
      <c r="H37" s="53" t="n">
        <v>17</v>
      </c>
      <c r="I37" s="67" t="n"/>
      <c r="J37" s="55" t="n"/>
      <c r="K37" s="68" t="n"/>
      <c r="L37" s="68" t="n"/>
      <c r="M37" s="59">
        <f>IF(OR(L37="",K37=""),"",MAX(L37-K37,0))</f>
        <v/>
      </c>
      <c r="N37" s="59">
        <f>IF(M37="","",IF(N(J37)=0,1,J37))</f>
        <v/>
      </c>
    </row>
    <row r="38">
      <c r="A38" s="53" t="n">
        <v>18</v>
      </c>
      <c r="B38" s="67" t="n"/>
      <c r="C38" s="55" t="n"/>
      <c r="D38" s="68" t="n"/>
      <c r="E38" s="68" t="n"/>
      <c r="F38" s="59">
        <f>IF(OR(E38="",D38=""),"",MAX(E38-D38,0))</f>
        <v/>
      </c>
      <c r="G38" s="59">
        <f>IF(F38="","",IF(N(C38)=0,1,C38))</f>
        <v/>
      </c>
      <c r="H38" s="53" t="n">
        <v>18</v>
      </c>
      <c r="I38" s="67" t="n"/>
      <c r="J38" s="55" t="n"/>
      <c r="K38" s="68" t="n"/>
      <c r="L38" s="68" t="n"/>
      <c r="M38" s="59">
        <f>IF(OR(L38="",K38=""),"",MAX(L38-K38,0))</f>
        <v/>
      </c>
      <c r="N38" s="59">
        <f>IF(M38="","",IF(N(J38)=0,1,J38))</f>
        <v/>
      </c>
    </row>
    <row r="39">
      <c r="A39" s="53" t="n">
        <v>19</v>
      </c>
      <c r="B39" s="67" t="n"/>
      <c r="C39" s="55" t="n"/>
      <c r="D39" s="68" t="n"/>
      <c r="E39" s="68" t="n"/>
      <c r="F39" s="59">
        <f>IF(OR(E39="",D39=""),"",MAX(E39-D39,0))</f>
        <v/>
      </c>
      <c r="G39" s="59">
        <f>IF(F39="","",IF(N(C39)=0,1,C39))</f>
        <v/>
      </c>
      <c r="H39" s="53" t="n">
        <v>19</v>
      </c>
      <c r="I39" s="67" t="n"/>
      <c r="J39" s="55" t="n"/>
      <c r="K39" s="68" t="n"/>
      <c r="L39" s="68" t="n"/>
      <c r="M39" s="59">
        <f>IF(OR(L39="",K39=""),"",MAX(L39-K39,0))</f>
        <v/>
      </c>
      <c r="N39" s="59">
        <f>IF(M39="","",IF(N(J39)=0,1,J39))</f>
        <v/>
      </c>
    </row>
    <row r="40">
      <c r="A40" s="53" t="n">
        <v>20</v>
      </c>
      <c r="B40" s="67" t="n"/>
      <c r="C40" s="55" t="n"/>
      <c r="D40" s="68" t="n"/>
      <c r="E40" s="68" t="n"/>
      <c r="F40" s="59">
        <f>IF(OR(E40="",D40=""),"",MAX(E40-D40,0))</f>
        <v/>
      </c>
      <c r="G40" s="59">
        <f>IF(F40="","",IF(N(C40)=0,1,C40))</f>
        <v/>
      </c>
      <c r="H40" s="53" t="n">
        <v>20</v>
      </c>
      <c r="I40" s="67" t="n"/>
      <c r="J40" s="55" t="n"/>
      <c r="K40" s="68" t="n"/>
      <c r="L40" s="68" t="n"/>
      <c r="M40" s="59">
        <f>IF(OR(L40="",K40=""),"",MAX(L40-K40,0))</f>
        <v/>
      </c>
      <c r="N40" s="59">
        <f>IF(M40="","",IF(N(J40)=0,1,J40))</f>
        <v/>
      </c>
    </row>
    <row r="41">
      <c r="A41" s="53" t="n">
        <v>21</v>
      </c>
      <c r="B41" s="67" t="n"/>
      <c r="C41" s="55" t="n"/>
      <c r="D41" s="68" t="n"/>
      <c r="E41" s="68" t="n"/>
      <c r="F41" s="59">
        <f>IF(OR(E41="",D41=""),"",MAX(E41-D41,0))</f>
        <v/>
      </c>
      <c r="G41" s="59">
        <f>IF(F41="","",IF(N(C41)=0,1,C41))</f>
        <v/>
      </c>
      <c r="H41" s="53" t="n">
        <v>21</v>
      </c>
      <c r="I41" s="67" t="n"/>
      <c r="J41" s="55" t="n"/>
      <c r="K41" s="68" t="n"/>
      <c r="L41" s="68" t="n"/>
      <c r="M41" s="59">
        <f>IF(OR(L41="",K41=""),"",MAX(L41-K41,0))</f>
        <v/>
      </c>
      <c r="N41" s="59">
        <f>IF(M41="","",IF(N(J41)=0,1,J41))</f>
        <v/>
      </c>
    </row>
    <row r="42">
      <c r="A42" s="53" t="n">
        <v>22</v>
      </c>
      <c r="B42" s="67" t="n"/>
      <c r="C42" s="55" t="n"/>
      <c r="D42" s="68" t="n"/>
      <c r="E42" s="68" t="n"/>
      <c r="F42" s="59">
        <f>IF(OR(E42="",D42=""),"",MAX(E42-D42,0))</f>
        <v/>
      </c>
      <c r="G42" s="59">
        <f>IF(F42="","",IF(N(C42)=0,1,C42))</f>
        <v/>
      </c>
      <c r="H42" s="53" t="n">
        <v>22</v>
      </c>
      <c r="I42" s="67" t="n"/>
      <c r="J42" s="55" t="n"/>
      <c r="K42" s="68" t="n"/>
      <c r="L42" s="68" t="n"/>
      <c r="M42" s="59">
        <f>IF(OR(L42="",K42=""),"",MAX(L42-K42,0))</f>
        <v/>
      </c>
      <c r="N42" s="59">
        <f>IF(M42="","",IF(N(J42)=0,1,J42))</f>
        <v/>
      </c>
    </row>
    <row r="43">
      <c r="A43" s="53" t="n">
        <v>23</v>
      </c>
      <c r="B43" s="67" t="n"/>
      <c r="C43" s="55" t="n"/>
      <c r="D43" s="68" t="n"/>
      <c r="E43" s="68" t="n"/>
      <c r="F43" s="59">
        <f>IF(OR(E43="",D43=""),"",MAX(E43-D43,0))</f>
        <v/>
      </c>
      <c r="G43" s="59">
        <f>IF(F43="","",IF(N(C43)=0,1,C43))</f>
        <v/>
      </c>
      <c r="H43" s="53" t="n">
        <v>23</v>
      </c>
      <c r="I43" s="67" t="n"/>
      <c r="J43" s="55" t="n"/>
      <c r="K43" s="68" t="n"/>
      <c r="L43" s="68" t="n"/>
      <c r="M43" s="59">
        <f>IF(OR(L43="",K43=""),"",MAX(L43-K43,0))</f>
        <v/>
      </c>
      <c r="N43" s="59">
        <f>IF(M43="","",IF(N(J43)=0,1,J43))</f>
        <v/>
      </c>
    </row>
    <row r="44">
      <c r="A44" s="53" t="n">
        <v>24</v>
      </c>
      <c r="B44" s="67" t="n"/>
      <c r="C44" s="55" t="n"/>
      <c r="D44" s="68" t="n"/>
      <c r="E44" s="68" t="n"/>
      <c r="F44" s="59">
        <f>IF(OR(E44="",D44=""),"",MAX(E44-D44,0))</f>
        <v/>
      </c>
      <c r="G44" s="59">
        <f>IF(F44="","",IF(N(C44)=0,1,C44))</f>
        <v/>
      </c>
      <c r="H44" s="53" t="n">
        <v>24</v>
      </c>
      <c r="I44" s="67" t="n"/>
      <c r="J44" s="55" t="n"/>
      <c r="K44" s="68" t="n"/>
      <c r="L44" s="68" t="n"/>
      <c r="M44" s="59">
        <f>IF(OR(L44="",K44=""),"",MAX(L44-K44,0))</f>
        <v/>
      </c>
      <c r="N44" s="59">
        <f>IF(M44="","",IF(N(J44)=0,1,J44))</f>
        <v/>
      </c>
    </row>
    <row r="45">
      <c r="A45" s="53" t="n">
        <v>25</v>
      </c>
      <c r="B45" s="67" t="n"/>
      <c r="C45" s="55" t="n"/>
      <c r="D45" s="68" t="n"/>
      <c r="E45" s="68" t="n"/>
      <c r="F45" s="59">
        <f>IF(OR(E45="",D45=""),"",MAX(E45-D45,0))</f>
        <v/>
      </c>
      <c r="G45" s="59">
        <f>IF(F45="","",IF(N(C45)=0,1,C45))</f>
        <v/>
      </c>
      <c r="H45" s="53" t="n">
        <v>25</v>
      </c>
      <c r="I45" s="67" t="n"/>
      <c r="J45" s="55" t="n"/>
      <c r="K45" s="68" t="n"/>
      <c r="L45" s="68" t="n"/>
      <c r="M45" s="59">
        <f>IF(OR(L45="",K45=""),"",MAX(L45-K45,0))</f>
        <v/>
      </c>
      <c r="N45" s="59">
        <f>IF(M45="","",IF(N(J45)=0,1,J45))</f>
        <v/>
      </c>
    </row>
    <row r="46">
      <c r="A46" s="53" t="n">
        <v>26</v>
      </c>
      <c r="B46" s="67" t="n"/>
      <c r="C46" s="55" t="n"/>
      <c r="D46" s="68" t="n"/>
      <c r="E46" s="68" t="n"/>
      <c r="F46" s="59">
        <f>IF(OR(E46="",D46=""),"",MAX(E46-D46,0))</f>
        <v/>
      </c>
      <c r="G46" s="59">
        <f>IF(F46="","",IF(N(C46)=0,1,C46))</f>
        <v/>
      </c>
      <c r="H46" s="53" t="n">
        <v>26</v>
      </c>
      <c r="I46" s="67" t="n"/>
      <c r="J46" s="55" t="n"/>
      <c r="K46" s="68" t="n"/>
      <c r="L46" s="68" t="n"/>
      <c r="M46" s="59">
        <f>IF(OR(L46="",K46=""),"",MAX(L46-K46,0))</f>
        <v/>
      </c>
      <c r="N46" s="59">
        <f>IF(M46="","",IF(N(J46)=0,1,J46))</f>
        <v/>
      </c>
    </row>
    <row r="47">
      <c r="A47" s="53" t="n">
        <v>27</v>
      </c>
      <c r="B47" s="67" t="n"/>
      <c r="C47" s="55" t="n"/>
      <c r="D47" s="68" t="n"/>
      <c r="E47" s="68" t="n"/>
      <c r="F47" s="59">
        <f>IF(OR(E47="",D47=""),"",MAX(E47-D47,0))</f>
        <v/>
      </c>
      <c r="G47" s="59">
        <f>IF(F47="","",IF(N(C47)=0,1,C47))</f>
        <v/>
      </c>
      <c r="H47" s="53" t="n">
        <v>27</v>
      </c>
      <c r="I47" s="67" t="n"/>
      <c r="J47" s="55" t="n"/>
      <c r="K47" s="68" t="n"/>
      <c r="L47" s="68" t="n"/>
      <c r="M47" s="59">
        <f>IF(OR(L47="",K47=""),"",MAX(L47-K47,0))</f>
        <v/>
      </c>
      <c r="N47" s="59">
        <f>IF(M47="","",IF(N(J47)=0,1,J47))</f>
        <v/>
      </c>
    </row>
    <row r="48">
      <c r="A48" s="53" t="n">
        <v>28</v>
      </c>
      <c r="B48" s="67" t="n"/>
      <c r="C48" s="55" t="n"/>
      <c r="D48" s="68" t="n"/>
      <c r="E48" s="68" t="n"/>
      <c r="F48" s="59">
        <f>IF(OR(E48="",D48=""),"",MAX(E48-D48,0))</f>
        <v/>
      </c>
      <c r="G48" s="59">
        <f>IF(F48="","",IF(N(C48)=0,1,C48))</f>
        <v/>
      </c>
      <c r="H48" s="53" t="n">
        <v>28</v>
      </c>
      <c r="I48" s="67" t="n"/>
      <c r="J48" s="55" t="n"/>
      <c r="K48" s="68" t="n"/>
      <c r="L48" s="68" t="n"/>
      <c r="M48" s="59">
        <f>IF(OR(L48="",K48=""),"",MAX(L48-K48,0))</f>
        <v/>
      </c>
      <c r="N48" s="59">
        <f>IF(M48="","",IF(N(J48)=0,1,J48))</f>
        <v/>
      </c>
    </row>
    <row r="49">
      <c r="A49" s="53" t="n">
        <v>29</v>
      </c>
      <c r="B49" s="67" t="n"/>
      <c r="C49" s="55" t="n"/>
      <c r="D49" s="68" t="n"/>
      <c r="E49" s="68" t="n"/>
      <c r="F49" s="59">
        <f>IF(OR(E49="",D49=""),"",MAX(E49-D49,0))</f>
        <v/>
      </c>
      <c r="G49" s="59">
        <f>IF(F49="","",IF(N(C49)=0,1,C49))</f>
        <v/>
      </c>
      <c r="H49" s="53" t="n">
        <v>29</v>
      </c>
      <c r="I49" s="67" t="n"/>
      <c r="J49" s="55" t="n"/>
      <c r="K49" s="68" t="n"/>
      <c r="L49" s="68" t="n"/>
      <c r="M49" s="59">
        <f>IF(OR(L49="",K49=""),"",MAX(L49-K49,0))</f>
        <v/>
      </c>
      <c r="N49" s="59">
        <f>IF(M49="","",IF(N(J49)=0,1,J49))</f>
        <v/>
      </c>
    </row>
    <row r="50">
      <c r="A50" s="53" t="n">
        <v>30</v>
      </c>
      <c r="B50" s="67" t="n"/>
      <c r="C50" s="55" t="n"/>
      <c r="D50" s="68" t="n"/>
      <c r="E50" s="68" t="n"/>
      <c r="F50" s="59">
        <f>IF(OR(E50="",D50=""),"",MAX(E50-D50,0))</f>
        <v/>
      </c>
      <c r="G50" s="59">
        <f>IF(F50="","",IF(N(C50)=0,1,C50))</f>
        <v/>
      </c>
      <c r="H50" s="53" t="n">
        <v>30</v>
      </c>
      <c r="I50" s="67" t="n"/>
      <c r="J50" s="55" t="n"/>
      <c r="K50" s="68" t="n"/>
      <c r="L50" s="68" t="n"/>
      <c r="M50" s="59">
        <f>IF(OR(L50="",K50=""),"",MAX(L50-K50,0))</f>
        <v/>
      </c>
      <c r="N50" s="59">
        <f>IF(M50="","",IF(N(J50)=0,1,J50))</f>
        <v/>
      </c>
    </row>
    <row r="51">
      <c r="A51" s="53" t="n">
        <v>31</v>
      </c>
      <c r="B51" s="67" t="n"/>
      <c r="C51" s="55" t="n"/>
      <c r="D51" s="68" t="n"/>
      <c r="E51" s="68" t="n"/>
      <c r="F51" s="59">
        <f>IF(OR(E51="",D51=""),"",MAX(E51-D51,0))</f>
        <v/>
      </c>
      <c r="G51" s="59">
        <f>IF(F51="","",IF(N(C51)=0,1,C51))</f>
        <v/>
      </c>
      <c r="H51" s="53" t="n">
        <v>31</v>
      </c>
      <c r="I51" s="67" t="n"/>
      <c r="J51" s="55" t="n"/>
      <c r="K51" s="68" t="n"/>
      <c r="L51" s="68" t="n"/>
      <c r="M51" s="59">
        <f>IF(OR(L51="",K51=""),"",MAX(L51-K51,0))</f>
        <v/>
      </c>
      <c r="N51" s="59">
        <f>IF(M51="","",IF(N(J51)=0,1,J51))</f>
        <v/>
      </c>
    </row>
    <row r="52">
      <c r="A52" s="53" t="n">
        <v>32</v>
      </c>
      <c r="B52" s="67" t="n"/>
      <c r="C52" s="55" t="n"/>
      <c r="D52" s="68" t="n"/>
      <c r="E52" s="68" t="n"/>
      <c r="F52" s="59">
        <f>IF(OR(E52="",D52=""),"",MAX(E52-D52,0))</f>
        <v/>
      </c>
      <c r="G52" s="59">
        <f>IF(F52="","",IF(N(C52)=0,1,C52))</f>
        <v/>
      </c>
      <c r="H52" s="53" t="n">
        <v>32</v>
      </c>
      <c r="I52" s="67" t="n"/>
      <c r="J52" s="55" t="n"/>
      <c r="K52" s="68" t="n"/>
      <c r="L52" s="68" t="n"/>
      <c r="M52" s="59">
        <f>IF(OR(L52="",K52=""),"",MAX(L52-K52,0))</f>
        <v/>
      </c>
      <c r="N52" s="59">
        <f>IF(M52="","",IF(N(J52)=0,1,J52))</f>
        <v/>
      </c>
    </row>
    <row r="53">
      <c r="A53" s="53" t="n">
        <v>33</v>
      </c>
      <c r="B53" s="67" t="n"/>
      <c r="C53" s="55" t="n"/>
      <c r="D53" s="68" t="n"/>
      <c r="E53" s="68" t="n"/>
      <c r="F53" s="59">
        <f>IF(OR(E53="",D53=""),"",MAX(E53-D53,0))</f>
        <v/>
      </c>
      <c r="G53" s="59">
        <f>IF(F53="","",IF(N(C53)=0,1,C53))</f>
        <v/>
      </c>
      <c r="H53" s="53" t="n">
        <v>33</v>
      </c>
      <c r="I53" s="67" t="n"/>
      <c r="J53" s="55" t="n"/>
      <c r="K53" s="68" t="n"/>
      <c r="L53" s="68" t="n"/>
      <c r="M53" s="59">
        <f>IF(OR(L53="",K53=""),"",MAX(L53-K53,0))</f>
        <v/>
      </c>
      <c r="N53" s="59">
        <f>IF(M53="","",IF(N(J53)=0,1,J53))</f>
        <v/>
      </c>
    </row>
    <row r="54">
      <c r="A54" s="53" t="n">
        <v>34</v>
      </c>
      <c r="B54" s="67" t="n"/>
      <c r="C54" s="55" t="n"/>
      <c r="D54" s="68" t="n"/>
      <c r="E54" s="68" t="n"/>
      <c r="F54" s="59">
        <f>IF(OR(E54="",D54=""),"",MAX(E54-D54,0))</f>
        <v/>
      </c>
      <c r="G54" s="59">
        <f>IF(F54="","",IF(N(C54)=0,1,C54))</f>
        <v/>
      </c>
      <c r="H54" s="53" t="n">
        <v>34</v>
      </c>
      <c r="I54" s="67" t="n"/>
      <c r="J54" s="55" t="n"/>
      <c r="K54" s="68" t="n"/>
      <c r="L54" s="68" t="n"/>
      <c r="M54" s="59">
        <f>IF(OR(L54="",K54=""),"",MAX(L54-K54,0))</f>
        <v/>
      </c>
      <c r="N54" s="59">
        <f>IF(M54="","",IF(N(J54)=0,1,J54))</f>
        <v/>
      </c>
    </row>
    <row r="55">
      <c r="A55" s="53" t="n">
        <v>35</v>
      </c>
      <c r="B55" s="67" t="n"/>
      <c r="C55" s="55" t="n"/>
      <c r="D55" s="68" t="n"/>
      <c r="E55" s="68" t="n"/>
      <c r="F55" s="59">
        <f>IF(OR(E55="",D55=""),"",MAX(E55-D55,0))</f>
        <v/>
      </c>
      <c r="G55" s="59">
        <f>IF(F55="","",IF(N(C55)=0,1,C55))</f>
        <v/>
      </c>
      <c r="H55" s="53" t="n">
        <v>35</v>
      </c>
      <c r="I55" s="67" t="n"/>
      <c r="J55" s="55" t="n"/>
      <c r="K55" s="68" t="n"/>
      <c r="L55" s="68" t="n"/>
      <c r="M55" s="59">
        <f>IF(OR(L55="",K55=""),"",MAX(L55-K55,0))</f>
        <v/>
      </c>
      <c r="N55" s="59">
        <f>IF(M55="","",IF(N(J55)=0,1,J55))</f>
        <v/>
      </c>
    </row>
    <row r="56">
      <c r="A56" s="53" t="n">
        <v>36</v>
      </c>
      <c r="B56" s="67" t="n"/>
      <c r="C56" s="55" t="n"/>
      <c r="D56" s="68" t="n"/>
      <c r="E56" s="68" t="n"/>
      <c r="F56" s="59">
        <f>IF(OR(E56="",D56=""),"",MAX(E56-D56,0))</f>
        <v/>
      </c>
      <c r="G56" s="59">
        <f>IF(F56="","",IF(N(C56)=0,1,C56))</f>
        <v/>
      </c>
      <c r="H56" s="53" t="n">
        <v>36</v>
      </c>
      <c r="I56" s="67" t="n"/>
      <c r="J56" s="55" t="n"/>
      <c r="K56" s="68" t="n"/>
      <c r="L56" s="68" t="n"/>
      <c r="M56" s="59">
        <f>IF(OR(L56="",K56=""),"",MAX(L56-K56,0))</f>
        <v/>
      </c>
      <c r="N56" s="59">
        <f>IF(M56="","",IF(N(J56)=0,1,J56))</f>
        <v/>
      </c>
    </row>
    <row r="57">
      <c r="A57" s="53" t="n">
        <v>37</v>
      </c>
      <c r="B57" s="67" t="n"/>
      <c r="C57" s="55" t="n"/>
      <c r="D57" s="68" t="n"/>
      <c r="E57" s="68" t="n"/>
      <c r="F57" s="59">
        <f>IF(OR(E57="",D57=""),"",MAX(E57-D57,0))</f>
        <v/>
      </c>
      <c r="G57" s="59">
        <f>IF(F57="","",IF(N(C57)=0,1,C57))</f>
        <v/>
      </c>
      <c r="H57" s="53" t="n">
        <v>37</v>
      </c>
      <c r="I57" s="67" t="n"/>
      <c r="J57" s="55" t="n"/>
      <c r="K57" s="68" t="n"/>
      <c r="L57" s="68" t="n"/>
      <c r="M57" s="59">
        <f>IF(OR(L57="",K57=""),"",MAX(L57-K57,0))</f>
        <v/>
      </c>
      <c r="N57" s="59">
        <f>IF(M57="","",IF(N(J57)=0,1,J57))</f>
        <v/>
      </c>
    </row>
    <row r="58">
      <c r="A58" s="53" t="n">
        <v>38</v>
      </c>
      <c r="B58" s="67" t="n"/>
      <c r="C58" s="55" t="n"/>
      <c r="D58" s="68" t="n"/>
      <c r="E58" s="68" t="n"/>
      <c r="F58" s="59">
        <f>IF(OR(E58="",D58=""),"",MAX(E58-D58,0))</f>
        <v/>
      </c>
      <c r="G58" s="59">
        <f>IF(F58="","",IF(N(C58)=0,1,C58))</f>
        <v/>
      </c>
      <c r="H58" s="53" t="n">
        <v>38</v>
      </c>
      <c r="I58" s="67" t="n"/>
      <c r="J58" s="55" t="n"/>
      <c r="K58" s="68" t="n"/>
      <c r="L58" s="68" t="n"/>
      <c r="M58" s="59">
        <f>IF(OR(L58="",K58=""),"",MAX(L58-K58,0))</f>
        <v/>
      </c>
      <c r="N58" s="59">
        <f>IF(M58="","",IF(N(J58)=0,1,J58))</f>
        <v/>
      </c>
    </row>
    <row r="59">
      <c r="A59" s="53" t="n">
        <v>39</v>
      </c>
      <c r="B59" s="67" t="n"/>
      <c r="C59" s="55" t="n"/>
      <c r="D59" s="68" t="n"/>
      <c r="E59" s="68" t="n"/>
      <c r="F59" s="59">
        <f>IF(OR(E59="",D59=""),"",MAX(E59-D59,0))</f>
        <v/>
      </c>
      <c r="G59" s="59">
        <f>IF(F59="","",IF(N(C59)=0,1,C59))</f>
        <v/>
      </c>
      <c r="H59" s="53" t="n">
        <v>39</v>
      </c>
      <c r="I59" s="67" t="n"/>
      <c r="J59" s="55" t="n"/>
      <c r="K59" s="68" t="n"/>
      <c r="L59" s="68" t="n"/>
      <c r="M59" s="59">
        <f>IF(OR(L59="",K59=""),"",MAX(L59-K59,0))</f>
        <v/>
      </c>
      <c r="N59" s="59">
        <f>IF(M59="","",IF(N(J59)=0,1,J59))</f>
        <v/>
      </c>
    </row>
    <row r="60">
      <c r="A60" s="53" t="n">
        <v>40</v>
      </c>
      <c r="B60" s="67" t="n"/>
      <c r="C60" s="55" t="n"/>
      <c r="D60" s="68" t="n"/>
      <c r="E60" s="68" t="n"/>
      <c r="F60" s="59">
        <f>IF(OR(E60="",D60=""),"",MAX(E60-D60,0))</f>
        <v/>
      </c>
      <c r="G60" s="59">
        <f>IF(F60="","",IF(N(C60)=0,1,C60))</f>
        <v/>
      </c>
      <c r="H60" s="53" t="n">
        <v>40</v>
      </c>
      <c r="I60" s="67" t="n"/>
      <c r="J60" s="55" t="n"/>
      <c r="K60" s="68" t="n"/>
      <c r="L60" s="68" t="n"/>
      <c r="M60" s="59">
        <f>IF(OR(L60="",K60=""),"",MAX(L60-K60,0))</f>
        <v/>
      </c>
      <c r="N60" s="59">
        <f>IF(M60="","",IF(N(J60)=0,1,J60))</f>
        <v/>
      </c>
    </row>
    <row r="61">
      <c r="A61" s="53" t="n">
        <v>41</v>
      </c>
      <c r="B61" s="67" t="n"/>
      <c r="C61" s="55" t="n"/>
      <c r="D61" s="68" t="n"/>
      <c r="E61" s="68" t="n"/>
      <c r="F61" s="59">
        <f>IF(OR(E61="",D61=""),"",MAX(E61-D61,0))</f>
        <v/>
      </c>
      <c r="G61" s="59">
        <f>IF(F61="","",IF(N(C61)=0,1,C61))</f>
        <v/>
      </c>
      <c r="H61" s="53" t="n">
        <v>41</v>
      </c>
      <c r="I61" s="67" t="n"/>
      <c r="J61" s="55" t="n"/>
      <c r="K61" s="68" t="n"/>
      <c r="L61" s="68" t="n"/>
      <c r="M61" s="59">
        <f>IF(OR(L61="",K61=""),"",MAX(L61-K61,0))</f>
        <v/>
      </c>
      <c r="N61" s="59">
        <f>IF(M61="","",IF(N(J61)=0,1,J61))</f>
        <v/>
      </c>
    </row>
    <row r="62">
      <c r="A62" s="53" t="n">
        <v>42</v>
      </c>
      <c r="B62" s="67" t="n"/>
      <c r="C62" s="55" t="n"/>
      <c r="D62" s="68" t="n"/>
      <c r="E62" s="68" t="n"/>
      <c r="F62" s="59">
        <f>IF(OR(E62="",D62=""),"",MAX(E62-D62,0))</f>
        <v/>
      </c>
      <c r="G62" s="59">
        <f>IF(F62="","",IF(N(C62)=0,1,C62))</f>
        <v/>
      </c>
      <c r="H62" s="53" t="n">
        <v>42</v>
      </c>
      <c r="I62" s="67" t="n"/>
      <c r="J62" s="55" t="n"/>
      <c r="K62" s="68" t="n"/>
      <c r="L62" s="68" t="n"/>
      <c r="M62" s="59">
        <f>IF(OR(L62="",K62=""),"",MAX(L62-K62,0))</f>
        <v/>
      </c>
      <c r="N62" s="59">
        <f>IF(M62="","",IF(N(J62)=0,1,J62))</f>
        <v/>
      </c>
    </row>
    <row r="63">
      <c r="A63" s="53" t="n">
        <v>43</v>
      </c>
      <c r="B63" s="67" t="n"/>
      <c r="C63" s="55" t="n"/>
      <c r="D63" s="68" t="n"/>
      <c r="E63" s="68" t="n"/>
      <c r="F63" s="59">
        <f>IF(OR(E63="",D63=""),"",MAX(E63-D63,0))</f>
        <v/>
      </c>
      <c r="G63" s="59">
        <f>IF(F63="","",IF(N(C63)=0,1,C63))</f>
        <v/>
      </c>
      <c r="H63" s="53" t="n">
        <v>43</v>
      </c>
      <c r="I63" s="67" t="n"/>
      <c r="J63" s="55" t="n"/>
      <c r="K63" s="68" t="n"/>
      <c r="L63" s="68" t="n"/>
      <c r="M63" s="59">
        <f>IF(OR(L63="",K63=""),"",MAX(L63-K63,0))</f>
        <v/>
      </c>
      <c r="N63" s="59">
        <f>IF(M63="","",IF(N(J63)=0,1,J63))</f>
        <v/>
      </c>
    </row>
    <row r="64">
      <c r="A64" s="53" t="n">
        <v>44</v>
      </c>
      <c r="B64" s="67" t="n"/>
      <c r="C64" s="55" t="n"/>
      <c r="D64" s="68" t="n"/>
      <c r="E64" s="68" t="n"/>
      <c r="F64" s="59">
        <f>IF(OR(E64="",D64=""),"",MAX(E64-D64,0))</f>
        <v/>
      </c>
      <c r="G64" s="59">
        <f>IF(F64="","",IF(N(C64)=0,1,C64))</f>
        <v/>
      </c>
      <c r="H64" s="53" t="n">
        <v>44</v>
      </c>
      <c r="I64" s="67" t="n"/>
      <c r="J64" s="55" t="n"/>
      <c r="K64" s="68" t="n"/>
      <c r="L64" s="68" t="n"/>
      <c r="M64" s="59">
        <f>IF(OR(L64="",K64=""),"",MAX(L64-K64,0))</f>
        <v/>
      </c>
      <c r="N64" s="59">
        <f>IF(M64="","",IF(N(J64)=0,1,J64))</f>
        <v/>
      </c>
    </row>
    <row r="65">
      <c r="A65" s="53" t="n">
        <v>45</v>
      </c>
      <c r="B65" s="67" t="n"/>
      <c r="C65" s="55" t="n"/>
      <c r="D65" s="68" t="n"/>
      <c r="E65" s="68" t="n"/>
      <c r="F65" s="59">
        <f>IF(OR(E65="",D65=""),"",MAX(E65-D65,0))</f>
        <v/>
      </c>
      <c r="G65" s="59">
        <f>IF(F65="","",IF(N(C65)=0,1,C65))</f>
        <v/>
      </c>
      <c r="H65" s="53" t="n">
        <v>45</v>
      </c>
      <c r="I65" s="67" t="n"/>
      <c r="J65" s="55" t="n"/>
      <c r="K65" s="68" t="n"/>
      <c r="L65" s="68" t="n"/>
      <c r="M65" s="59">
        <f>IF(OR(L65="",K65=""),"",MAX(L65-K65,0))</f>
        <v/>
      </c>
      <c r="N65" s="59">
        <f>IF(M65="","",IF(N(J65)=0,1,J65))</f>
        <v/>
      </c>
    </row>
    <row r="66">
      <c r="A66" s="53" t="n">
        <v>46</v>
      </c>
      <c r="B66" s="67" t="n"/>
      <c r="C66" s="55" t="n"/>
      <c r="D66" s="68" t="n"/>
      <c r="E66" s="68" t="n"/>
      <c r="F66" s="59">
        <f>IF(OR(E66="",D66=""),"",MAX(E66-D66,0))</f>
        <v/>
      </c>
      <c r="G66" s="59">
        <f>IF(F66="","",IF(N(C66)=0,1,C66))</f>
        <v/>
      </c>
      <c r="H66" s="53" t="n">
        <v>46</v>
      </c>
      <c r="I66" s="67" t="n"/>
      <c r="J66" s="55" t="n"/>
      <c r="K66" s="68" t="n"/>
      <c r="L66" s="68" t="n"/>
      <c r="M66" s="59">
        <f>IF(OR(L66="",K66=""),"",MAX(L66-K66,0))</f>
        <v/>
      </c>
      <c r="N66" s="59">
        <f>IF(M66="","",IF(N(J66)=0,1,J66))</f>
        <v/>
      </c>
    </row>
    <row r="67">
      <c r="A67" s="53" t="n">
        <v>47</v>
      </c>
      <c r="B67" s="67" t="n"/>
      <c r="C67" s="55" t="n"/>
      <c r="D67" s="68" t="n"/>
      <c r="E67" s="68" t="n"/>
      <c r="F67" s="59">
        <f>IF(OR(E67="",D67=""),"",MAX(E67-D67,0))</f>
        <v/>
      </c>
      <c r="G67" s="59">
        <f>IF(F67="","",IF(N(C67)=0,1,C67))</f>
        <v/>
      </c>
      <c r="H67" s="53" t="n">
        <v>47</v>
      </c>
      <c r="I67" s="67" t="n"/>
      <c r="J67" s="55" t="n"/>
      <c r="K67" s="68" t="n"/>
      <c r="L67" s="68" t="n"/>
      <c r="M67" s="59">
        <f>IF(OR(L67="",K67=""),"",MAX(L67-K67,0))</f>
        <v/>
      </c>
      <c r="N67" s="59">
        <f>IF(M67="","",IF(N(J67)=0,1,J67))</f>
        <v/>
      </c>
    </row>
    <row r="68">
      <c r="A68" s="53" t="n">
        <v>48</v>
      </c>
      <c r="B68" s="67" t="n"/>
      <c r="C68" s="55" t="n"/>
      <c r="D68" s="68" t="n"/>
      <c r="E68" s="68" t="n"/>
      <c r="F68" s="59">
        <f>IF(OR(E68="",D68=""),"",MAX(E68-D68,0))</f>
        <v/>
      </c>
      <c r="G68" s="59">
        <f>IF(F68="","",IF(N(C68)=0,1,C68))</f>
        <v/>
      </c>
      <c r="H68" s="53" t="n">
        <v>48</v>
      </c>
      <c r="I68" s="67" t="n"/>
      <c r="J68" s="55" t="n"/>
      <c r="K68" s="68" t="n"/>
      <c r="L68" s="68" t="n"/>
      <c r="M68" s="59">
        <f>IF(OR(L68="",K68=""),"",MAX(L68-K68,0))</f>
        <v/>
      </c>
      <c r="N68" s="59">
        <f>IF(M68="","",IF(N(J68)=0,1,J68))</f>
        <v/>
      </c>
    </row>
    <row r="69">
      <c r="A69" s="53" t="n">
        <v>49</v>
      </c>
      <c r="B69" s="67" t="n"/>
      <c r="C69" s="55" t="n"/>
      <c r="D69" s="68" t="n"/>
      <c r="E69" s="68" t="n"/>
      <c r="F69" s="59">
        <f>IF(OR(E69="",D69=""),"",MAX(E69-D69,0))</f>
        <v/>
      </c>
      <c r="G69" s="59">
        <f>IF(F69="","",IF(N(C69)=0,1,C69))</f>
        <v/>
      </c>
      <c r="H69" s="53" t="n">
        <v>49</v>
      </c>
      <c r="I69" s="67" t="n"/>
      <c r="J69" s="55" t="n"/>
      <c r="K69" s="68" t="n"/>
      <c r="L69" s="68" t="n"/>
      <c r="M69" s="59">
        <f>IF(OR(L69="",K69=""),"",MAX(L69-K69,0))</f>
        <v/>
      </c>
      <c r="N69" s="59">
        <f>IF(M69="","",IF(N(J69)=0,1,J69))</f>
        <v/>
      </c>
    </row>
    <row r="70">
      <c r="A70" s="53" t="n">
        <v>50</v>
      </c>
      <c r="B70" s="67" t="n"/>
      <c r="C70" s="55" t="n"/>
      <c r="D70" s="68" t="n"/>
      <c r="E70" s="68" t="n"/>
      <c r="F70" s="59">
        <f>IF(OR(E70="",D70=""),"",MAX(E70-D70,0))</f>
        <v/>
      </c>
      <c r="G70" s="59">
        <f>IF(F70="","",IF(N(C70)=0,1,C70))</f>
        <v/>
      </c>
      <c r="H70" s="53" t="n">
        <v>50</v>
      </c>
      <c r="I70" s="67" t="n"/>
      <c r="J70" s="55" t="n"/>
      <c r="K70" s="68" t="n"/>
      <c r="L70" s="68" t="n"/>
      <c r="M70" s="59">
        <f>IF(OR(L70="",K70=""),"",MAX(L70-K70,0))</f>
        <v/>
      </c>
      <c r="N70" s="59">
        <f>IF(M70="","",IF(N(J70)=0,1,J70))</f>
        <v/>
      </c>
    </row>
    <row r="71">
      <c r="A71" s="53" t="n">
        <v>51</v>
      </c>
      <c r="B71" s="67" t="n"/>
      <c r="C71" s="55" t="n"/>
      <c r="D71" s="68" t="n"/>
      <c r="E71" s="68" t="n"/>
      <c r="F71" s="59">
        <f>IF(OR(E71="",D71=""),"",MAX(E71-D71,0))</f>
        <v/>
      </c>
      <c r="G71" s="59">
        <f>IF(F71="","",IF(N(C71)=0,1,C71))</f>
        <v/>
      </c>
      <c r="H71" s="53" t="n">
        <v>51</v>
      </c>
      <c r="I71" s="67" t="n"/>
      <c r="J71" s="55" t="n"/>
      <c r="K71" s="68" t="n"/>
      <c r="L71" s="68" t="n"/>
      <c r="M71" s="59">
        <f>IF(OR(L71="",K71=""),"",MAX(L71-K71,0))</f>
        <v/>
      </c>
      <c r="N71" s="59">
        <f>IF(M71="","",IF(N(J71)=0,1,J71))</f>
        <v/>
      </c>
    </row>
    <row r="72">
      <c r="A72" s="53" t="n">
        <v>52</v>
      </c>
      <c r="B72" s="67" t="n"/>
      <c r="C72" s="55" t="n"/>
      <c r="D72" s="68" t="n"/>
      <c r="E72" s="68" t="n"/>
      <c r="F72" s="59">
        <f>IF(OR(E72="",D72=""),"",MAX(E72-D72,0))</f>
        <v/>
      </c>
      <c r="G72" s="59">
        <f>IF(F72="","",IF(N(C72)=0,1,C72))</f>
        <v/>
      </c>
      <c r="H72" s="53" t="n">
        <v>52</v>
      </c>
      <c r="I72" s="67" t="n"/>
      <c r="J72" s="55" t="n"/>
      <c r="K72" s="68" t="n"/>
      <c r="L72" s="68" t="n"/>
      <c r="M72" s="59">
        <f>IF(OR(L72="",K72=""),"",MAX(L72-K72,0))</f>
        <v/>
      </c>
      <c r="N72" s="59">
        <f>IF(M72="","",IF(N(J72)=0,1,J72))</f>
        <v/>
      </c>
    </row>
    <row r="73">
      <c r="A73" s="53" t="n">
        <v>53</v>
      </c>
      <c r="B73" s="67" t="n"/>
      <c r="C73" s="55" t="n"/>
      <c r="D73" s="68" t="n"/>
      <c r="E73" s="68" t="n"/>
      <c r="F73" s="59">
        <f>IF(OR(E73="",D73=""),"",MAX(E73-D73,0))</f>
        <v/>
      </c>
      <c r="G73" s="59">
        <f>IF(F73="","",IF(N(C73)=0,1,C73))</f>
        <v/>
      </c>
      <c r="H73" s="53" t="n">
        <v>53</v>
      </c>
      <c r="I73" s="67" t="n"/>
      <c r="J73" s="55" t="n"/>
      <c r="K73" s="68" t="n"/>
      <c r="L73" s="68" t="n"/>
      <c r="M73" s="59">
        <f>IF(OR(L73="",K73=""),"",MAX(L73-K73,0))</f>
        <v/>
      </c>
      <c r="N73" s="59">
        <f>IF(M73="","",IF(N(J73)=0,1,J73))</f>
        <v/>
      </c>
    </row>
    <row r="74">
      <c r="A74" s="53" t="n">
        <v>54</v>
      </c>
      <c r="B74" s="67" t="n"/>
      <c r="C74" s="55" t="n"/>
      <c r="D74" s="68" t="n"/>
      <c r="E74" s="68" t="n"/>
      <c r="F74" s="59">
        <f>IF(OR(E74="",D74=""),"",MAX(E74-D74,0))</f>
        <v/>
      </c>
      <c r="G74" s="59">
        <f>IF(F74="","",IF(N(C74)=0,1,C74))</f>
        <v/>
      </c>
      <c r="H74" s="53" t="n">
        <v>54</v>
      </c>
      <c r="I74" s="67" t="n"/>
      <c r="J74" s="55" t="n"/>
      <c r="K74" s="68" t="n"/>
      <c r="L74" s="68" t="n"/>
      <c r="M74" s="59">
        <f>IF(OR(L74="",K74=""),"",MAX(L74-K74,0))</f>
        <v/>
      </c>
      <c r="N74" s="59">
        <f>IF(M74="","",IF(N(J74)=0,1,J74))</f>
        <v/>
      </c>
    </row>
    <row r="75">
      <c r="A75" s="53" t="n">
        <v>55</v>
      </c>
      <c r="B75" s="67" t="n"/>
      <c r="C75" s="55" t="n"/>
      <c r="D75" s="68" t="n"/>
      <c r="E75" s="68" t="n"/>
      <c r="F75" s="59">
        <f>IF(OR(E75="",D75=""),"",MAX(E75-D75,0))</f>
        <v/>
      </c>
      <c r="G75" s="59">
        <f>IF(F75="","",IF(N(C75)=0,1,C75))</f>
        <v/>
      </c>
      <c r="H75" s="53" t="n">
        <v>55</v>
      </c>
      <c r="I75" s="67" t="n"/>
      <c r="J75" s="55" t="n"/>
      <c r="K75" s="68" t="n"/>
      <c r="L75" s="68" t="n"/>
      <c r="M75" s="59">
        <f>IF(OR(L75="",K75=""),"",MAX(L75-K75,0))</f>
        <v/>
      </c>
      <c r="N75" s="59">
        <f>IF(M75="","",IF(N(J75)=0,1,J75))</f>
        <v/>
      </c>
    </row>
    <row r="76">
      <c r="A76" s="53" t="n">
        <v>56</v>
      </c>
      <c r="B76" s="67" t="n"/>
      <c r="C76" s="55" t="n"/>
      <c r="D76" s="68" t="n"/>
      <c r="E76" s="68" t="n"/>
      <c r="F76" s="59">
        <f>IF(OR(E76="",D76=""),"",MAX(E76-D76,0))</f>
        <v/>
      </c>
      <c r="G76" s="59">
        <f>IF(F76="","",IF(N(C76)=0,1,C76))</f>
        <v/>
      </c>
      <c r="H76" s="53" t="n">
        <v>56</v>
      </c>
      <c r="I76" s="67" t="n"/>
      <c r="J76" s="55" t="n"/>
      <c r="K76" s="68" t="n"/>
      <c r="L76" s="68" t="n"/>
      <c r="M76" s="59">
        <f>IF(OR(L76="",K76=""),"",MAX(L76-K76,0))</f>
        <v/>
      </c>
      <c r="N76" s="59">
        <f>IF(M76="","",IF(N(J76)=0,1,J76))</f>
        <v/>
      </c>
    </row>
    <row r="77">
      <c r="A77" s="53" t="n">
        <v>57</v>
      </c>
      <c r="B77" s="67" t="n"/>
      <c r="C77" s="55" t="n"/>
      <c r="D77" s="68" t="n"/>
      <c r="E77" s="68" t="n"/>
      <c r="F77" s="59">
        <f>IF(OR(E77="",D77=""),"",MAX(E77-D77,0))</f>
        <v/>
      </c>
      <c r="G77" s="59">
        <f>IF(F77="","",IF(N(C77)=0,1,C77))</f>
        <v/>
      </c>
      <c r="H77" s="53" t="n">
        <v>57</v>
      </c>
      <c r="I77" s="67" t="n"/>
      <c r="J77" s="55" t="n"/>
      <c r="K77" s="68" t="n"/>
      <c r="L77" s="68" t="n"/>
      <c r="M77" s="59">
        <f>IF(OR(L77="",K77=""),"",MAX(L77-K77,0))</f>
        <v/>
      </c>
      <c r="N77" s="59">
        <f>IF(M77="","",IF(N(J77)=0,1,J77))</f>
        <v/>
      </c>
    </row>
    <row r="78">
      <c r="A78" s="53" t="n">
        <v>58</v>
      </c>
      <c r="B78" s="67" t="n"/>
      <c r="C78" s="55" t="n"/>
      <c r="D78" s="68" t="n"/>
      <c r="E78" s="68" t="n"/>
      <c r="F78" s="59">
        <f>IF(OR(E78="",D78=""),"",MAX(E78-D78,0))</f>
        <v/>
      </c>
      <c r="G78" s="59">
        <f>IF(F78="","",IF(N(C78)=0,1,C78))</f>
        <v/>
      </c>
      <c r="H78" s="53" t="n">
        <v>58</v>
      </c>
      <c r="I78" s="67" t="n"/>
      <c r="J78" s="55" t="n"/>
      <c r="K78" s="68" t="n"/>
      <c r="L78" s="68" t="n"/>
      <c r="M78" s="59">
        <f>IF(OR(L78="",K78=""),"",MAX(L78-K78,0))</f>
        <v/>
      </c>
      <c r="N78" s="59">
        <f>IF(M78="","",IF(N(J78)=0,1,J78))</f>
        <v/>
      </c>
    </row>
    <row r="79">
      <c r="A79" s="53" t="n">
        <v>59</v>
      </c>
      <c r="B79" s="67" t="n"/>
      <c r="C79" s="55" t="n"/>
      <c r="D79" s="68" t="n"/>
      <c r="E79" s="68" t="n"/>
      <c r="F79" s="59">
        <f>IF(OR(E79="",D79=""),"",MAX(E79-D79,0))</f>
        <v/>
      </c>
      <c r="G79" s="59">
        <f>IF(F79="","",IF(N(C79)=0,1,C79))</f>
        <v/>
      </c>
      <c r="H79" s="53" t="n">
        <v>59</v>
      </c>
      <c r="I79" s="67" t="n"/>
      <c r="J79" s="55" t="n"/>
      <c r="K79" s="68" t="n"/>
      <c r="L79" s="68" t="n"/>
      <c r="M79" s="59">
        <f>IF(OR(L79="",K79=""),"",MAX(L79-K79,0))</f>
        <v/>
      </c>
      <c r="N79" s="59">
        <f>IF(M79="","",IF(N(J79)=0,1,J79))</f>
        <v/>
      </c>
    </row>
    <row r="80">
      <c r="A80" s="53" t="n">
        <v>60</v>
      </c>
      <c r="B80" s="67" t="n"/>
      <c r="C80" s="55" t="n"/>
      <c r="D80" s="68" t="n"/>
      <c r="E80" s="68" t="n"/>
      <c r="F80" s="59">
        <f>IF(OR(E80="",D80=""),"",MAX(E80-D80,0))</f>
        <v/>
      </c>
      <c r="G80" s="59">
        <f>IF(F80="","",IF(N(C80)=0,1,C80))</f>
        <v/>
      </c>
      <c r="H80" s="53" t="n">
        <v>60</v>
      </c>
      <c r="I80" s="67" t="n"/>
      <c r="J80" s="55" t="n"/>
      <c r="K80" s="68" t="n"/>
      <c r="L80" s="68" t="n"/>
      <c r="M80" s="59">
        <f>IF(OR(L80="",K80=""),"",MAX(L80-K80,0))</f>
        <v/>
      </c>
      <c r="N80" s="59">
        <f>IF(M80="","",IF(N(J80)=0,1,J80))</f>
        <v/>
      </c>
    </row>
    <row r="81">
      <c r="A81" s="53" t="n">
        <v>61</v>
      </c>
      <c r="B81" s="67" t="n"/>
      <c r="C81" s="55" t="n"/>
      <c r="D81" s="68" t="n"/>
      <c r="E81" s="68" t="n"/>
      <c r="F81" s="59">
        <f>IF(OR(E81="",D81=""),"",MAX(E81-D81,0))</f>
        <v/>
      </c>
      <c r="G81" s="59">
        <f>IF(F81="","",IF(N(C81)=0,1,C81))</f>
        <v/>
      </c>
      <c r="H81" s="53" t="n">
        <v>61</v>
      </c>
      <c r="I81" s="67" t="n"/>
      <c r="J81" s="55" t="n"/>
      <c r="K81" s="68" t="n"/>
      <c r="L81" s="68" t="n"/>
      <c r="M81" s="59">
        <f>IF(OR(L81="",K81=""),"",MAX(L81-K81,0))</f>
        <v/>
      </c>
      <c r="N81" s="59">
        <f>IF(M81="","",IF(N(J81)=0,1,J81))</f>
        <v/>
      </c>
    </row>
    <row r="82">
      <c r="A82" s="53" t="n">
        <v>62</v>
      </c>
      <c r="B82" s="67" t="n"/>
      <c r="C82" s="55" t="n"/>
      <c r="D82" s="68" t="n"/>
      <c r="E82" s="68" t="n"/>
      <c r="F82" s="59">
        <f>IF(OR(E82="",D82=""),"",MAX(E82-D82,0))</f>
        <v/>
      </c>
      <c r="G82" s="59">
        <f>IF(F82="","",IF(N(C82)=0,1,C82))</f>
        <v/>
      </c>
      <c r="H82" s="53" t="n">
        <v>62</v>
      </c>
      <c r="I82" s="67" t="n"/>
      <c r="J82" s="55" t="n"/>
      <c r="K82" s="68" t="n"/>
      <c r="L82" s="68" t="n"/>
      <c r="M82" s="59">
        <f>IF(OR(L82="",K82=""),"",MAX(L82-K82,0))</f>
        <v/>
      </c>
      <c r="N82" s="59">
        <f>IF(M82="","",IF(N(J82)=0,1,J82))</f>
        <v/>
      </c>
    </row>
    <row r="83">
      <c r="A83" s="53" t="n">
        <v>63</v>
      </c>
      <c r="B83" s="67" t="n"/>
      <c r="C83" s="55" t="n"/>
      <c r="D83" s="68" t="n"/>
      <c r="E83" s="68" t="n"/>
      <c r="F83" s="59">
        <f>IF(OR(E83="",D83=""),"",MAX(E83-D83,0))</f>
        <v/>
      </c>
      <c r="G83" s="59">
        <f>IF(F83="","",IF(N(C83)=0,1,C83))</f>
        <v/>
      </c>
      <c r="H83" s="53" t="n">
        <v>63</v>
      </c>
      <c r="I83" s="67" t="n"/>
      <c r="J83" s="55" t="n"/>
      <c r="K83" s="68" t="n"/>
      <c r="L83" s="68" t="n"/>
      <c r="M83" s="59">
        <f>IF(OR(L83="",K83=""),"",MAX(L83-K83,0))</f>
        <v/>
      </c>
      <c r="N83" s="59">
        <f>IF(M83="","",IF(N(J83)=0,1,J83))</f>
        <v/>
      </c>
    </row>
    <row r="84">
      <c r="A84" s="53" t="n">
        <v>64</v>
      </c>
      <c r="B84" s="67" t="n"/>
      <c r="C84" s="55" t="n"/>
      <c r="D84" s="68" t="n"/>
      <c r="E84" s="68" t="n"/>
      <c r="F84" s="59">
        <f>IF(OR(E84="",D84=""),"",MAX(E84-D84,0))</f>
        <v/>
      </c>
      <c r="G84" s="59">
        <f>IF(F84="","",IF(N(C84)=0,1,C84))</f>
        <v/>
      </c>
      <c r="H84" s="53" t="n">
        <v>64</v>
      </c>
      <c r="I84" s="67" t="n"/>
      <c r="J84" s="55" t="n"/>
      <c r="K84" s="68" t="n"/>
      <c r="L84" s="68" t="n"/>
      <c r="M84" s="59">
        <f>IF(OR(L84="",K84=""),"",MAX(L84-K84,0))</f>
        <v/>
      </c>
      <c r="N84" s="59">
        <f>IF(M84="","",IF(N(J84)=0,1,J84))</f>
        <v/>
      </c>
    </row>
    <row r="85">
      <c r="A85" s="53" t="n">
        <v>65</v>
      </c>
      <c r="B85" s="67" t="n"/>
      <c r="C85" s="55" t="n"/>
      <c r="D85" s="68" t="n"/>
      <c r="E85" s="68" t="n"/>
      <c r="F85" s="59">
        <f>IF(OR(E85="",D85=""),"",MAX(E85-D85,0))</f>
        <v/>
      </c>
      <c r="G85" s="59">
        <f>IF(F85="","",IF(N(C85)=0,1,C85))</f>
        <v/>
      </c>
      <c r="H85" s="53" t="n">
        <v>65</v>
      </c>
      <c r="I85" s="67" t="n"/>
      <c r="J85" s="55" t="n"/>
      <c r="K85" s="68" t="n"/>
      <c r="L85" s="68" t="n"/>
      <c r="M85" s="59">
        <f>IF(OR(L85="",K85=""),"",MAX(L85-K85,0))</f>
        <v/>
      </c>
      <c r="N85" s="59">
        <f>IF(M85="","",IF(N(J85)=0,1,J85))</f>
        <v/>
      </c>
    </row>
    <row r="86">
      <c r="A86" s="53" t="n">
        <v>66</v>
      </c>
      <c r="B86" s="67" t="n"/>
      <c r="C86" s="55" t="n"/>
      <c r="D86" s="68" t="n"/>
      <c r="E86" s="68" t="n"/>
      <c r="F86" s="59">
        <f>IF(OR(E86="",D86=""),"",MAX(E86-D86,0))</f>
        <v/>
      </c>
      <c r="G86" s="59">
        <f>IF(F86="","",IF(N(C86)=0,1,C86))</f>
        <v/>
      </c>
      <c r="H86" s="53" t="n">
        <v>66</v>
      </c>
      <c r="I86" s="67" t="n"/>
      <c r="J86" s="55" t="n"/>
      <c r="K86" s="68" t="n"/>
      <c r="L86" s="68" t="n"/>
      <c r="M86" s="59">
        <f>IF(OR(L86="",K86=""),"",MAX(L86-K86,0))</f>
        <v/>
      </c>
      <c r="N86" s="59">
        <f>IF(M86="","",IF(N(J86)=0,1,J86))</f>
        <v/>
      </c>
    </row>
    <row r="87">
      <c r="A87" s="53" t="n">
        <v>67</v>
      </c>
      <c r="B87" s="67" t="n"/>
      <c r="C87" s="55" t="n"/>
      <c r="D87" s="68" t="n"/>
      <c r="E87" s="68" t="n"/>
      <c r="F87" s="59">
        <f>IF(OR(E87="",D87=""),"",MAX(E87-D87,0))</f>
        <v/>
      </c>
      <c r="G87" s="59">
        <f>IF(F87="","",IF(N(C87)=0,1,C87))</f>
        <v/>
      </c>
      <c r="H87" s="53" t="n">
        <v>67</v>
      </c>
      <c r="I87" s="67" t="n"/>
      <c r="J87" s="55" t="n"/>
      <c r="K87" s="68" t="n"/>
      <c r="L87" s="68" t="n"/>
      <c r="M87" s="59">
        <f>IF(OR(L87="",K87=""),"",MAX(L87-K87,0))</f>
        <v/>
      </c>
      <c r="N87" s="59">
        <f>IF(M87="","",IF(N(J87)=0,1,J87))</f>
        <v/>
      </c>
    </row>
    <row r="88">
      <c r="A88" s="53" t="n">
        <v>68</v>
      </c>
      <c r="B88" s="67" t="n"/>
      <c r="C88" s="55" t="n"/>
      <c r="D88" s="68" t="n"/>
      <c r="E88" s="68" t="n"/>
      <c r="F88" s="59">
        <f>IF(OR(E88="",D88=""),"",MAX(E88-D88,0))</f>
        <v/>
      </c>
      <c r="G88" s="59">
        <f>IF(F88="","",IF(N(C88)=0,1,C88))</f>
        <v/>
      </c>
      <c r="H88" s="53" t="n">
        <v>68</v>
      </c>
      <c r="I88" s="67" t="n"/>
      <c r="J88" s="55" t="n"/>
      <c r="K88" s="68" t="n"/>
      <c r="L88" s="68" t="n"/>
      <c r="M88" s="59">
        <f>IF(OR(L88="",K88=""),"",MAX(L88-K88,0))</f>
        <v/>
      </c>
      <c r="N88" s="59">
        <f>IF(M88="","",IF(N(J88)=0,1,J88))</f>
        <v/>
      </c>
    </row>
    <row r="89">
      <c r="A89" s="53" t="n">
        <v>69</v>
      </c>
      <c r="B89" s="67" t="n"/>
      <c r="C89" s="55" t="n"/>
      <c r="D89" s="68" t="n"/>
      <c r="E89" s="68" t="n"/>
      <c r="F89" s="59">
        <f>IF(OR(E89="",D89=""),"",MAX(E89-D89,0))</f>
        <v/>
      </c>
      <c r="G89" s="59">
        <f>IF(F89="","",IF(N(C89)=0,1,C89))</f>
        <v/>
      </c>
      <c r="H89" s="53" t="n">
        <v>69</v>
      </c>
      <c r="I89" s="67" t="n"/>
      <c r="J89" s="55" t="n"/>
      <c r="K89" s="68" t="n"/>
      <c r="L89" s="68" t="n"/>
      <c r="M89" s="59">
        <f>IF(OR(L89="",K89=""),"",MAX(L89-K89,0))</f>
        <v/>
      </c>
      <c r="N89" s="59">
        <f>IF(M89="","",IF(N(J89)=0,1,J89))</f>
        <v/>
      </c>
    </row>
    <row r="90">
      <c r="A90" s="53" t="n">
        <v>70</v>
      </c>
      <c r="B90" s="67" t="n"/>
      <c r="C90" s="55" t="n"/>
      <c r="D90" s="68" t="n"/>
      <c r="E90" s="68" t="n"/>
      <c r="F90" s="59">
        <f>IF(OR(E90="",D90=""),"",MAX(E90-D90,0))</f>
        <v/>
      </c>
      <c r="G90" s="59">
        <f>IF(F90="","",IF(N(C90)=0,1,C90))</f>
        <v/>
      </c>
      <c r="H90" s="53" t="n">
        <v>70</v>
      </c>
      <c r="I90" s="67" t="n"/>
      <c r="J90" s="55" t="n"/>
      <c r="K90" s="68" t="n"/>
      <c r="L90" s="68" t="n"/>
      <c r="M90" s="59">
        <f>IF(OR(L90="",K90=""),"",MAX(L90-K90,0))</f>
        <v/>
      </c>
      <c r="N90" s="59">
        <f>IF(M90="","",IF(N(J90)=0,1,J90))</f>
        <v/>
      </c>
    </row>
    <row r="91">
      <c r="A91" s="53" t="n">
        <v>71</v>
      </c>
      <c r="B91" s="67" t="n"/>
      <c r="C91" s="55" t="n"/>
      <c r="D91" s="68" t="n"/>
      <c r="E91" s="68" t="n"/>
      <c r="F91" s="59">
        <f>IF(OR(E91="",D91=""),"",MAX(E91-D91,0))</f>
        <v/>
      </c>
      <c r="G91" s="59">
        <f>IF(F91="","",IF(N(C91)=0,1,C91))</f>
        <v/>
      </c>
      <c r="H91" s="53" t="n">
        <v>71</v>
      </c>
      <c r="I91" s="67" t="n"/>
      <c r="J91" s="55" t="n"/>
      <c r="K91" s="68" t="n"/>
      <c r="L91" s="68" t="n"/>
      <c r="M91" s="59">
        <f>IF(OR(L91="",K91=""),"",MAX(L91-K91,0))</f>
        <v/>
      </c>
      <c r="N91" s="59">
        <f>IF(M91="","",IF(N(J91)=0,1,J91))</f>
        <v/>
      </c>
    </row>
    <row r="92">
      <c r="A92" s="53" t="n">
        <v>72</v>
      </c>
      <c r="B92" s="67" t="n"/>
      <c r="C92" s="55" t="n"/>
      <c r="D92" s="68" t="n"/>
      <c r="E92" s="68" t="n"/>
      <c r="F92" s="59">
        <f>IF(OR(E92="",D92=""),"",MAX(E92-D92,0))</f>
        <v/>
      </c>
      <c r="G92" s="59">
        <f>IF(F92="","",IF(N(C92)=0,1,C92))</f>
        <v/>
      </c>
      <c r="H92" s="53" t="n">
        <v>72</v>
      </c>
      <c r="I92" s="67" t="n"/>
      <c r="J92" s="55" t="n"/>
      <c r="K92" s="68" t="n"/>
      <c r="L92" s="68" t="n"/>
      <c r="M92" s="59">
        <f>IF(OR(L92="",K92=""),"",MAX(L92-K92,0))</f>
        <v/>
      </c>
      <c r="N92" s="59">
        <f>IF(M92="","",IF(N(J92)=0,1,J92))</f>
        <v/>
      </c>
    </row>
    <row r="93">
      <c r="A93" s="53" t="n">
        <v>73</v>
      </c>
      <c r="B93" s="67" t="n"/>
      <c r="C93" s="55" t="n"/>
      <c r="D93" s="68" t="n"/>
      <c r="E93" s="68" t="n"/>
      <c r="F93" s="59">
        <f>IF(OR(E93="",D93=""),"",MAX(E93-D93,0))</f>
        <v/>
      </c>
      <c r="G93" s="59">
        <f>IF(F93="","",IF(N(C93)=0,1,C93))</f>
        <v/>
      </c>
      <c r="H93" s="53" t="n">
        <v>73</v>
      </c>
      <c r="I93" s="67" t="n"/>
      <c r="J93" s="55" t="n"/>
      <c r="K93" s="68" t="n"/>
      <c r="L93" s="68" t="n"/>
      <c r="M93" s="59">
        <f>IF(OR(L93="",K93=""),"",MAX(L93-K93,0))</f>
        <v/>
      </c>
      <c r="N93" s="59">
        <f>IF(M93="","",IF(N(J93)=0,1,J93))</f>
        <v/>
      </c>
    </row>
    <row r="94">
      <c r="A94" s="53" t="n">
        <v>74</v>
      </c>
      <c r="B94" s="67" t="n"/>
      <c r="C94" s="55" t="n"/>
      <c r="D94" s="68" t="n"/>
      <c r="E94" s="68" t="n"/>
      <c r="F94" s="59">
        <f>IF(OR(E94="",D94=""),"",MAX(E94-D94,0))</f>
        <v/>
      </c>
      <c r="G94" s="59">
        <f>IF(F94="","",IF(N(C94)=0,1,C94))</f>
        <v/>
      </c>
      <c r="H94" s="53" t="n">
        <v>74</v>
      </c>
      <c r="I94" s="67" t="n"/>
      <c r="J94" s="55" t="n"/>
      <c r="K94" s="68" t="n"/>
      <c r="L94" s="68" t="n"/>
      <c r="M94" s="59">
        <f>IF(OR(L94="",K94=""),"",MAX(L94-K94,0))</f>
        <v/>
      </c>
      <c r="N94" s="59">
        <f>IF(M94="","",IF(N(J94)=0,1,J94))</f>
        <v/>
      </c>
    </row>
    <row r="95">
      <c r="A95" s="53" t="n">
        <v>75</v>
      </c>
      <c r="B95" s="67" t="n"/>
      <c r="C95" s="55" t="n"/>
      <c r="D95" s="68" t="n"/>
      <c r="E95" s="68" t="n"/>
      <c r="F95" s="59">
        <f>IF(OR(E95="",D95=""),"",MAX(E95-D95,0))</f>
        <v/>
      </c>
      <c r="G95" s="59">
        <f>IF(F95="","",IF(N(C95)=0,1,C95))</f>
        <v/>
      </c>
      <c r="H95" s="53" t="n">
        <v>75</v>
      </c>
      <c r="I95" s="67" t="n"/>
      <c r="J95" s="55" t="n"/>
      <c r="K95" s="68" t="n"/>
      <c r="L95" s="68" t="n"/>
      <c r="M95" s="59">
        <f>IF(OR(L95="",K95=""),"",MAX(L95-K95,0))</f>
        <v/>
      </c>
      <c r="N95" s="59">
        <f>IF(M95="","",IF(N(J95)=0,1,J95))</f>
        <v/>
      </c>
    </row>
    <row r="96">
      <c r="A96" s="53" t="n">
        <v>76</v>
      </c>
      <c r="B96" s="67" t="n"/>
      <c r="C96" s="55" t="n"/>
      <c r="D96" s="68" t="n"/>
      <c r="E96" s="68" t="n"/>
      <c r="F96" s="59">
        <f>IF(OR(E96="",D96=""),"",MAX(E96-D96,0))</f>
        <v/>
      </c>
      <c r="G96" s="59">
        <f>IF(F96="","",IF(N(C96)=0,1,C96))</f>
        <v/>
      </c>
      <c r="H96" s="53" t="n">
        <v>76</v>
      </c>
      <c r="I96" s="67" t="n"/>
      <c r="J96" s="55" t="n"/>
      <c r="K96" s="68" t="n"/>
      <c r="L96" s="68" t="n"/>
      <c r="M96" s="59">
        <f>IF(OR(L96="",K96=""),"",MAX(L96-K96,0))</f>
        <v/>
      </c>
      <c r="N96" s="59">
        <f>IF(M96="","",IF(N(J96)=0,1,J96))</f>
        <v/>
      </c>
    </row>
    <row r="97">
      <c r="A97" s="53" t="n">
        <v>77</v>
      </c>
      <c r="B97" s="67" t="n"/>
      <c r="C97" s="55" t="n"/>
      <c r="D97" s="68" t="n"/>
      <c r="E97" s="68" t="n"/>
      <c r="F97" s="59">
        <f>IF(OR(E97="",D97=""),"",MAX(E97-D97,0))</f>
        <v/>
      </c>
      <c r="G97" s="59">
        <f>IF(F97="","",IF(N(C97)=0,1,C97))</f>
        <v/>
      </c>
      <c r="H97" s="53" t="n">
        <v>77</v>
      </c>
      <c r="I97" s="67" t="n"/>
      <c r="J97" s="55" t="n"/>
      <c r="K97" s="68" t="n"/>
      <c r="L97" s="68" t="n"/>
      <c r="M97" s="59">
        <f>IF(OR(L97="",K97=""),"",MAX(L97-K97,0))</f>
        <v/>
      </c>
      <c r="N97" s="59">
        <f>IF(M97="","",IF(N(J97)=0,1,J97))</f>
        <v/>
      </c>
    </row>
    <row r="98">
      <c r="A98" s="53" t="n">
        <v>78</v>
      </c>
      <c r="B98" s="67" t="n"/>
      <c r="C98" s="55" t="n"/>
      <c r="D98" s="68" t="n"/>
      <c r="E98" s="68" t="n"/>
      <c r="F98" s="59">
        <f>IF(OR(E98="",D98=""),"",MAX(E98-D98,0))</f>
        <v/>
      </c>
      <c r="G98" s="59">
        <f>IF(F98="","",IF(N(C98)=0,1,C98))</f>
        <v/>
      </c>
      <c r="H98" s="53" t="n">
        <v>78</v>
      </c>
      <c r="I98" s="67" t="n"/>
      <c r="J98" s="55" t="n"/>
      <c r="K98" s="68" t="n"/>
      <c r="L98" s="68" t="n"/>
      <c r="M98" s="59">
        <f>IF(OR(L98="",K98=""),"",MAX(L98-K98,0))</f>
        <v/>
      </c>
      <c r="N98" s="59">
        <f>IF(M98="","",IF(N(J98)=0,1,J98))</f>
        <v/>
      </c>
    </row>
    <row r="99">
      <c r="A99" s="53" t="n">
        <v>79</v>
      </c>
      <c r="B99" s="67" t="n"/>
      <c r="C99" s="55" t="n"/>
      <c r="D99" s="68" t="n"/>
      <c r="E99" s="68" t="n"/>
      <c r="F99" s="59">
        <f>IF(OR(E99="",D99=""),"",MAX(E99-D99,0))</f>
        <v/>
      </c>
      <c r="G99" s="59">
        <f>IF(F99="","",IF(N(C99)=0,1,C99))</f>
        <v/>
      </c>
      <c r="H99" s="53" t="n">
        <v>79</v>
      </c>
      <c r="I99" s="67" t="n"/>
      <c r="J99" s="55" t="n"/>
      <c r="K99" s="68" t="n"/>
      <c r="L99" s="68" t="n"/>
      <c r="M99" s="59">
        <f>IF(OR(L99="",K99=""),"",MAX(L99-K99,0))</f>
        <v/>
      </c>
      <c r="N99" s="59">
        <f>IF(M99="","",IF(N(J99)=0,1,J99))</f>
        <v/>
      </c>
    </row>
    <row r="100">
      <c r="A100" s="53" t="n">
        <v>80</v>
      </c>
      <c r="B100" s="67" t="n"/>
      <c r="C100" s="55" t="n"/>
      <c r="D100" s="68" t="n"/>
      <c r="E100" s="68" t="n"/>
      <c r="F100" s="59">
        <f>IF(OR(E100="",D100=""),"",MAX(E100-D100,0))</f>
        <v/>
      </c>
      <c r="G100" s="59">
        <f>IF(F100="","",IF(N(C100)=0,1,C100))</f>
        <v/>
      </c>
      <c r="H100" s="53" t="n">
        <v>80</v>
      </c>
      <c r="I100" s="67" t="n"/>
      <c r="J100" s="55" t="n"/>
      <c r="K100" s="68" t="n"/>
      <c r="L100" s="68" t="n"/>
      <c r="M100" s="59">
        <f>IF(OR(L100="",K100=""),"",MAX(L100-K100,0))</f>
        <v/>
      </c>
      <c r="N100" s="59">
        <f>IF(M100="","",IF(N(J100)=0,1,J100))</f>
        <v/>
      </c>
    </row>
    <row r="101">
      <c r="A101" s="53" t="n">
        <v>81</v>
      </c>
      <c r="B101" s="67" t="n"/>
      <c r="C101" s="55" t="n"/>
      <c r="D101" s="68" t="n"/>
      <c r="E101" s="68" t="n"/>
      <c r="F101" s="59">
        <f>IF(OR(E101="",D101=""),"",MAX(E101-D101,0))</f>
        <v/>
      </c>
      <c r="G101" s="59">
        <f>IF(F101="","",IF(N(C101)=0,1,C101))</f>
        <v/>
      </c>
      <c r="H101" s="53" t="n">
        <v>81</v>
      </c>
      <c r="I101" s="67" t="n"/>
      <c r="J101" s="55" t="n"/>
      <c r="K101" s="68" t="n"/>
      <c r="L101" s="68" t="n"/>
      <c r="M101" s="59">
        <f>IF(OR(L101="",K101=""),"",MAX(L101-K101,0))</f>
        <v/>
      </c>
      <c r="N101" s="59">
        <f>IF(M101="","",IF(N(J101)=0,1,J101))</f>
        <v/>
      </c>
    </row>
    <row r="102">
      <c r="A102" s="53" t="n">
        <v>82</v>
      </c>
      <c r="B102" s="67" t="n"/>
      <c r="C102" s="55" t="n"/>
      <c r="D102" s="68" t="n"/>
      <c r="E102" s="68" t="n"/>
      <c r="F102" s="59">
        <f>IF(OR(E102="",D102=""),"",MAX(E102-D102,0))</f>
        <v/>
      </c>
      <c r="G102" s="59">
        <f>IF(F102="","",IF(N(C102)=0,1,C102))</f>
        <v/>
      </c>
      <c r="H102" s="53" t="n">
        <v>82</v>
      </c>
      <c r="I102" s="67" t="n"/>
      <c r="J102" s="55" t="n"/>
      <c r="K102" s="68" t="n"/>
      <c r="L102" s="68" t="n"/>
      <c r="M102" s="59">
        <f>IF(OR(L102="",K102=""),"",MAX(L102-K102,0))</f>
        <v/>
      </c>
      <c r="N102" s="59">
        <f>IF(M102="","",IF(N(J102)=0,1,J102))</f>
        <v/>
      </c>
    </row>
    <row r="103">
      <c r="A103" s="53" t="n">
        <v>83</v>
      </c>
      <c r="B103" s="67" t="n"/>
      <c r="C103" s="55" t="n"/>
      <c r="D103" s="68" t="n"/>
      <c r="E103" s="68" t="n"/>
      <c r="F103" s="59">
        <f>IF(OR(E103="",D103=""),"",MAX(E103-D103,0))</f>
        <v/>
      </c>
      <c r="G103" s="59">
        <f>IF(F103="","",IF(N(C103)=0,1,C103))</f>
        <v/>
      </c>
      <c r="H103" s="53" t="n">
        <v>83</v>
      </c>
      <c r="I103" s="67" t="n"/>
      <c r="J103" s="55" t="n"/>
      <c r="K103" s="68" t="n"/>
      <c r="L103" s="68" t="n"/>
      <c r="M103" s="59">
        <f>IF(OR(L103="",K103=""),"",MAX(L103-K103,0))</f>
        <v/>
      </c>
      <c r="N103" s="59">
        <f>IF(M103="","",IF(N(J103)=0,1,J103))</f>
        <v/>
      </c>
    </row>
    <row r="104">
      <c r="A104" s="53" t="n">
        <v>84</v>
      </c>
      <c r="B104" s="67" t="n"/>
      <c r="C104" s="55" t="n"/>
      <c r="D104" s="68" t="n"/>
      <c r="E104" s="68" t="n"/>
      <c r="F104" s="59">
        <f>IF(OR(E104="",D104=""),"",MAX(E104-D104,0))</f>
        <v/>
      </c>
      <c r="G104" s="59">
        <f>IF(F104="","",IF(N(C104)=0,1,C104))</f>
        <v/>
      </c>
      <c r="H104" s="53" t="n">
        <v>84</v>
      </c>
      <c r="I104" s="67" t="n"/>
      <c r="J104" s="55" t="n"/>
      <c r="K104" s="68" t="n"/>
      <c r="L104" s="68" t="n"/>
      <c r="M104" s="59">
        <f>IF(OR(L104="",K104=""),"",MAX(L104-K104,0))</f>
        <v/>
      </c>
      <c r="N104" s="59">
        <f>IF(M104="","",IF(N(J104)=0,1,J104))</f>
        <v/>
      </c>
    </row>
    <row r="105">
      <c r="A105" s="53" t="n">
        <v>85</v>
      </c>
      <c r="B105" s="67" t="n"/>
      <c r="C105" s="55" t="n"/>
      <c r="D105" s="68" t="n"/>
      <c r="E105" s="68" t="n"/>
      <c r="F105" s="59">
        <f>IF(OR(E105="",D105=""),"",MAX(E105-D105,0))</f>
        <v/>
      </c>
      <c r="G105" s="59">
        <f>IF(F105="","",IF(N(C105)=0,1,C105))</f>
        <v/>
      </c>
      <c r="H105" s="53" t="n">
        <v>85</v>
      </c>
      <c r="I105" s="67" t="n"/>
      <c r="J105" s="55" t="n"/>
      <c r="K105" s="68" t="n"/>
      <c r="L105" s="68" t="n"/>
      <c r="M105" s="59">
        <f>IF(OR(L105="",K105=""),"",MAX(L105-K105,0))</f>
        <v/>
      </c>
      <c r="N105" s="59">
        <f>IF(M105="","",IF(N(J105)=0,1,J105))</f>
        <v/>
      </c>
    </row>
    <row r="106">
      <c r="A106" s="53" t="n">
        <v>86</v>
      </c>
      <c r="B106" s="67" t="n"/>
      <c r="C106" s="55" t="n"/>
      <c r="D106" s="68" t="n"/>
      <c r="E106" s="68" t="n"/>
      <c r="F106" s="59">
        <f>IF(OR(E106="",D106=""),"",MAX(E106-D106,0))</f>
        <v/>
      </c>
      <c r="G106" s="59">
        <f>IF(F106="","",IF(N(C106)=0,1,C106))</f>
        <v/>
      </c>
      <c r="H106" s="53" t="n">
        <v>86</v>
      </c>
      <c r="I106" s="67" t="n"/>
      <c r="J106" s="55" t="n"/>
      <c r="K106" s="68" t="n"/>
      <c r="L106" s="68" t="n"/>
      <c r="M106" s="59">
        <f>IF(OR(L106="",K106=""),"",MAX(L106-K106,0))</f>
        <v/>
      </c>
      <c r="N106" s="59">
        <f>IF(M106="","",IF(N(J106)=0,1,J106))</f>
        <v/>
      </c>
    </row>
    <row r="107">
      <c r="A107" s="53" t="n">
        <v>87</v>
      </c>
      <c r="B107" s="67" t="n"/>
      <c r="C107" s="55" t="n"/>
      <c r="D107" s="68" t="n"/>
      <c r="E107" s="68" t="n"/>
      <c r="F107" s="59">
        <f>IF(OR(E107="",D107=""),"",MAX(E107-D107,0))</f>
        <v/>
      </c>
      <c r="G107" s="59">
        <f>IF(F107="","",IF(N(C107)=0,1,C107))</f>
        <v/>
      </c>
      <c r="H107" s="53" t="n">
        <v>87</v>
      </c>
      <c r="I107" s="67" t="n"/>
      <c r="J107" s="55" t="n"/>
      <c r="K107" s="68" t="n"/>
      <c r="L107" s="68" t="n"/>
      <c r="M107" s="59">
        <f>IF(OR(L107="",K107=""),"",MAX(L107-K107,0))</f>
        <v/>
      </c>
      <c r="N107" s="59">
        <f>IF(M107="","",IF(N(J107)=0,1,J107))</f>
        <v/>
      </c>
    </row>
    <row r="108">
      <c r="A108" s="53" t="n">
        <v>88</v>
      </c>
      <c r="B108" s="67" t="n"/>
      <c r="C108" s="55" t="n"/>
      <c r="D108" s="68" t="n"/>
      <c r="E108" s="68" t="n"/>
      <c r="F108" s="59">
        <f>IF(OR(E108="",D108=""),"",MAX(E108-D108,0))</f>
        <v/>
      </c>
      <c r="G108" s="59">
        <f>IF(F108="","",IF(N(C108)=0,1,C108))</f>
        <v/>
      </c>
      <c r="H108" s="53" t="n">
        <v>88</v>
      </c>
      <c r="I108" s="67" t="n"/>
      <c r="J108" s="55" t="n"/>
      <c r="K108" s="68" t="n"/>
      <c r="L108" s="68" t="n"/>
      <c r="M108" s="59">
        <f>IF(OR(L108="",K108=""),"",MAX(L108-K108,0))</f>
        <v/>
      </c>
      <c r="N108" s="59">
        <f>IF(M108="","",IF(N(J108)=0,1,J108))</f>
        <v/>
      </c>
    </row>
    <row r="109">
      <c r="A109" s="53" t="n">
        <v>89</v>
      </c>
      <c r="B109" s="67" t="n"/>
      <c r="C109" s="55" t="n"/>
      <c r="D109" s="68" t="n"/>
      <c r="E109" s="68" t="n"/>
      <c r="F109" s="59">
        <f>IF(OR(E109="",D109=""),"",MAX(E109-D109,0))</f>
        <v/>
      </c>
      <c r="G109" s="59">
        <f>IF(F109="","",IF(N(C109)=0,1,C109))</f>
        <v/>
      </c>
      <c r="H109" s="53" t="n">
        <v>89</v>
      </c>
      <c r="I109" s="67" t="n"/>
      <c r="J109" s="55" t="n"/>
      <c r="K109" s="68" t="n"/>
      <c r="L109" s="68" t="n"/>
      <c r="M109" s="59">
        <f>IF(OR(L109="",K109=""),"",MAX(L109-K109,0))</f>
        <v/>
      </c>
      <c r="N109" s="59">
        <f>IF(M109="","",IF(N(J109)=0,1,J109))</f>
        <v/>
      </c>
    </row>
    <row r="110">
      <c r="A110" s="53" t="n">
        <v>90</v>
      </c>
      <c r="B110" s="67" t="n"/>
      <c r="C110" s="55" t="n"/>
      <c r="D110" s="68" t="n"/>
      <c r="E110" s="68" t="n"/>
      <c r="F110" s="59">
        <f>IF(OR(E110="",D110=""),"",MAX(E110-D110,0))</f>
        <v/>
      </c>
      <c r="G110" s="59">
        <f>IF(F110="","",IF(N(C110)=0,1,C110))</f>
        <v/>
      </c>
      <c r="H110" s="53" t="n">
        <v>90</v>
      </c>
      <c r="I110" s="67" t="n"/>
      <c r="J110" s="55" t="n"/>
      <c r="K110" s="68" t="n"/>
      <c r="L110" s="68" t="n"/>
      <c r="M110" s="59">
        <f>IF(OR(L110="",K110=""),"",MAX(L110-K110,0))</f>
        <v/>
      </c>
      <c r="N110" s="59">
        <f>IF(M110="","",IF(N(J110)=0,1,J110))</f>
        <v/>
      </c>
    </row>
    <row r="111">
      <c r="A111" s="53" t="n">
        <v>91</v>
      </c>
      <c r="B111" s="67" t="n"/>
      <c r="C111" s="55" t="n"/>
      <c r="D111" s="68" t="n"/>
      <c r="E111" s="68" t="n"/>
      <c r="F111" s="59">
        <f>IF(OR(E111="",D111=""),"",MAX(E111-D111,0))</f>
        <v/>
      </c>
      <c r="G111" s="59">
        <f>IF(F111="","",IF(N(C111)=0,1,C111))</f>
        <v/>
      </c>
      <c r="H111" s="53" t="n">
        <v>91</v>
      </c>
      <c r="I111" s="67" t="n"/>
      <c r="J111" s="55" t="n"/>
      <c r="K111" s="68" t="n"/>
      <c r="L111" s="68" t="n"/>
      <c r="M111" s="59">
        <f>IF(OR(L111="",K111=""),"",MAX(L111-K111,0))</f>
        <v/>
      </c>
      <c r="N111" s="59">
        <f>IF(M111="","",IF(N(J111)=0,1,J111))</f>
        <v/>
      </c>
    </row>
    <row r="112">
      <c r="A112" s="53" t="n">
        <v>92</v>
      </c>
      <c r="B112" s="67" t="n"/>
      <c r="C112" s="55" t="n"/>
      <c r="D112" s="68" t="n"/>
      <c r="E112" s="68" t="n"/>
      <c r="F112" s="59">
        <f>IF(OR(E112="",D112=""),"",MAX(E112-D112,0))</f>
        <v/>
      </c>
      <c r="G112" s="59">
        <f>IF(F112="","",IF(N(C112)=0,1,C112))</f>
        <v/>
      </c>
      <c r="H112" s="53" t="n">
        <v>92</v>
      </c>
      <c r="I112" s="67" t="n"/>
      <c r="J112" s="55" t="n"/>
      <c r="K112" s="68" t="n"/>
      <c r="L112" s="68" t="n"/>
      <c r="M112" s="59">
        <f>IF(OR(L112="",K112=""),"",MAX(L112-K112,0))</f>
        <v/>
      </c>
      <c r="N112" s="59">
        <f>IF(M112="","",IF(N(J112)=0,1,J112))</f>
        <v/>
      </c>
    </row>
    <row r="113">
      <c r="A113" s="53" t="n">
        <v>93</v>
      </c>
      <c r="B113" s="67" t="n"/>
      <c r="C113" s="55" t="n"/>
      <c r="D113" s="68" t="n"/>
      <c r="E113" s="68" t="n"/>
      <c r="F113" s="59">
        <f>IF(OR(E113="",D113=""),"",MAX(E113-D113,0))</f>
        <v/>
      </c>
      <c r="G113" s="59">
        <f>IF(F113="","",IF(N(C113)=0,1,C113))</f>
        <v/>
      </c>
      <c r="H113" s="53" t="n">
        <v>93</v>
      </c>
      <c r="I113" s="67" t="n"/>
      <c r="J113" s="55" t="n"/>
      <c r="K113" s="68" t="n"/>
      <c r="L113" s="68" t="n"/>
      <c r="M113" s="59">
        <f>IF(OR(L113="",K113=""),"",MAX(L113-K113,0))</f>
        <v/>
      </c>
      <c r="N113" s="59">
        <f>IF(M113="","",IF(N(J113)=0,1,J113))</f>
        <v/>
      </c>
    </row>
    <row r="114">
      <c r="A114" s="53" t="n">
        <v>94</v>
      </c>
      <c r="B114" s="67" t="n"/>
      <c r="C114" s="55" t="n"/>
      <c r="D114" s="68" t="n"/>
      <c r="E114" s="68" t="n"/>
      <c r="F114" s="59">
        <f>IF(OR(E114="",D114=""),"",MAX(E114-D114,0))</f>
        <v/>
      </c>
      <c r="G114" s="59">
        <f>IF(F114="","",IF(N(C114)=0,1,C114))</f>
        <v/>
      </c>
      <c r="H114" s="53" t="n">
        <v>94</v>
      </c>
      <c r="I114" s="67" t="n"/>
      <c r="J114" s="55" t="n"/>
      <c r="K114" s="68" t="n"/>
      <c r="L114" s="68" t="n"/>
      <c r="M114" s="59">
        <f>IF(OR(L114="",K114=""),"",MAX(L114-K114,0))</f>
        <v/>
      </c>
      <c r="N114" s="59">
        <f>IF(M114="","",IF(N(J114)=0,1,J114))</f>
        <v/>
      </c>
    </row>
    <row r="115">
      <c r="A115" s="53" t="n">
        <v>95</v>
      </c>
      <c r="B115" s="67" t="n"/>
      <c r="C115" s="55" t="n"/>
      <c r="D115" s="68" t="n"/>
      <c r="E115" s="68" t="n"/>
      <c r="F115" s="59">
        <f>IF(OR(E115="",D115=""),"",MAX(E115-D115,0))</f>
        <v/>
      </c>
      <c r="G115" s="59">
        <f>IF(F115="","",IF(N(C115)=0,1,C115))</f>
        <v/>
      </c>
      <c r="H115" s="53" t="n">
        <v>95</v>
      </c>
      <c r="I115" s="67" t="n"/>
      <c r="J115" s="55" t="n"/>
      <c r="K115" s="68" t="n"/>
      <c r="L115" s="68" t="n"/>
      <c r="M115" s="59">
        <f>IF(OR(L115="",K115=""),"",MAX(L115-K115,0))</f>
        <v/>
      </c>
      <c r="N115" s="59">
        <f>IF(M115="","",IF(N(J115)=0,1,J115))</f>
        <v/>
      </c>
    </row>
    <row r="116">
      <c r="A116" s="53" t="n">
        <v>96</v>
      </c>
      <c r="B116" s="67" t="n"/>
      <c r="C116" s="55" t="n"/>
      <c r="D116" s="68" t="n"/>
      <c r="E116" s="68" t="n"/>
      <c r="F116" s="59">
        <f>IF(OR(E116="",D116=""),"",MAX(E116-D116,0))</f>
        <v/>
      </c>
      <c r="G116" s="59">
        <f>IF(F116="","",IF(N(C116)=0,1,C116))</f>
        <v/>
      </c>
      <c r="H116" s="53" t="n">
        <v>96</v>
      </c>
      <c r="I116" s="67" t="n"/>
      <c r="J116" s="55" t="n"/>
      <c r="K116" s="68" t="n"/>
      <c r="L116" s="68" t="n"/>
      <c r="M116" s="59">
        <f>IF(OR(L116="",K116=""),"",MAX(L116-K116,0))</f>
        <v/>
      </c>
      <c r="N116" s="59">
        <f>IF(M116="","",IF(N(J116)=0,1,J116))</f>
        <v/>
      </c>
    </row>
    <row r="117">
      <c r="A117" s="53" t="n">
        <v>97</v>
      </c>
      <c r="B117" s="67" t="n"/>
      <c r="C117" s="55" t="n"/>
      <c r="D117" s="68" t="n"/>
      <c r="E117" s="68" t="n"/>
      <c r="F117" s="59">
        <f>IF(OR(E117="",D117=""),"",MAX(E117-D117,0))</f>
        <v/>
      </c>
      <c r="G117" s="59">
        <f>IF(F117="","",IF(N(C117)=0,1,C117))</f>
        <v/>
      </c>
      <c r="H117" s="53" t="n">
        <v>97</v>
      </c>
      <c r="I117" s="67" t="n"/>
      <c r="J117" s="55" t="n"/>
      <c r="K117" s="68" t="n"/>
      <c r="L117" s="68" t="n"/>
      <c r="M117" s="59">
        <f>IF(OR(L117="",K117=""),"",MAX(L117-K117,0))</f>
        <v/>
      </c>
      <c r="N117" s="59">
        <f>IF(M117="","",IF(N(J117)=0,1,J117))</f>
        <v/>
      </c>
    </row>
    <row r="118">
      <c r="A118" s="53" t="n">
        <v>98</v>
      </c>
      <c r="B118" s="67" t="n"/>
      <c r="C118" s="55" t="n"/>
      <c r="D118" s="68" t="n"/>
      <c r="E118" s="68" t="n"/>
      <c r="F118" s="59">
        <f>IF(OR(E118="",D118=""),"",MAX(E118-D118,0))</f>
        <v/>
      </c>
      <c r="G118" s="59">
        <f>IF(F118="","",IF(N(C118)=0,1,C118))</f>
        <v/>
      </c>
      <c r="H118" s="53" t="n">
        <v>98</v>
      </c>
      <c r="I118" s="67" t="n"/>
      <c r="J118" s="55" t="n"/>
      <c r="K118" s="68" t="n"/>
      <c r="L118" s="68" t="n"/>
      <c r="M118" s="59">
        <f>IF(OR(L118="",K118=""),"",MAX(L118-K118,0))</f>
        <v/>
      </c>
      <c r="N118" s="59">
        <f>IF(M118="","",IF(N(J118)=0,1,J118))</f>
        <v/>
      </c>
    </row>
    <row r="119">
      <c r="A119" s="53" t="n">
        <v>99</v>
      </c>
      <c r="B119" s="67" t="n"/>
      <c r="C119" s="55" t="n"/>
      <c r="D119" s="68" t="n"/>
      <c r="E119" s="68" t="n"/>
      <c r="F119" s="59">
        <f>IF(OR(E119="",D119=""),"",MAX(E119-D119,0))</f>
        <v/>
      </c>
      <c r="G119" s="59">
        <f>IF(F119="","",IF(N(C119)=0,1,C119))</f>
        <v/>
      </c>
      <c r="H119" s="53" t="n">
        <v>99</v>
      </c>
      <c r="I119" s="67" t="n"/>
      <c r="J119" s="55" t="n"/>
      <c r="K119" s="68" t="n"/>
      <c r="L119" s="68" t="n"/>
      <c r="M119" s="59">
        <f>IF(OR(L119="",K119=""),"",MAX(L119-K119,0))</f>
        <v/>
      </c>
      <c r="N119" s="59">
        <f>IF(M119="","",IF(N(J119)=0,1,J119))</f>
        <v/>
      </c>
    </row>
    <row r="120">
      <c r="A120" s="53" t="n">
        <v>100</v>
      </c>
      <c r="B120" s="67" t="n"/>
      <c r="C120" s="55" t="n"/>
      <c r="D120" s="68" t="n"/>
      <c r="E120" s="68" t="n"/>
      <c r="F120" s="59">
        <f>IF(OR(E120="",D120=""),"",MAX(E120-D120,0))</f>
        <v/>
      </c>
      <c r="G120" s="59">
        <f>IF(F120="","",IF(N(C120)=0,1,C120))</f>
        <v/>
      </c>
      <c r="H120" s="53" t="n">
        <v>100</v>
      </c>
      <c r="I120" s="67" t="n"/>
      <c r="J120" s="55" t="n"/>
      <c r="K120" s="68" t="n"/>
      <c r="L120" s="68" t="n"/>
      <c r="M120" s="59">
        <f>IF(OR(L120="",K120=""),"",MAX(L120-K120,0))</f>
        <v/>
      </c>
      <c r="N120" s="59">
        <f>IF(M120="","",IF(N(J120)=0,1,J120))</f>
        <v/>
      </c>
    </row>
    <row r="121">
      <c r="A121" s="53" t="n">
        <v>101</v>
      </c>
      <c r="B121" s="67" t="n"/>
      <c r="C121" s="55" t="n"/>
      <c r="D121" s="68" t="n"/>
      <c r="E121" s="68" t="n"/>
      <c r="F121" s="59">
        <f>IF(OR(E121="",D121=""),"",MAX(E121-D121,0))</f>
        <v/>
      </c>
      <c r="G121" s="59">
        <f>IF(F121="","",IF(N(C121)=0,1,C121))</f>
        <v/>
      </c>
      <c r="H121" s="53" t="n">
        <v>101</v>
      </c>
      <c r="I121" s="67" t="n"/>
      <c r="J121" s="55" t="n"/>
      <c r="K121" s="68" t="n"/>
      <c r="L121" s="68" t="n"/>
      <c r="M121" s="59">
        <f>IF(OR(L121="",K121=""),"",MAX(L121-K121,0))</f>
        <v/>
      </c>
      <c r="N121" s="59">
        <f>IF(M121="","",IF(N(J121)=0,1,J121))</f>
        <v/>
      </c>
    </row>
    <row r="122">
      <c r="A122" s="53" t="n">
        <v>102</v>
      </c>
      <c r="B122" s="67" t="n"/>
      <c r="C122" s="55" t="n"/>
      <c r="D122" s="68" t="n"/>
      <c r="E122" s="68" t="n"/>
      <c r="F122" s="59">
        <f>IF(OR(E122="",D122=""),"",MAX(E122-D122,0))</f>
        <v/>
      </c>
      <c r="G122" s="59">
        <f>IF(F122="","",IF(N(C122)=0,1,C122))</f>
        <v/>
      </c>
      <c r="H122" s="53" t="n">
        <v>102</v>
      </c>
      <c r="I122" s="67" t="n"/>
      <c r="J122" s="55" t="n"/>
      <c r="K122" s="68" t="n"/>
      <c r="L122" s="68" t="n"/>
      <c r="M122" s="59">
        <f>IF(OR(L122="",K122=""),"",MAX(L122-K122,0))</f>
        <v/>
      </c>
      <c r="N122" s="59">
        <f>IF(M122="","",IF(N(J122)=0,1,J122))</f>
        <v/>
      </c>
    </row>
    <row r="123">
      <c r="A123" s="53" t="n">
        <v>103</v>
      </c>
      <c r="B123" s="67" t="n"/>
      <c r="C123" s="55" t="n"/>
      <c r="D123" s="68" t="n"/>
      <c r="E123" s="68" t="n"/>
      <c r="F123" s="59">
        <f>IF(OR(E123="",D123=""),"",MAX(E123-D123,0))</f>
        <v/>
      </c>
      <c r="G123" s="59">
        <f>IF(F123="","",IF(N(C123)=0,1,C123))</f>
        <v/>
      </c>
      <c r="H123" s="53" t="n">
        <v>103</v>
      </c>
      <c r="I123" s="67" t="n"/>
      <c r="J123" s="55" t="n"/>
      <c r="K123" s="68" t="n"/>
      <c r="L123" s="68" t="n"/>
      <c r="M123" s="59">
        <f>IF(OR(L123="",K123=""),"",MAX(L123-K123,0))</f>
        <v/>
      </c>
      <c r="N123" s="59">
        <f>IF(M123="","",IF(N(J123)=0,1,J123))</f>
        <v/>
      </c>
    </row>
    <row r="124">
      <c r="A124" s="53" t="n">
        <v>104</v>
      </c>
      <c r="B124" s="67" t="n"/>
      <c r="C124" s="55" t="n"/>
      <c r="D124" s="68" t="n"/>
      <c r="E124" s="68" t="n"/>
      <c r="F124" s="59">
        <f>IF(OR(E124="",D124=""),"",MAX(E124-D124,0))</f>
        <v/>
      </c>
      <c r="G124" s="59">
        <f>IF(F124="","",IF(N(C124)=0,1,C124))</f>
        <v/>
      </c>
      <c r="H124" s="53" t="n">
        <v>104</v>
      </c>
      <c r="I124" s="67" t="n"/>
      <c r="J124" s="55" t="n"/>
      <c r="K124" s="68" t="n"/>
      <c r="L124" s="68" t="n"/>
      <c r="M124" s="59">
        <f>IF(OR(L124="",K124=""),"",MAX(L124-K124,0))</f>
        <v/>
      </c>
      <c r="N124" s="59">
        <f>IF(M124="","",IF(N(J124)=0,1,J124))</f>
        <v/>
      </c>
    </row>
    <row r="125">
      <c r="A125" s="53" t="n">
        <v>105</v>
      </c>
      <c r="B125" s="67" t="n"/>
      <c r="C125" s="55" t="n"/>
      <c r="D125" s="68" t="n"/>
      <c r="E125" s="68" t="n"/>
      <c r="F125" s="59">
        <f>IF(OR(E125="",D125=""),"",MAX(E125-D125,0))</f>
        <v/>
      </c>
      <c r="G125" s="59">
        <f>IF(F125="","",IF(N(C125)=0,1,C125))</f>
        <v/>
      </c>
      <c r="H125" s="53" t="n">
        <v>105</v>
      </c>
      <c r="I125" s="67" t="n"/>
      <c r="J125" s="55" t="n"/>
      <c r="K125" s="68" t="n"/>
      <c r="L125" s="68" t="n"/>
      <c r="M125" s="59">
        <f>IF(OR(L125="",K125=""),"",MAX(L125-K125,0))</f>
        <v/>
      </c>
      <c r="N125" s="59">
        <f>IF(M125="","",IF(N(J125)=0,1,J125))</f>
        <v/>
      </c>
    </row>
    <row r="126">
      <c r="A126" s="53" t="n">
        <v>106</v>
      </c>
      <c r="B126" s="67" t="n"/>
      <c r="C126" s="55" t="n"/>
      <c r="D126" s="68" t="n"/>
      <c r="E126" s="68" t="n"/>
      <c r="F126" s="59">
        <f>IF(OR(E126="",D126=""),"",MAX(E126-D126,0))</f>
        <v/>
      </c>
      <c r="G126" s="59">
        <f>IF(F126="","",IF(N(C126)=0,1,C126))</f>
        <v/>
      </c>
      <c r="H126" s="53" t="n">
        <v>106</v>
      </c>
      <c r="I126" s="67" t="n"/>
      <c r="J126" s="55" t="n"/>
      <c r="K126" s="68" t="n"/>
      <c r="L126" s="68" t="n"/>
      <c r="M126" s="59">
        <f>IF(OR(L126="",K126=""),"",MAX(L126-K126,0))</f>
        <v/>
      </c>
      <c r="N126" s="59">
        <f>IF(M126="","",IF(N(J126)=0,1,J126))</f>
        <v/>
      </c>
    </row>
    <row r="127">
      <c r="A127" s="53" t="n">
        <v>107</v>
      </c>
      <c r="B127" s="67" t="n"/>
      <c r="C127" s="55" t="n"/>
      <c r="D127" s="68" t="n"/>
      <c r="E127" s="68" t="n"/>
      <c r="F127" s="59">
        <f>IF(OR(E127="",D127=""),"",MAX(E127-D127,0))</f>
        <v/>
      </c>
      <c r="G127" s="59">
        <f>IF(F127="","",IF(N(C127)=0,1,C127))</f>
        <v/>
      </c>
      <c r="H127" s="53" t="n">
        <v>107</v>
      </c>
      <c r="I127" s="67" t="n"/>
      <c r="J127" s="55" t="n"/>
      <c r="K127" s="68" t="n"/>
      <c r="L127" s="68" t="n"/>
      <c r="M127" s="59">
        <f>IF(OR(L127="",K127=""),"",MAX(L127-K127,0))</f>
        <v/>
      </c>
      <c r="N127" s="59">
        <f>IF(M127="","",IF(N(J127)=0,1,J127))</f>
        <v/>
      </c>
    </row>
    <row r="128">
      <c r="A128" s="53" t="n">
        <v>108</v>
      </c>
      <c r="B128" s="67" t="n"/>
      <c r="C128" s="55" t="n"/>
      <c r="D128" s="68" t="n"/>
      <c r="E128" s="68" t="n"/>
      <c r="F128" s="59">
        <f>IF(OR(E128="",D128=""),"",MAX(E128-D128,0))</f>
        <v/>
      </c>
      <c r="G128" s="59">
        <f>IF(F128="","",IF(N(C128)=0,1,C128))</f>
        <v/>
      </c>
      <c r="H128" s="53" t="n">
        <v>108</v>
      </c>
      <c r="I128" s="67" t="n"/>
      <c r="J128" s="55" t="n"/>
      <c r="K128" s="68" t="n"/>
      <c r="L128" s="68" t="n"/>
      <c r="M128" s="59">
        <f>IF(OR(L128="",K128=""),"",MAX(L128-K128,0))</f>
        <v/>
      </c>
      <c r="N128" s="59">
        <f>IF(M128="","",IF(N(J128)=0,1,J128))</f>
        <v/>
      </c>
    </row>
    <row r="129">
      <c r="A129" s="53" t="n">
        <v>109</v>
      </c>
      <c r="B129" s="67" t="n"/>
      <c r="C129" s="55" t="n"/>
      <c r="D129" s="68" t="n"/>
      <c r="E129" s="68" t="n"/>
      <c r="F129" s="59">
        <f>IF(OR(E129="",D129=""),"",MAX(E129-D129,0))</f>
        <v/>
      </c>
      <c r="G129" s="59">
        <f>IF(F129="","",IF(N(C129)=0,1,C129))</f>
        <v/>
      </c>
      <c r="H129" s="53" t="n">
        <v>109</v>
      </c>
      <c r="I129" s="67" t="n"/>
      <c r="J129" s="55" t="n"/>
      <c r="K129" s="68" t="n"/>
      <c r="L129" s="68" t="n"/>
      <c r="M129" s="59">
        <f>IF(OR(L129="",K129=""),"",MAX(L129-K129,0))</f>
        <v/>
      </c>
      <c r="N129" s="59">
        <f>IF(M129="","",IF(N(J129)=0,1,J129))</f>
        <v/>
      </c>
    </row>
    <row r="130">
      <c r="A130" s="53" t="n">
        <v>110</v>
      </c>
      <c r="B130" s="67" t="n"/>
      <c r="C130" s="55" t="n"/>
      <c r="D130" s="68" t="n"/>
      <c r="E130" s="68" t="n"/>
      <c r="F130" s="59">
        <f>IF(OR(E130="",D130=""),"",MAX(E130-D130,0))</f>
        <v/>
      </c>
      <c r="G130" s="59">
        <f>IF(F130="","",IF(N(C130)=0,1,C130))</f>
        <v/>
      </c>
      <c r="H130" s="53" t="n">
        <v>110</v>
      </c>
      <c r="I130" s="67" t="n"/>
      <c r="J130" s="55" t="n"/>
      <c r="K130" s="68" t="n"/>
      <c r="L130" s="68" t="n"/>
      <c r="M130" s="59">
        <f>IF(OR(L130="",K130=""),"",MAX(L130-K130,0))</f>
        <v/>
      </c>
      <c r="N130" s="59">
        <f>IF(M130="","",IF(N(J130)=0,1,J130))</f>
        <v/>
      </c>
    </row>
    <row r="131">
      <c r="A131" s="60" t="n"/>
      <c r="B131" s="61" t="inlineStr">
        <is>
          <t>Total</t>
        </is>
      </c>
      <c r="C131" s="65">
        <f>SUM(C21:C130)</f>
        <v/>
      </c>
      <c r="D131" s="60" t="n"/>
      <c r="E131" s="60" t="n"/>
      <c r="F131" s="62">
        <f>IF(N(G131)=0,"",SUMPRODUCT(F21:F130,G21:G130)/G131)</f>
        <v/>
      </c>
      <c r="G131" s="65">
        <f>SUM(G21:G130)</f>
        <v/>
      </c>
      <c r="H131" s="60" t="n"/>
      <c r="I131" s="61" t="inlineStr">
        <is>
          <t>Total</t>
        </is>
      </c>
      <c r="J131" s="65">
        <f>SUM(J21:J130)</f>
        <v/>
      </c>
      <c r="K131" s="60" t="n"/>
      <c r="L131" s="60" t="n"/>
      <c r="M131" s="62">
        <f>IF(N(N131)=0,"",SUMPRODUCT(M21:M130,N21:N130)/N131)</f>
        <v/>
      </c>
      <c r="N131" s="65">
        <f>SUM(N21:N130)</f>
        <v/>
      </c>
    </row>
    <row r="132">
      <c r="B132" s="66" t="inlineStr">
        <is>
          <t>Insert rows above the Total row as necessary and copy the formulas of the 'Time to Hire' and 'Posts Filled' columns into the new rows. Blank 'No. of Posts' on a filled position counts as 1 post.</t>
        </is>
      </c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IK1mo3n2o9zLr8wGMYhctA==" formatRows="0" sort="1" spinCount="100000" hashValue="BxtlLJhy4LlRWdVEjwrO4taZuxvjBDAYtqNtPV4JxIOlFYuzAu35PaQ28q55hr5X/YUx3By7q0/tp1NhUSsxrA=="/>
  <mergeCells count="24">
    <mergeCell ref="Y2:AA2"/>
    <mergeCell ref="Y1:AA1"/>
    <mergeCell ref="A18:C18"/>
    <mergeCell ref="Q1:S1"/>
    <mergeCell ref="D18:E19"/>
    <mergeCell ref="O1:O2"/>
    <mergeCell ref="A2:C2"/>
    <mergeCell ref="D1:F2"/>
    <mergeCell ref="W1:W2"/>
    <mergeCell ref="M18:N19"/>
    <mergeCell ref="H19:J19"/>
    <mergeCell ref="I1:K1"/>
    <mergeCell ref="AB1:AD2"/>
    <mergeCell ref="AE1:AE2"/>
    <mergeCell ref="Q2:S2"/>
    <mergeCell ref="A19:C19"/>
    <mergeCell ref="H18:J18"/>
    <mergeCell ref="K18:L19"/>
    <mergeCell ref="G1:G2"/>
    <mergeCell ref="L1:N2"/>
    <mergeCell ref="I2:K2"/>
    <mergeCell ref="A1:C1"/>
    <mergeCell ref="T1:V2"/>
    <mergeCell ref="F18:G19"/>
  </mergeCells>
  <dataValidations count="5">
    <dataValidation sqref="D21:E13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C21:C130" showDropDown="0" showInputMessage="0" showErrorMessage="1" allowBlank="1" error="No. of Posts must be a whole number &gt;= 1." type="whole" operator="greaterThanOrEqual">
      <formula1>1</formula1>
    </dataValidation>
    <dataValidation sqref="K21:L13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J21:J130" showDropDown="0" showInputMessage="0" showErrorMessage="1" allowBlank="1" error="No. of Posts must be a whole number &gt;= 1." type="whole" operator="greaterThanOrEqual">
      <formula1>1</formula1>
    </dataValidation>
    <dataValidation sqref="D4:D15" showDropDown="0" showInputMessage="0" showErrorMessage="1" allowBlank="1" error="Working days must be between 0 and 31." type="whole" operator="between">
      <formula1>0</formula1>
      <formula2>31</formula2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102"/>
  <sheetViews>
    <sheetView showGridLines="0" zoomScale="80" workbookViewId="0">
      <selection activeCell="A1" sqref="A1"/>
    </sheetView>
  </sheetViews>
  <sheetFormatPr baseColWidth="8" defaultRowHeight="15"/>
  <cols>
    <col width="5.5" customWidth="1" min="1" max="1"/>
    <col width="16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5.5" customWidth="1" min="8" max="8"/>
    <col width="16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3" customWidth="1" min="15" max="15"/>
    <col width="3" customWidth="1" min="16" max="16"/>
    <col width="5.5" customWidth="1" min="17" max="17"/>
    <col width="16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3" customWidth="1" min="24" max="24"/>
    <col width="5.5" customWidth="1" min="25" max="25"/>
    <col width="1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4.75" customHeight="1">
      <c r="A1" s="40" t="inlineStr">
        <is>
          <t>GCG Food El Salvador</t>
        </is>
      </c>
      <c r="B1" s="41" t="n"/>
      <c r="C1" s="42" t="n"/>
      <c r="D1" s="40" t="inlineStr">
        <is>
          <t>ABSENCE RATE YTD</t>
        </is>
      </c>
      <c r="E1" s="43" t="n"/>
      <c r="F1" s="44" t="n"/>
      <c r="G1" s="45">
        <f>G16</f>
        <v/>
      </c>
      <c r="I1" s="40">
        <f>A1</f>
        <v/>
      </c>
      <c r="J1" s="41" t="n"/>
      <c r="K1" s="42" t="n"/>
      <c r="L1" s="40" t="inlineStr">
        <is>
          <t>ABSENCE RATE YTD</t>
        </is>
      </c>
      <c r="M1" s="43" t="n"/>
      <c r="N1" s="44" t="n"/>
      <c r="O1" s="45">
        <f>O16</f>
        <v/>
      </c>
      <c r="Q1" s="40">
        <f>A1</f>
        <v/>
      </c>
      <c r="R1" s="41" t="n"/>
      <c r="S1" s="42" t="n"/>
      <c r="T1" s="40" t="inlineStr">
        <is>
          <t>ABSENCE RATE YTD</t>
        </is>
      </c>
      <c r="U1" s="43" t="n"/>
      <c r="V1" s="44" t="n"/>
      <c r="W1" s="45">
        <f>W16</f>
        <v/>
      </c>
      <c r="Y1" s="40">
        <f>A1</f>
        <v/>
      </c>
      <c r="Z1" s="41" t="n"/>
      <c r="AA1" s="42" t="n"/>
      <c r="AB1" s="40" t="inlineStr">
        <is>
          <t>TIME TO HIRE YTD (Days)</t>
        </is>
      </c>
      <c r="AC1" s="43" t="n"/>
      <c r="AD1" s="44" t="n"/>
      <c r="AE1" s="46">
        <f>AE16</f>
        <v/>
      </c>
    </row>
    <row r="2" ht="18.75" customHeight="1">
      <c r="A2" s="47" t="inlineStr">
        <is>
          <t>NON-CERTIFIED</t>
        </is>
      </c>
      <c r="B2" s="41" t="n"/>
      <c r="C2" s="42" t="n"/>
      <c r="D2" s="48" t="n"/>
      <c r="E2" s="49" t="n"/>
      <c r="F2" s="50" t="n"/>
      <c r="G2" s="51" t="n"/>
      <c r="I2" s="47" t="inlineStr">
        <is>
          <t>CERTIFIED</t>
        </is>
      </c>
      <c r="J2" s="41" t="n"/>
      <c r="K2" s="42" t="n"/>
      <c r="L2" s="48" t="n"/>
      <c r="M2" s="49" t="n"/>
      <c r="N2" s="50" t="n"/>
      <c r="O2" s="51" t="n"/>
      <c r="Q2" s="47" t="inlineStr">
        <is>
          <t>TOTAL ABSENCES</t>
        </is>
      </c>
      <c r="R2" s="41" t="n"/>
      <c r="S2" s="42" t="n"/>
      <c r="T2" s="48" t="n"/>
      <c r="U2" s="49" t="n"/>
      <c r="V2" s="50" t="n"/>
      <c r="W2" s="51" t="n"/>
      <c r="Y2" s="47" t="inlineStr">
        <is>
          <t>TIME TO HIRE BY MONTH</t>
        </is>
      </c>
      <c r="Z2" s="41" t="n"/>
      <c r="AA2" s="42" t="n"/>
      <c r="AB2" s="48" t="n"/>
      <c r="AC2" s="49" t="n"/>
      <c r="AD2" s="50" t="n"/>
      <c r="AE2" s="51" t="n"/>
    </row>
    <row r="3" ht="55" customHeight="1">
      <c r="A3" s="52" t="inlineStr">
        <is>
          <t>No.</t>
        </is>
      </c>
      <c r="B3" s="52" t="inlineStr">
        <is>
          <t>Month</t>
        </is>
      </c>
      <c r="C3" s="52" t="inlineStr">
        <is>
          <t>Total Employees</t>
        </is>
      </c>
      <c r="D3" s="52" t="inlineStr">
        <is>
          <t>Working Days</t>
        </is>
      </c>
      <c r="E3" s="52" t="inlineStr">
        <is>
          <t>Total Days Lost</t>
        </is>
      </c>
      <c r="F3" s="52" t="inlineStr">
        <is>
          <t>Total Working Days</t>
        </is>
      </c>
      <c r="G3" s="52" t="inlineStr">
        <is>
          <t>Monthly Absence Rate</t>
        </is>
      </c>
      <c r="I3" s="52" t="inlineStr">
        <is>
          <t>No.</t>
        </is>
      </c>
      <c r="J3" s="52" t="inlineStr">
        <is>
          <t>Month</t>
        </is>
      </c>
      <c r="K3" s="52" t="inlineStr">
        <is>
          <t>Total Employees</t>
        </is>
      </c>
      <c r="L3" s="52" t="inlineStr">
        <is>
          <t>Working Days</t>
        </is>
      </c>
      <c r="M3" s="52" t="inlineStr">
        <is>
          <t>Total Days Lost</t>
        </is>
      </c>
      <c r="N3" s="52" t="inlineStr">
        <is>
          <t>Total Working Days</t>
        </is>
      </c>
      <c r="O3" s="52" t="inlineStr">
        <is>
          <t>Monthly Absence Rate</t>
        </is>
      </c>
      <c r="Q3" s="52" t="inlineStr">
        <is>
          <t>No.</t>
        </is>
      </c>
      <c r="R3" s="52" t="inlineStr">
        <is>
          <t>Month</t>
        </is>
      </c>
      <c r="S3" s="52" t="inlineStr">
        <is>
          <t>Total Employees</t>
        </is>
      </c>
      <c r="T3" s="52" t="inlineStr">
        <is>
          <t>Working Days</t>
        </is>
      </c>
      <c r="U3" s="52" t="inlineStr">
        <is>
          <t>Total Days Lost</t>
        </is>
      </c>
      <c r="V3" s="52" t="inlineStr">
        <is>
          <t>Total Working Days</t>
        </is>
      </c>
      <c r="W3" s="52" t="inlineStr">
        <is>
          <t>Monthly Absence Rate</t>
        </is>
      </c>
      <c r="Y3" s="52" t="inlineStr">
        <is>
          <t>No.</t>
        </is>
      </c>
      <c r="Z3" s="52" t="inlineStr">
        <is>
          <t>Month</t>
        </is>
      </c>
      <c r="AA3" s="52" t="inlineStr">
        <is>
          <t>Permanent Posts Filled YTD</t>
        </is>
      </c>
      <c r="AB3" s="52" t="inlineStr">
        <is>
          <t>Permanent Time to Hire YTD (Days)</t>
        </is>
      </c>
      <c r="AC3" s="52" t="inlineStr">
        <is>
          <t>Temporary Posts Filled YTD</t>
        </is>
      </c>
      <c r="AD3" s="52" t="inlineStr">
        <is>
          <t>Temporary Time to Hire YTD (Days)</t>
        </is>
      </c>
      <c r="AE3" s="52" t="inlineStr">
        <is>
          <t>Total Time to Hire YTD (Days)</t>
        </is>
      </c>
    </row>
    <row r="4" ht="18.75" customHeight="1">
      <c r="A4" s="53" t="n">
        <v>1</v>
      </c>
      <c r="B4" s="54" t="n">
        <v>46296</v>
      </c>
      <c r="C4" s="53">
        <f>IF(OCT!$J$5="","",OCT!$J$5)</f>
        <v/>
      </c>
      <c r="D4" s="55" t="n"/>
      <c r="E4" s="56">
        <f>IF(OCT!$J$43="","",OCT!$J$43)</f>
        <v/>
      </c>
      <c r="F4" s="57">
        <f>IF(OR(C4="",D4=""),"",C4*D4)</f>
        <v/>
      </c>
      <c r="G4" s="58">
        <f>IF(OR(E4="",N(F4)=0),"",E4/F4)</f>
        <v/>
      </c>
      <c r="I4" s="53" t="n">
        <v>1</v>
      </c>
      <c r="J4" s="54" t="n">
        <v>46296</v>
      </c>
      <c r="K4" s="53">
        <f>C4</f>
        <v/>
      </c>
      <c r="L4" s="59">
        <f>IF(D4="","",D4)</f>
        <v/>
      </c>
      <c r="M4" s="56">
        <f>IF(OCT!$J$44="","",OCT!$J$44)</f>
        <v/>
      </c>
      <c r="N4" s="57">
        <f>IF(OR(K4="",L4=""),"",K4*L4)</f>
        <v/>
      </c>
      <c r="O4" s="58">
        <f>IF(OR(M4="",N(N4)=0),"",M4/N4)</f>
        <v/>
      </c>
      <c r="Q4" s="53" t="n">
        <v>1</v>
      </c>
      <c r="R4" s="54" t="n">
        <v>46296</v>
      </c>
      <c r="S4" s="53">
        <f>C4</f>
        <v/>
      </c>
      <c r="T4" s="59">
        <f>IF(D4="","",D4)</f>
        <v/>
      </c>
      <c r="U4" s="56">
        <f>IF(COUNT(E4,M4)=0,"",SUM(E4,M4))</f>
        <v/>
      </c>
      <c r="V4" s="57">
        <f>IF(OR(S4="",T4=""),"",S4*T4)</f>
        <v/>
      </c>
      <c r="W4" s="58">
        <f>IF(OR(U4="",N(V4)=0),"",U4/V4)</f>
        <v/>
      </c>
      <c r="Y4" s="53" t="n">
        <v>1</v>
      </c>
      <c r="Z4" s="54" t="n">
        <v>46296</v>
      </c>
      <c r="AA4" s="59">
        <f>IF($C4="","",SUMPRODUCT(($E$21:$E$100&gt;=$Z$4)*($E$21:$E$100&lt;=EOMONTH($Z4,0)),$G$21:$G$100))</f>
        <v/>
      </c>
      <c r="AB4" s="56">
        <f>IF(N(AA4)=0,"",SUMPRODUCT(($E$21:$E$100&gt;=$Z$4)*($E$21:$E$100&lt;=EOMONTH($Z4,0)),$F$21:$F$100,$G$21:$G$100)/AA4)</f>
        <v/>
      </c>
      <c r="AC4" s="59">
        <f>IF($C4="","",SUMPRODUCT(($L$21:$L$100&gt;=$Z$4)*($L$21:$L$100&lt;=EOMONTH($Z4,0)),$N$21:$N$100))</f>
        <v/>
      </c>
      <c r="AD4" s="56">
        <f>IF(N(AC4)=0,"",SUMPRODUCT(($L$21:$L$100&gt;=$Z$4)*($L$21:$L$100&lt;=EOMONTH($Z4,0)),$M$21:$M$100,$N$21:$N$100)/AC4)</f>
        <v/>
      </c>
      <c r="AE4" s="56">
        <f>IF(N(AA4)+N(AC4)=0,"",(N(AB4)*N(AA4)+N(AD4)*N(AC4))/(N(AA4)+N(AC4)))</f>
        <v/>
      </c>
    </row>
    <row r="5" ht="18.75" customHeight="1">
      <c r="A5" s="53" t="n">
        <v>2</v>
      </c>
      <c r="B5" s="54" t="n">
        <v>46327</v>
      </c>
      <c r="C5" s="53">
        <f>IF(NOV!$J$5="","",NOV!$J$5)</f>
        <v/>
      </c>
      <c r="D5" s="55" t="n"/>
      <c r="E5" s="56">
        <f>IF(NOV!$J$43="","",NOV!$J$43)</f>
        <v/>
      </c>
      <c r="F5" s="57">
        <f>IF(OR(C5="",D5=""),"",C5*D5)</f>
        <v/>
      </c>
      <c r="G5" s="58">
        <f>IF(OR(E5="",N(F5)=0),"",E5/F5)</f>
        <v/>
      </c>
      <c r="I5" s="53" t="n">
        <v>2</v>
      </c>
      <c r="J5" s="54" t="n">
        <v>46327</v>
      </c>
      <c r="K5" s="53">
        <f>C5</f>
        <v/>
      </c>
      <c r="L5" s="59">
        <f>IF(D5="","",D5)</f>
        <v/>
      </c>
      <c r="M5" s="56">
        <f>IF(NOV!$J$44="","",NOV!$J$44)</f>
        <v/>
      </c>
      <c r="N5" s="57">
        <f>IF(OR(K5="",L5=""),"",K5*L5)</f>
        <v/>
      </c>
      <c r="O5" s="58">
        <f>IF(OR(M5="",N(N5)=0),"",M5/N5)</f>
        <v/>
      </c>
      <c r="Q5" s="53" t="n">
        <v>2</v>
      </c>
      <c r="R5" s="54" t="n">
        <v>46327</v>
      </c>
      <c r="S5" s="53">
        <f>C5</f>
        <v/>
      </c>
      <c r="T5" s="59">
        <f>IF(D5="","",D5)</f>
        <v/>
      </c>
      <c r="U5" s="56">
        <f>IF(COUNT(E5,M5)=0,"",SUM(E5,M5))</f>
        <v/>
      </c>
      <c r="V5" s="57">
        <f>IF(OR(S5="",T5=""),"",S5*T5)</f>
        <v/>
      </c>
      <c r="W5" s="58">
        <f>IF(OR(U5="",N(V5)=0),"",U5/V5)</f>
        <v/>
      </c>
      <c r="Y5" s="53" t="n">
        <v>2</v>
      </c>
      <c r="Z5" s="54" t="n">
        <v>46327</v>
      </c>
      <c r="AA5" s="59">
        <f>IF($C5="","",SUMPRODUCT(($E$21:$E$100&gt;=$Z$4)*($E$21:$E$100&lt;=EOMONTH($Z5,0)),$G$21:$G$100))</f>
        <v/>
      </c>
      <c r="AB5" s="56">
        <f>IF(N(AA5)=0,"",SUMPRODUCT(($E$21:$E$100&gt;=$Z$4)*($E$21:$E$100&lt;=EOMONTH($Z5,0)),$F$21:$F$100,$G$21:$G$100)/AA5)</f>
        <v/>
      </c>
      <c r="AC5" s="59">
        <f>IF($C5="","",SUMPRODUCT(($L$21:$L$100&gt;=$Z$4)*($L$21:$L$100&lt;=EOMONTH($Z5,0)),$N$21:$N$100))</f>
        <v/>
      </c>
      <c r="AD5" s="56">
        <f>IF(N(AC5)=0,"",SUMPRODUCT(($L$21:$L$100&gt;=$Z$4)*($L$21:$L$100&lt;=EOMONTH($Z5,0)),$M$21:$M$100,$N$21:$N$100)/AC5)</f>
        <v/>
      </c>
      <c r="AE5" s="56">
        <f>IF(N(AA5)+N(AC5)=0,"",(N(AB5)*N(AA5)+N(AD5)*N(AC5))/(N(AA5)+N(AC5)))</f>
        <v/>
      </c>
    </row>
    <row r="6" ht="18.75" customHeight="1">
      <c r="A6" s="53" t="n">
        <v>3</v>
      </c>
      <c r="B6" s="54" t="n">
        <v>46357</v>
      </c>
      <c r="C6" s="53">
        <f>IF(DEC!$J$5="","",DEC!$J$5)</f>
        <v/>
      </c>
      <c r="D6" s="55" t="n"/>
      <c r="E6" s="56">
        <f>IF(DEC!$J$43="","",DEC!$J$43)</f>
        <v/>
      </c>
      <c r="F6" s="57">
        <f>IF(OR(C6="",D6=""),"",C6*D6)</f>
        <v/>
      </c>
      <c r="G6" s="58">
        <f>IF(OR(E6="",N(F6)=0),"",E6/F6)</f>
        <v/>
      </c>
      <c r="I6" s="53" t="n">
        <v>3</v>
      </c>
      <c r="J6" s="54" t="n">
        <v>46357</v>
      </c>
      <c r="K6" s="53">
        <f>C6</f>
        <v/>
      </c>
      <c r="L6" s="59">
        <f>IF(D6="","",D6)</f>
        <v/>
      </c>
      <c r="M6" s="56">
        <f>IF(DEC!$J$44="","",DEC!$J$44)</f>
        <v/>
      </c>
      <c r="N6" s="57">
        <f>IF(OR(K6="",L6=""),"",K6*L6)</f>
        <v/>
      </c>
      <c r="O6" s="58">
        <f>IF(OR(M6="",N(N6)=0),"",M6/N6)</f>
        <v/>
      </c>
      <c r="Q6" s="53" t="n">
        <v>3</v>
      </c>
      <c r="R6" s="54" t="n">
        <v>46357</v>
      </c>
      <c r="S6" s="53">
        <f>C6</f>
        <v/>
      </c>
      <c r="T6" s="59">
        <f>IF(D6="","",D6)</f>
        <v/>
      </c>
      <c r="U6" s="56">
        <f>IF(COUNT(E6,M6)=0,"",SUM(E6,M6))</f>
        <v/>
      </c>
      <c r="V6" s="57">
        <f>IF(OR(S6="",T6=""),"",S6*T6)</f>
        <v/>
      </c>
      <c r="W6" s="58">
        <f>IF(OR(U6="",N(V6)=0),"",U6/V6)</f>
        <v/>
      </c>
      <c r="Y6" s="53" t="n">
        <v>3</v>
      </c>
      <c r="Z6" s="54" t="n">
        <v>46357</v>
      </c>
      <c r="AA6" s="59">
        <f>IF($C6="","",SUMPRODUCT(($E$21:$E$100&gt;=$Z$4)*($E$21:$E$100&lt;=EOMONTH($Z6,0)),$G$21:$G$100))</f>
        <v/>
      </c>
      <c r="AB6" s="56">
        <f>IF(N(AA6)=0,"",SUMPRODUCT(($E$21:$E$100&gt;=$Z$4)*($E$21:$E$100&lt;=EOMONTH($Z6,0)),$F$21:$F$100,$G$21:$G$100)/AA6)</f>
        <v/>
      </c>
      <c r="AC6" s="59">
        <f>IF($C6="","",SUMPRODUCT(($L$21:$L$100&gt;=$Z$4)*($L$21:$L$100&lt;=EOMONTH($Z6,0)),$N$21:$N$100))</f>
        <v/>
      </c>
      <c r="AD6" s="56">
        <f>IF(N(AC6)=0,"",SUMPRODUCT(($L$21:$L$100&gt;=$Z$4)*($L$21:$L$100&lt;=EOMONTH($Z6,0)),$M$21:$M$100,$N$21:$N$100)/AC6)</f>
        <v/>
      </c>
      <c r="AE6" s="56">
        <f>IF(N(AA6)+N(AC6)=0,"",(N(AB6)*N(AA6)+N(AD6)*N(AC6))/(N(AA6)+N(AC6)))</f>
        <v/>
      </c>
    </row>
    <row r="7" ht="18.75" customHeight="1">
      <c r="A7" s="53" t="n">
        <v>4</v>
      </c>
      <c r="B7" s="54" t="n">
        <v>46388</v>
      </c>
      <c r="C7" s="53">
        <f>IF(JAN!$J$5="","",JAN!$J$5)</f>
        <v/>
      </c>
      <c r="D7" s="55" t="n"/>
      <c r="E7" s="56">
        <f>IF(JAN!$J$43="","",JAN!$J$43)</f>
        <v/>
      </c>
      <c r="F7" s="57">
        <f>IF(OR(C7="",D7=""),"",C7*D7)</f>
        <v/>
      </c>
      <c r="G7" s="58">
        <f>IF(OR(E7="",N(F7)=0),"",E7/F7)</f>
        <v/>
      </c>
      <c r="I7" s="53" t="n">
        <v>4</v>
      </c>
      <c r="J7" s="54" t="n">
        <v>46388</v>
      </c>
      <c r="K7" s="53">
        <f>C7</f>
        <v/>
      </c>
      <c r="L7" s="59">
        <f>IF(D7="","",D7)</f>
        <v/>
      </c>
      <c r="M7" s="56">
        <f>IF(JAN!$J$44="","",JAN!$J$44)</f>
        <v/>
      </c>
      <c r="N7" s="57">
        <f>IF(OR(K7="",L7=""),"",K7*L7)</f>
        <v/>
      </c>
      <c r="O7" s="58">
        <f>IF(OR(M7="",N(N7)=0),"",M7/N7)</f>
        <v/>
      </c>
      <c r="Q7" s="53" t="n">
        <v>4</v>
      </c>
      <c r="R7" s="54" t="n">
        <v>46388</v>
      </c>
      <c r="S7" s="53">
        <f>C7</f>
        <v/>
      </c>
      <c r="T7" s="59">
        <f>IF(D7="","",D7)</f>
        <v/>
      </c>
      <c r="U7" s="56">
        <f>IF(COUNT(E7,M7)=0,"",SUM(E7,M7))</f>
        <v/>
      </c>
      <c r="V7" s="57">
        <f>IF(OR(S7="",T7=""),"",S7*T7)</f>
        <v/>
      </c>
      <c r="W7" s="58">
        <f>IF(OR(U7="",N(V7)=0),"",U7/V7)</f>
        <v/>
      </c>
      <c r="Y7" s="53" t="n">
        <v>4</v>
      </c>
      <c r="Z7" s="54" t="n">
        <v>46388</v>
      </c>
      <c r="AA7" s="59">
        <f>IF($C7="","",SUMPRODUCT(($E$21:$E$100&gt;=$Z$4)*($E$21:$E$100&lt;=EOMONTH($Z7,0)),$G$21:$G$100))</f>
        <v/>
      </c>
      <c r="AB7" s="56">
        <f>IF(N(AA7)=0,"",SUMPRODUCT(($E$21:$E$100&gt;=$Z$4)*($E$21:$E$100&lt;=EOMONTH($Z7,0)),$F$21:$F$100,$G$21:$G$100)/AA7)</f>
        <v/>
      </c>
      <c r="AC7" s="59">
        <f>IF($C7="","",SUMPRODUCT(($L$21:$L$100&gt;=$Z$4)*($L$21:$L$100&lt;=EOMONTH($Z7,0)),$N$21:$N$100))</f>
        <v/>
      </c>
      <c r="AD7" s="56">
        <f>IF(N(AC7)=0,"",SUMPRODUCT(($L$21:$L$100&gt;=$Z$4)*($L$21:$L$100&lt;=EOMONTH($Z7,0)),$M$21:$M$100,$N$21:$N$100)/AC7)</f>
        <v/>
      </c>
      <c r="AE7" s="56">
        <f>IF(N(AA7)+N(AC7)=0,"",(N(AB7)*N(AA7)+N(AD7)*N(AC7))/(N(AA7)+N(AC7)))</f>
        <v/>
      </c>
    </row>
    <row r="8" ht="18.75" customHeight="1">
      <c r="A8" s="53" t="n">
        <v>5</v>
      </c>
      <c r="B8" s="54" t="n">
        <v>46419</v>
      </c>
      <c r="C8" s="53">
        <f>IF(FEB!$J$5="","",FEB!$J$5)</f>
        <v/>
      </c>
      <c r="D8" s="55" t="n"/>
      <c r="E8" s="56">
        <f>IF(FEB!$J$43="","",FEB!$J$43)</f>
        <v/>
      </c>
      <c r="F8" s="57">
        <f>IF(OR(C8="",D8=""),"",C8*D8)</f>
        <v/>
      </c>
      <c r="G8" s="58">
        <f>IF(OR(E8="",N(F8)=0),"",E8/F8)</f>
        <v/>
      </c>
      <c r="I8" s="53" t="n">
        <v>5</v>
      </c>
      <c r="J8" s="54" t="n">
        <v>46419</v>
      </c>
      <c r="K8" s="53">
        <f>C8</f>
        <v/>
      </c>
      <c r="L8" s="59">
        <f>IF(D8="","",D8)</f>
        <v/>
      </c>
      <c r="M8" s="56">
        <f>IF(FEB!$J$44="","",FEB!$J$44)</f>
        <v/>
      </c>
      <c r="N8" s="57">
        <f>IF(OR(K8="",L8=""),"",K8*L8)</f>
        <v/>
      </c>
      <c r="O8" s="58">
        <f>IF(OR(M8="",N(N8)=0),"",M8/N8)</f>
        <v/>
      </c>
      <c r="Q8" s="53" t="n">
        <v>5</v>
      </c>
      <c r="R8" s="54" t="n">
        <v>46419</v>
      </c>
      <c r="S8" s="53">
        <f>C8</f>
        <v/>
      </c>
      <c r="T8" s="59">
        <f>IF(D8="","",D8)</f>
        <v/>
      </c>
      <c r="U8" s="56">
        <f>IF(COUNT(E8,M8)=0,"",SUM(E8,M8))</f>
        <v/>
      </c>
      <c r="V8" s="57">
        <f>IF(OR(S8="",T8=""),"",S8*T8)</f>
        <v/>
      </c>
      <c r="W8" s="58">
        <f>IF(OR(U8="",N(V8)=0),"",U8/V8)</f>
        <v/>
      </c>
      <c r="Y8" s="53" t="n">
        <v>5</v>
      </c>
      <c r="Z8" s="54" t="n">
        <v>46419</v>
      </c>
      <c r="AA8" s="59">
        <f>IF($C8="","",SUMPRODUCT(($E$21:$E$100&gt;=$Z$4)*($E$21:$E$100&lt;=EOMONTH($Z8,0)),$G$21:$G$100))</f>
        <v/>
      </c>
      <c r="AB8" s="56">
        <f>IF(N(AA8)=0,"",SUMPRODUCT(($E$21:$E$100&gt;=$Z$4)*($E$21:$E$100&lt;=EOMONTH($Z8,0)),$F$21:$F$100,$G$21:$G$100)/AA8)</f>
        <v/>
      </c>
      <c r="AC8" s="59">
        <f>IF($C8="","",SUMPRODUCT(($L$21:$L$100&gt;=$Z$4)*($L$21:$L$100&lt;=EOMONTH($Z8,0)),$N$21:$N$100))</f>
        <v/>
      </c>
      <c r="AD8" s="56">
        <f>IF(N(AC8)=0,"",SUMPRODUCT(($L$21:$L$100&gt;=$Z$4)*($L$21:$L$100&lt;=EOMONTH($Z8,0)),$M$21:$M$100,$N$21:$N$100)/AC8)</f>
        <v/>
      </c>
      <c r="AE8" s="56">
        <f>IF(N(AA8)+N(AC8)=0,"",(N(AB8)*N(AA8)+N(AD8)*N(AC8))/(N(AA8)+N(AC8)))</f>
        <v/>
      </c>
    </row>
    <row r="9" ht="18.75" customHeight="1">
      <c r="A9" s="53" t="n">
        <v>6</v>
      </c>
      <c r="B9" s="54" t="n">
        <v>46447</v>
      </c>
      <c r="C9" s="53">
        <f>IF(MAR!$J$5="","",MAR!$J$5)</f>
        <v/>
      </c>
      <c r="D9" s="55" t="n"/>
      <c r="E9" s="56">
        <f>IF(MAR!$J$43="","",MAR!$J$43)</f>
        <v/>
      </c>
      <c r="F9" s="57">
        <f>IF(OR(C9="",D9=""),"",C9*D9)</f>
        <v/>
      </c>
      <c r="G9" s="58">
        <f>IF(OR(E9="",N(F9)=0),"",E9/F9)</f>
        <v/>
      </c>
      <c r="I9" s="53" t="n">
        <v>6</v>
      </c>
      <c r="J9" s="54" t="n">
        <v>46447</v>
      </c>
      <c r="K9" s="53">
        <f>C9</f>
        <v/>
      </c>
      <c r="L9" s="59">
        <f>IF(D9="","",D9)</f>
        <v/>
      </c>
      <c r="M9" s="56">
        <f>IF(MAR!$J$44="","",MAR!$J$44)</f>
        <v/>
      </c>
      <c r="N9" s="57">
        <f>IF(OR(K9="",L9=""),"",K9*L9)</f>
        <v/>
      </c>
      <c r="O9" s="58">
        <f>IF(OR(M9="",N(N9)=0),"",M9/N9)</f>
        <v/>
      </c>
      <c r="Q9" s="53" t="n">
        <v>6</v>
      </c>
      <c r="R9" s="54" t="n">
        <v>46447</v>
      </c>
      <c r="S9" s="53">
        <f>C9</f>
        <v/>
      </c>
      <c r="T9" s="59">
        <f>IF(D9="","",D9)</f>
        <v/>
      </c>
      <c r="U9" s="56">
        <f>IF(COUNT(E9,M9)=0,"",SUM(E9,M9))</f>
        <v/>
      </c>
      <c r="V9" s="57">
        <f>IF(OR(S9="",T9=""),"",S9*T9)</f>
        <v/>
      </c>
      <c r="W9" s="58">
        <f>IF(OR(U9="",N(V9)=0),"",U9/V9)</f>
        <v/>
      </c>
      <c r="Y9" s="53" t="n">
        <v>6</v>
      </c>
      <c r="Z9" s="54" t="n">
        <v>46447</v>
      </c>
      <c r="AA9" s="59">
        <f>IF($C9="","",SUMPRODUCT(($E$21:$E$100&gt;=$Z$4)*($E$21:$E$100&lt;=EOMONTH($Z9,0)),$G$21:$G$100))</f>
        <v/>
      </c>
      <c r="AB9" s="56">
        <f>IF(N(AA9)=0,"",SUMPRODUCT(($E$21:$E$100&gt;=$Z$4)*($E$21:$E$100&lt;=EOMONTH($Z9,0)),$F$21:$F$100,$G$21:$G$100)/AA9)</f>
        <v/>
      </c>
      <c r="AC9" s="59">
        <f>IF($C9="","",SUMPRODUCT(($L$21:$L$100&gt;=$Z$4)*($L$21:$L$100&lt;=EOMONTH($Z9,0)),$N$21:$N$100))</f>
        <v/>
      </c>
      <c r="AD9" s="56">
        <f>IF(N(AC9)=0,"",SUMPRODUCT(($L$21:$L$100&gt;=$Z$4)*($L$21:$L$100&lt;=EOMONTH($Z9,0)),$M$21:$M$100,$N$21:$N$100)/AC9)</f>
        <v/>
      </c>
      <c r="AE9" s="56">
        <f>IF(N(AA9)+N(AC9)=0,"",(N(AB9)*N(AA9)+N(AD9)*N(AC9))/(N(AA9)+N(AC9)))</f>
        <v/>
      </c>
    </row>
    <row r="10" ht="18.75" customHeight="1">
      <c r="A10" s="53" t="n">
        <v>7</v>
      </c>
      <c r="B10" s="54" t="n">
        <v>46478</v>
      </c>
      <c r="C10" s="53">
        <f>IF(APR!$J$5="","",APR!$J$5)</f>
        <v/>
      </c>
      <c r="D10" s="55" t="n"/>
      <c r="E10" s="56">
        <f>IF(APR!$J$43="","",APR!$J$43)</f>
        <v/>
      </c>
      <c r="F10" s="57">
        <f>IF(OR(C10="",D10=""),"",C10*D10)</f>
        <v/>
      </c>
      <c r="G10" s="58">
        <f>IF(OR(E10="",N(F10)=0),"",E10/F10)</f>
        <v/>
      </c>
      <c r="I10" s="53" t="n">
        <v>7</v>
      </c>
      <c r="J10" s="54" t="n">
        <v>46478</v>
      </c>
      <c r="K10" s="53">
        <f>C10</f>
        <v/>
      </c>
      <c r="L10" s="59">
        <f>IF(D10="","",D10)</f>
        <v/>
      </c>
      <c r="M10" s="56">
        <f>IF(APR!$J$44="","",APR!$J$44)</f>
        <v/>
      </c>
      <c r="N10" s="57">
        <f>IF(OR(K10="",L10=""),"",K10*L10)</f>
        <v/>
      </c>
      <c r="O10" s="58">
        <f>IF(OR(M10="",N(N10)=0),"",M10/N10)</f>
        <v/>
      </c>
      <c r="Q10" s="53" t="n">
        <v>7</v>
      </c>
      <c r="R10" s="54" t="n">
        <v>46478</v>
      </c>
      <c r="S10" s="53">
        <f>C10</f>
        <v/>
      </c>
      <c r="T10" s="59">
        <f>IF(D10="","",D10)</f>
        <v/>
      </c>
      <c r="U10" s="56">
        <f>IF(COUNT(E10,M10)=0,"",SUM(E10,M10))</f>
        <v/>
      </c>
      <c r="V10" s="57">
        <f>IF(OR(S10="",T10=""),"",S10*T10)</f>
        <v/>
      </c>
      <c r="W10" s="58">
        <f>IF(OR(U10="",N(V10)=0),"",U10/V10)</f>
        <v/>
      </c>
      <c r="Y10" s="53" t="n">
        <v>7</v>
      </c>
      <c r="Z10" s="54" t="n">
        <v>46478</v>
      </c>
      <c r="AA10" s="59">
        <f>IF($C10="","",SUMPRODUCT(($E$21:$E$100&gt;=$Z$4)*($E$21:$E$100&lt;=EOMONTH($Z10,0)),$G$21:$G$100))</f>
        <v/>
      </c>
      <c r="AB10" s="56">
        <f>IF(N(AA10)=0,"",SUMPRODUCT(($E$21:$E$100&gt;=$Z$4)*($E$21:$E$100&lt;=EOMONTH($Z10,0)),$F$21:$F$100,$G$21:$G$100)/AA10)</f>
        <v/>
      </c>
      <c r="AC10" s="59">
        <f>IF($C10="","",SUMPRODUCT(($L$21:$L$100&gt;=$Z$4)*($L$21:$L$100&lt;=EOMONTH($Z10,0)),$N$21:$N$100))</f>
        <v/>
      </c>
      <c r="AD10" s="56">
        <f>IF(N(AC10)=0,"",SUMPRODUCT(($L$21:$L$100&gt;=$Z$4)*($L$21:$L$100&lt;=EOMONTH($Z10,0)),$M$21:$M$100,$N$21:$N$100)/AC10)</f>
        <v/>
      </c>
      <c r="AE10" s="56">
        <f>IF(N(AA10)+N(AC10)=0,"",(N(AB10)*N(AA10)+N(AD10)*N(AC10))/(N(AA10)+N(AC10)))</f>
        <v/>
      </c>
    </row>
    <row r="11" ht="18.75" customHeight="1">
      <c r="A11" s="53" t="n">
        <v>8</v>
      </c>
      <c r="B11" s="54" t="n">
        <v>46508</v>
      </c>
      <c r="C11" s="53">
        <f>IF(MAY!$J$5="","",MAY!$J$5)</f>
        <v/>
      </c>
      <c r="D11" s="55" t="n"/>
      <c r="E11" s="56">
        <f>IF(MAY!$J$43="","",MAY!$J$43)</f>
        <v/>
      </c>
      <c r="F11" s="57">
        <f>IF(OR(C11="",D11=""),"",C11*D11)</f>
        <v/>
      </c>
      <c r="G11" s="58">
        <f>IF(OR(E11="",N(F11)=0),"",E11/F11)</f>
        <v/>
      </c>
      <c r="I11" s="53" t="n">
        <v>8</v>
      </c>
      <c r="J11" s="54" t="n">
        <v>46508</v>
      </c>
      <c r="K11" s="53">
        <f>C11</f>
        <v/>
      </c>
      <c r="L11" s="59">
        <f>IF(D11="","",D11)</f>
        <v/>
      </c>
      <c r="M11" s="56">
        <f>IF(MAY!$J$44="","",MAY!$J$44)</f>
        <v/>
      </c>
      <c r="N11" s="57">
        <f>IF(OR(K11="",L11=""),"",K11*L11)</f>
        <v/>
      </c>
      <c r="O11" s="58">
        <f>IF(OR(M11="",N(N11)=0),"",M11/N11)</f>
        <v/>
      </c>
      <c r="Q11" s="53" t="n">
        <v>8</v>
      </c>
      <c r="R11" s="54" t="n">
        <v>46508</v>
      </c>
      <c r="S11" s="53">
        <f>C11</f>
        <v/>
      </c>
      <c r="T11" s="59">
        <f>IF(D11="","",D11)</f>
        <v/>
      </c>
      <c r="U11" s="56">
        <f>IF(COUNT(E11,M11)=0,"",SUM(E11,M11))</f>
        <v/>
      </c>
      <c r="V11" s="57">
        <f>IF(OR(S11="",T11=""),"",S11*T11)</f>
        <v/>
      </c>
      <c r="W11" s="58">
        <f>IF(OR(U11="",N(V11)=0),"",U11/V11)</f>
        <v/>
      </c>
      <c r="Y11" s="53" t="n">
        <v>8</v>
      </c>
      <c r="Z11" s="54" t="n">
        <v>46508</v>
      </c>
      <c r="AA11" s="59">
        <f>IF($C11="","",SUMPRODUCT(($E$21:$E$100&gt;=$Z$4)*($E$21:$E$100&lt;=EOMONTH($Z11,0)),$G$21:$G$100))</f>
        <v/>
      </c>
      <c r="AB11" s="56">
        <f>IF(N(AA11)=0,"",SUMPRODUCT(($E$21:$E$100&gt;=$Z$4)*($E$21:$E$100&lt;=EOMONTH($Z11,0)),$F$21:$F$100,$G$21:$G$100)/AA11)</f>
        <v/>
      </c>
      <c r="AC11" s="59">
        <f>IF($C11="","",SUMPRODUCT(($L$21:$L$100&gt;=$Z$4)*($L$21:$L$100&lt;=EOMONTH($Z11,0)),$N$21:$N$100))</f>
        <v/>
      </c>
      <c r="AD11" s="56">
        <f>IF(N(AC11)=0,"",SUMPRODUCT(($L$21:$L$100&gt;=$Z$4)*($L$21:$L$100&lt;=EOMONTH($Z11,0)),$M$21:$M$100,$N$21:$N$100)/AC11)</f>
        <v/>
      </c>
      <c r="AE11" s="56">
        <f>IF(N(AA11)+N(AC11)=0,"",(N(AB11)*N(AA11)+N(AD11)*N(AC11))/(N(AA11)+N(AC11)))</f>
        <v/>
      </c>
    </row>
    <row r="12" ht="18.75" customHeight="1">
      <c r="A12" s="53" t="n">
        <v>9</v>
      </c>
      <c r="B12" s="54" t="n">
        <v>46539</v>
      </c>
      <c r="C12" s="53">
        <f>IF(JUN!$J$5="","",JUN!$J$5)</f>
        <v/>
      </c>
      <c r="D12" s="55" t="n"/>
      <c r="E12" s="56">
        <f>IF(JUN!$J$43="","",JUN!$J$43)</f>
        <v/>
      </c>
      <c r="F12" s="57">
        <f>IF(OR(C12="",D12=""),"",C12*D12)</f>
        <v/>
      </c>
      <c r="G12" s="58">
        <f>IF(OR(E12="",N(F12)=0),"",E12/F12)</f>
        <v/>
      </c>
      <c r="I12" s="53" t="n">
        <v>9</v>
      </c>
      <c r="J12" s="54" t="n">
        <v>46539</v>
      </c>
      <c r="K12" s="53">
        <f>C12</f>
        <v/>
      </c>
      <c r="L12" s="59">
        <f>IF(D12="","",D12)</f>
        <v/>
      </c>
      <c r="M12" s="56">
        <f>IF(JUN!$J$44="","",JUN!$J$44)</f>
        <v/>
      </c>
      <c r="N12" s="57">
        <f>IF(OR(K12="",L12=""),"",K12*L12)</f>
        <v/>
      </c>
      <c r="O12" s="58">
        <f>IF(OR(M12="",N(N12)=0),"",M12/N12)</f>
        <v/>
      </c>
      <c r="Q12" s="53" t="n">
        <v>9</v>
      </c>
      <c r="R12" s="54" t="n">
        <v>46539</v>
      </c>
      <c r="S12" s="53">
        <f>C12</f>
        <v/>
      </c>
      <c r="T12" s="59">
        <f>IF(D12="","",D12)</f>
        <v/>
      </c>
      <c r="U12" s="56">
        <f>IF(COUNT(E12,M12)=0,"",SUM(E12,M12))</f>
        <v/>
      </c>
      <c r="V12" s="57">
        <f>IF(OR(S12="",T12=""),"",S12*T12)</f>
        <v/>
      </c>
      <c r="W12" s="58">
        <f>IF(OR(U12="",N(V12)=0),"",U12/V12)</f>
        <v/>
      </c>
      <c r="Y12" s="53" t="n">
        <v>9</v>
      </c>
      <c r="Z12" s="54" t="n">
        <v>46539</v>
      </c>
      <c r="AA12" s="59">
        <f>IF($C12="","",SUMPRODUCT(($E$21:$E$100&gt;=$Z$4)*($E$21:$E$100&lt;=EOMONTH($Z12,0)),$G$21:$G$100))</f>
        <v/>
      </c>
      <c r="AB12" s="56">
        <f>IF(N(AA12)=0,"",SUMPRODUCT(($E$21:$E$100&gt;=$Z$4)*($E$21:$E$100&lt;=EOMONTH($Z12,0)),$F$21:$F$100,$G$21:$G$100)/AA12)</f>
        <v/>
      </c>
      <c r="AC12" s="59">
        <f>IF($C12="","",SUMPRODUCT(($L$21:$L$100&gt;=$Z$4)*($L$21:$L$100&lt;=EOMONTH($Z12,0)),$N$21:$N$100))</f>
        <v/>
      </c>
      <c r="AD12" s="56">
        <f>IF(N(AC12)=0,"",SUMPRODUCT(($L$21:$L$100&gt;=$Z$4)*($L$21:$L$100&lt;=EOMONTH($Z12,0)),$M$21:$M$100,$N$21:$N$100)/AC12)</f>
        <v/>
      </c>
      <c r="AE12" s="56">
        <f>IF(N(AA12)+N(AC12)=0,"",(N(AB12)*N(AA12)+N(AD12)*N(AC12))/(N(AA12)+N(AC12)))</f>
        <v/>
      </c>
    </row>
    <row r="13" ht="18.75" customHeight="1">
      <c r="A13" s="53" t="n">
        <v>10</v>
      </c>
      <c r="B13" s="54" t="n">
        <v>46569</v>
      </c>
      <c r="C13" s="53">
        <f>IF(JUL!$J$5="","",JUL!$J$5)</f>
        <v/>
      </c>
      <c r="D13" s="55" t="n"/>
      <c r="E13" s="56">
        <f>IF(JUL!$J$43="","",JUL!$J$43)</f>
        <v/>
      </c>
      <c r="F13" s="57">
        <f>IF(OR(C13="",D13=""),"",C13*D13)</f>
        <v/>
      </c>
      <c r="G13" s="58">
        <f>IF(OR(E13="",N(F13)=0),"",E13/F13)</f>
        <v/>
      </c>
      <c r="I13" s="53" t="n">
        <v>10</v>
      </c>
      <c r="J13" s="54" t="n">
        <v>46569</v>
      </c>
      <c r="K13" s="53">
        <f>C13</f>
        <v/>
      </c>
      <c r="L13" s="59">
        <f>IF(D13="","",D13)</f>
        <v/>
      </c>
      <c r="M13" s="56">
        <f>IF(JUL!$J$44="","",JUL!$J$44)</f>
        <v/>
      </c>
      <c r="N13" s="57">
        <f>IF(OR(K13="",L13=""),"",K13*L13)</f>
        <v/>
      </c>
      <c r="O13" s="58">
        <f>IF(OR(M13="",N(N13)=0),"",M13/N13)</f>
        <v/>
      </c>
      <c r="Q13" s="53" t="n">
        <v>10</v>
      </c>
      <c r="R13" s="54" t="n">
        <v>46569</v>
      </c>
      <c r="S13" s="53">
        <f>C13</f>
        <v/>
      </c>
      <c r="T13" s="59">
        <f>IF(D13="","",D13)</f>
        <v/>
      </c>
      <c r="U13" s="56">
        <f>IF(COUNT(E13,M13)=0,"",SUM(E13,M13))</f>
        <v/>
      </c>
      <c r="V13" s="57">
        <f>IF(OR(S13="",T13=""),"",S13*T13)</f>
        <v/>
      </c>
      <c r="W13" s="58">
        <f>IF(OR(U13="",N(V13)=0),"",U13/V13)</f>
        <v/>
      </c>
      <c r="Y13" s="53" t="n">
        <v>10</v>
      </c>
      <c r="Z13" s="54" t="n">
        <v>46569</v>
      </c>
      <c r="AA13" s="59">
        <f>IF($C13="","",SUMPRODUCT(($E$21:$E$100&gt;=$Z$4)*($E$21:$E$100&lt;=EOMONTH($Z13,0)),$G$21:$G$100))</f>
        <v/>
      </c>
      <c r="AB13" s="56">
        <f>IF(N(AA13)=0,"",SUMPRODUCT(($E$21:$E$100&gt;=$Z$4)*($E$21:$E$100&lt;=EOMONTH($Z13,0)),$F$21:$F$100,$G$21:$G$100)/AA13)</f>
        <v/>
      </c>
      <c r="AC13" s="59">
        <f>IF($C13="","",SUMPRODUCT(($L$21:$L$100&gt;=$Z$4)*($L$21:$L$100&lt;=EOMONTH($Z13,0)),$N$21:$N$100))</f>
        <v/>
      </c>
      <c r="AD13" s="56">
        <f>IF(N(AC13)=0,"",SUMPRODUCT(($L$21:$L$100&gt;=$Z$4)*($L$21:$L$100&lt;=EOMONTH($Z13,0)),$M$21:$M$100,$N$21:$N$100)/AC13)</f>
        <v/>
      </c>
      <c r="AE13" s="56">
        <f>IF(N(AA13)+N(AC13)=0,"",(N(AB13)*N(AA13)+N(AD13)*N(AC13))/(N(AA13)+N(AC13)))</f>
        <v/>
      </c>
    </row>
    <row r="14" ht="18.75" customHeight="1">
      <c r="A14" s="53" t="n">
        <v>11</v>
      </c>
      <c r="B14" s="54" t="n">
        <v>46600</v>
      </c>
      <c r="C14" s="53">
        <f>IF(AUG!$J$5="","",AUG!$J$5)</f>
        <v/>
      </c>
      <c r="D14" s="55" t="n"/>
      <c r="E14" s="56">
        <f>IF(AUG!$J$43="","",AUG!$J$43)</f>
        <v/>
      </c>
      <c r="F14" s="57">
        <f>IF(OR(C14="",D14=""),"",C14*D14)</f>
        <v/>
      </c>
      <c r="G14" s="58">
        <f>IF(OR(E14="",N(F14)=0),"",E14/F14)</f>
        <v/>
      </c>
      <c r="I14" s="53" t="n">
        <v>11</v>
      </c>
      <c r="J14" s="54" t="n">
        <v>46600</v>
      </c>
      <c r="K14" s="53">
        <f>C14</f>
        <v/>
      </c>
      <c r="L14" s="59">
        <f>IF(D14="","",D14)</f>
        <v/>
      </c>
      <c r="M14" s="56">
        <f>IF(AUG!$J$44="","",AUG!$J$44)</f>
        <v/>
      </c>
      <c r="N14" s="57">
        <f>IF(OR(K14="",L14=""),"",K14*L14)</f>
        <v/>
      </c>
      <c r="O14" s="58">
        <f>IF(OR(M14="",N(N14)=0),"",M14/N14)</f>
        <v/>
      </c>
      <c r="Q14" s="53" t="n">
        <v>11</v>
      </c>
      <c r="R14" s="54" t="n">
        <v>46600</v>
      </c>
      <c r="S14" s="53">
        <f>C14</f>
        <v/>
      </c>
      <c r="T14" s="59">
        <f>IF(D14="","",D14)</f>
        <v/>
      </c>
      <c r="U14" s="56">
        <f>IF(COUNT(E14,M14)=0,"",SUM(E14,M14))</f>
        <v/>
      </c>
      <c r="V14" s="57">
        <f>IF(OR(S14="",T14=""),"",S14*T14)</f>
        <v/>
      </c>
      <c r="W14" s="58">
        <f>IF(OR(U14="",N(V14)=0),"",U14/V14)</f>
        <v/>
      </c>
      <c r="Y14" s="53" t="n">
        <v>11</v>
      </c>
      <c r="Z14" s="54" t="n">
        <v>46600</v>
      </c>
      <c r="AA14" s="59">
        <f>IF($C14="","",SUMPRODUCT(($E$21:$E$100&gt;=$Z$4)*($E$21:$E$100&lt;=EOMONTH($Z14,0)),$G$21:$G$100))</f>
        <v/>
      </c>
      <c r="AB14" s="56">
        <f>IF(N(AA14)=0,"",SUMPRODUCT(($E$21:$E$100&gt;=$Z$4)*($E$21:$E$100&lt;=EOMONTH($Z14,0)),$F$21:$F$100,$G$21:$G$100)/AA14)</f>
        <v/>
      </c>
      <c r="AC14" s="59">
        <f>IF($C14="","",SUMPRODUCT(($L$21:$L$100&gt;=$Z$4)*($L$21:$L$100&lt;=EOMONTH($Z14,0)),$N$21:$N$100))</f>
        <v/>
      </c>
      <c r="AD14" s="56">
        <f>IF(N(AC14)=0,"",SUMPRODUCT(($L$21:$L$100&gt;=$Z$4)*($L$21:$L$100&lt;=EOMONTH($Z14,0)),$M$21:$M$100,$N$21:$N$100)/AC14)</f>
        <v/>
      </c>
      <c r="AE14" s="56">
        <f>IF(N(AA14)+N(AC14)=0,"",(N(AB14)*N(AA14)+N(AD14)*N(AC14))/(N(AA14)+N(AC14)))</f>
        <v/>
      </c>
    </row>
    <row r="15" ht="18.75" customHeight="1">
      <c r="A15" s="53" t="n">
        <v>12</v>
      </c>
      <c r="B15" s="54" t="n">
        <v>46631</v>
      </c>
      <c r="C15" s="53">
        <f>IF(SEP!$J$5="","",SEP!$J$5)</f>
        <v/>
      </c>
      <c r="D15" s="55" t="n"/>
      <c r="E15" s="56">
        <f>IF(SEP!$J$43="","",SEP!$J$43)</f>
        <v/>
      </c>
      <c r="F15" s="57">
        <f>IF(OR(C15="",D15=""),"",C15*D15)</f>
        <v/>
      </c>
      <c r="G15" s="58">
        <f>IF(OR(E15="",N(F15)=0),"",E15/F15)</f>
        <v/>
      </c>
      <c r="I15" s="53" t="n">
        <v>12</v>
      </c>
      <c r="J15" s="54" t="n">
        <v>46631</v>
      </c>
      <c r="K15" s="53">
        <f>C15</f>
        <v/>
      </c>
      <c r="L15" s="59">
        <f>IF(D15="","",D15)</f>
        <v/>
      </c>
      <c r="M15" s="56">
        <f>IF(SEP!$J$44="","",SEP!$J$44)</f>
        <v/>
      </c>
      <c r="N15" s="57">
        <f>IF(OR(K15="",L15=""),"",K15*L15)</f>
        <v/>
      </c>
      <c r="O15" s="58">
        <f>IF(OR(M15="",N(N15)=0),"",M15/N15)</f>
        <v/>
      </c>
      <c r="Q15" s="53" t="n">
        <v>12</v>
      </c>
      <c r="R15" s="54" t="n">
        <v>46631</v>
      </c>
      <c r="S15" s="53">
        <f>C15</f>
        <v/>
      </c>
      <c r="T15" s="59">
        <f>IF(D15="","",D15)</f>
        <v/>
      </c>
      <c r="U15" s="56">
        <f>IF(COUNT(E15,M15)=0,"",SUM(E15,M15))</f>
        <v/>
      </c>
      <c r="V15" s="57">
        <f>IF(OR(S15="",T15=""),"",S15*T15)</f>
        <v/>
      </c>
      <c r="W15" s="58">
        <f>IF(OR(U15="",N(V15)=0),"",U15/V15)</f>
        <v/>
      </c>
      <c r="Y15" s="53" t="n">
        <v>12</v>
      </c>
      <c r="Z15" s="54" t="n">
        <v>46631</v>
      </c>
      <c r="AA15" s="59">
        <f>IF($C15="","",SUMPRODUCT(($E$21:$E$100&gt;=$Z$4)*($E$21:$E$100&lt;=EOMONTH($Z15,0)),$G$21:$G$100))</f>
        <v/>
      </c>
      <c r="AB15" s="56">
        <f>IF(N(AA15)=0,"",SUMPRODUCT(($E$21:$E$100&gt;=$Z$4)*($E$21:$E$100&lt;=EOMONTH($Z15,0)),$F$21:$F$100,$G$21:$G$100)/AA15)</f>
        <v/>
      </c>
      <c r="AC15" s="59">
        <f>IF($C15="","",SUMPRODUCT(($L$21:$L$100&gt;=$Z$4)*($L$21:$L$100&lt;=EOMONTH($Z15,0)),$N$21:$N$100))</f>
        <v/>
      </c>
      <c r="AD15" s="56">
        <f>IF(N(AC15)=0,"",SUMPRODUCT(($L$21:$L$100&gt;=$Z$4)*($L$21:$L$100&lt;=EOMONTH($Z15,0)),$M$21:$M$100,$N$21:$N$100)/AC15)</f>
        <v/>
      </c>
      <c r="AE15" s="56">
        <f>IF(N(AA15)+N(AC15)=0,"",(N(AB15)*N(AA15)+N(AD15)*N(AC15))/(N(AA15)+N(AC15)))</f>
        <v/>
      </c>
    </row>
    <row r="16" ht="18.75" customHeight="1">
      <c r="A16" s="60" t="n"/>
      <c r="B16" s="60" t="n"/>
      <c r="C16" s="60" t="n"/>
      <c r="D16" s="61" t="inlineStr">
        <is>
          <t>Total YTD</t>
        </is>
      </c>
      <c r="E16" s="62">
        <f>IF(COUNT(E4:E15)=0,"",SUM(E4:E15))</f>
        <v/>
      </c>
      <c r="F16" s="63">
        <f>SUMPRODUCT(--ISNUMBER(E4:E15),F4:F15)</f>
        <v/>
      </c>
      <c r="G16" s="64">
        <f>IF(COUNT(E4:E15)=0,"",IFERROR(E16/F16,""))</f>
        <v/>
      </c>
      <c r="I16" s="60" t="n"/>
      <c r="J16" s="60" t="n"/>
      <c r="K16" s="60" t="n"/>
      <c r="L16" s="61" t="inlineStr">
        <is>
          <t>Total YTD</t>
        </is>
      </c>
      <c r="M16" s="62">
        <f>IF(COUNT(M4:M15)=0,"",SUM(M4:M15))</f>
        <v/>
      </c>
      <c r="N16" s="63">
        <f>SUMPRODUCT(--ISNUMBER(M4:M15),N4:N15)</f>
        <v/>
      </c>
      <c r="O16" s="64">
        <f>IF(COUNT(M4:M15)=0,"",IFERROR(M16/N16,""))</f>
        <v/>
      </c>
      <c r="Q16" s="60" t="n"/>
      <c r="R16" s="60" t="n"/>
      <c r="S16" s="60" t="n"/>
      <c r="T16" s="61" t="inlineStr">
        <is>
          <t>Total YTD</t>
        </is>
      </c>
      <c r="U16" s="62">
        <f>IF(COUNT(U4:U15)=0,"",SUM(U4:U15))</f>
        <v/>
      </c>
      <c r="V16" s="63">
        <f>SUMPRODUCT(--ISNUMBER(U4:U15),V4:V15)</f>
        <v/>
      </c>
      <c r="W16" s="64">
        <f>IF(COUNT(U4:U15)=0,"",IFERROR(U16/V16,""))</f>
        <v/>
      </c>
      <c r="Y16" s="60" t="n"/>
      <c r="Z16" s="61" t="inlineStr">
        <is>
          <t>FY2027 YTD</t>
        </is>
      </c>
      <c r="AA16" s="65">
        <f>SUMPRODUCT(($E$21:$E$100&gt;=$Z$4)*($E$21:$E$100&lt;=EOMONTH($Z$15,0)),$G$21:$G$100)</f>
        <v/>
      </c>
      <c r="AB16" s="62">
        <f>IF(N(AA16)=0,"",SUMPRODUCT(($E$21:$E$100&gt;=$Z$4)*($E$21:$E$100&lt;=EOMONTH($Z$15,0)),$F$21:$F$100,$G$21:$G$100)/AA16)</f>
        <v/>
      </c>
      <c r="AC16" s="65">
        <f>SUMPRODUCT(($L$21:$L$100&gt;=$Z$4)*($L$21:$L$100&lt;=EOMONTH($Z$15,0)),$N$21:$N$100)</f>
        <v/>
      </c>
      <c r="AD16" s="62">
        <f>IF(N(AC16)=0,"",SUMPRODUCT(($L$21:$L$100&gt;=$Z$4)*($L$21:$L$100&lt;=EOMONTH($Z$15,0)),$M$21:$M$100,$N$21:$N$100)/AC16)</f>
        <v/>
      </c>
      <c r="AE16" s="62">
        <f>IF(N(AA16)+N(AC16)=0,"",(N(AB16)*N(AA16)+N(AD16)*N(AC16))/(N(AA16)+N(AC16)))</f>
        <v/>
      </c>
    </row>
    <row r="17">
      <c r="Y17" s="66" t="inlineStr">
        <is>
          <t>Only contracts signed within FY2027 (Oct-2026 to the month shown) are counted; weighted by posts filled.</t>
        </is>
      </c>
    </row>
    <row r="18" ht="24.75" customHeight="1">
      <c r="A18" s="40">
        <f>A1</f>
        <v/>
      </c>
      <c r="B18" s="41" t="n"/>
      <c r="C18" s="42" t="n"/>
      <c r="D18" s="40" t="inlineStr">
        <is>
          <t>TIME TO HIRE YTD (Days)</t>
        </is>
      </c>
      <c r="E18" s="44" t="n"/>
      <c r="F18" s="46">
        <f>AB16</f>
        <v/>
      </c>
      <c r="G18" s="44" t="n"/>
      <c r="H18" s="40">
        <f>A1</f>
        <v/>
      </c>
      <c r="I18" s="41" t="n"/>
      <c r="J18" s="42" t="n"/>
      <c r="K18" s="40" t="inlineStr">
        <is>
          <t>TIME TO HIRE YTD (Days)</t>
        </is>
      </c>
      <c r="L18" s="44" t="n"/>
      <c r="M18" s="46">
        <f>AD16</f>
        <v/>
      </c>
      <c r="N18" s="44" t="n"/>
    </row>
    <row r="19" ht="21.75" customHeight="1">
      <c r="A19" s="47" t="inlineStr">
        <is>
          <t>PERMANENT EE</t>
        </is>
      </c>
      <c r="B19" s="41" t="n"/>
      <c r="C19" s="42" t="n"/>
      <c r="D19" s="48" t="n"/>
      <c r="E19" s="50" t="n"/>
      <c r="F19" s="48" t="n"/>
      <c r="G19" s="50" t="n"/>
      <c r="H19" s="47" t="inlineStr">
        <is>
          <t>TEMPORARY EE</t>
        </is>
      </c>
      <c r="I19" s="41" t="n"/>
      <c r="J19" s="42" t="n"/>
      <c r="K19" s="48" t="n"/>
      <c r="L19" s="50" t="n"/>
      <c r="M19" s="48" t="n"/>
      <c r="N19" s="50" t="n"/>
    </row>
    <row r="20" ht="60" customHeight="1">
      <c r="A20" s="52" t="inlineStr">
        <is>
          <t>No.</t>
        </is>
      </c>
      <c r="B20" s="52" t="inlineStr">
        <is>
          <t>Job Title</t>
        </is>
      </c>
      <c r="C20" s="52" t="inlineStr">
        <is>
          <t>No. of Posts</t>
        </is>
      </c>
      <c r="D20" s="52" t="inlineStr">
        <is>
          <t>Job Opening Date (mm/dd/yyyy)</t>
        </is>
      </c>
      <c r="E20" s="52" t="inlineStr">
        <is>
          <t>Contract Signed Date (mm/dd/yyyy)</t>
        </is>
      </c>
      <c r="F20" s="52" t="inlineStr">
        <is>
          <t>Time to Hire by Position (Days)</t>
        </is>
      </c>
      <c r="G20" s="52" t="inlineStr">
        <is>
          <t>Posts Filled (auto)</t>
        </is>
      </c>
      <c r="H20" s="52" t="inlineStr">
        <is>
          <t>No.</t>
        </is>
      </c>
      <c r="I20" s="52" t="inlineStr">
        <is>
          <t>Job Title</t>
        </is>
      </c>
      <c r="J20" s="52" t="inlineStr">
        <is>
          <t>No. of Posts</t>
        </is>
      </c>
      <c r="K20" s="52" t="inlineStr">
        <is>
          <t>Job Opening Date (mm/dd/yyyy)</t>
        </is>
      </c>
      <c r="L20" s="52" t="inlineStr">
        <is>
          <t>Contract Signed Date (mm/dd/yyyy)</t>
        </is>
      </c>
      <c r="M20" s="52" t="inlineStr">
        <is>
          <t>Time to Hire by Position (Days)</t>
        </is>
      </c>
      <c r="N20" s="52" t="inlineStr">
        <is>
          <t>Posts Filled (auto)</t>
        </is>
      </c>
    </row>
    <row r="21">
      <c r="A21" s="53" t="n">
        <v>1</v>
      </c>
      <c r="B21" s="67" t="n"/>
      <c r="C21" s="55" t="n"/>
      <c r="D21" s="68" t="n"/>
      <c r="E21" s="68" t="n"/>
      <c r="F21" s="59">
        <f>IF(OR(E21="",D21=""),"",MAX(E21-D21,0))</f>
        <v/>
      </c>
      <c r="G21" s="59">
        <f>IF(F21="","",IF(N(C21)=0,1,C21))</f>
        <v/>
      </c>
      <c r="H21" s="53" t="n">
        <v>1</v>
      </c>
      <c r="I21" s="67" t="n"/>
      <c r="J21" s="55" t="n"/>
      <c r="K21" s="68" t="n"/>
      <c r="L21" s="68" t="n"/>
      <c r="M21" s="59">
        <f>IF(OR(L21="",K21=""),"",MAX(L21-K21,0))</f>
        <v/>
      </c>
      <c r="N21" s="59">
        <f>IF(M21="","",IF(N(J21)=0,1,J21))</f>
        <v/>
      </c>
    </row>
    <row r="22">
      <c r="A22" s="53" t="n">
        <v>2</v>
      </c>
      <c r="B22" s="67" t="n"/>
      <c r="C22" s="55" t="n"/>
      <c r="D22" s="68" t="n"/>
      <c r="E22" s="68" t="n"/>
      <c r="F22" s="59">
        <f>IF(OR(E22="",D22=""),"",MAX(E22-D22,0))</f>
        <v/>
      </c>
      <c r="G22" s="59">
        <f>IF(F22="","",IF(N(C22)=0,1,C22))</f>
        <v/>
      </c>
      <c r="H22" s="53" t="n">
        <v>2</v>
      </c>
      <c r="I22" s="67" t="n"/>
      <c r="J22" s="55" t="n"/>
      <c r="K22" s="68" t="n"/>
      <c r="L22" s="68" t="n"/>
      <c r="M22" s="59">
        <f>IF(OR(L22="",K22=""),"",MAX(L22-K22,0))</f>
        <v/>
      </c>
      <c r="N22" s="59">
        <f>IF(M22="","",IF(N(J22)=0,1,J22))</f>
        <v/>
      </c>
    </row>
    <row r="23">
      <c r="A23" s="53" t="n">
        <v>3</v>
      </c>
      <c r="B23" s="67" t="n"/>
      <c r="C23" s="55" t="n"/>
      <c r="D23" s="68" t="n"/>
      <c r="E23" s="68" t="n"/>
      <c r="F23" s="59">
        <f>IF(OR(E23="",D23=""),"",MAX(E23-D23,0))</f>
        <v/>
      </c>
      <c r="G23" s="59">
        <f>IF(F23="","",IF(N(C23)=0,1,C23))</f>
        <v/>
      </c>
      <c r="H23" s="53" t="n">
        <v>3</v>
      </c>
      <c r="I23" s="67" t="n"/>
      <c r="J23" s="55" t="n"/>
      <c r="K23" s="68" t="n"/>
      <c r="L23" s="68" t="n"/>
      <c r="M23" s="59">
        <f>IF(OR(L23="",K23=""),"",MAX(L23-K23,0))</f>
        <v/>
      </c>
      <c r="N23" s="59">
        <f>IF(M23="","",IF(N(J23)=0,1,J23))</f>
        <v/>
      </c>
    </row>
    <row r="24">
      <c r="A24" s="53" t="n">
        <v>4</v>
      </c>
      <c r="B24" s="67" t="n"/>
      <c r="C24" s="55" t="n"/>
      <c r="D24" s="68" t="n"/>
      <c r="E24" s="68" t="n"/>
      <c r="F24" s="59">
        <f>IF(OR(E24="",D24=""),"",MAX(E24-D24,0))</f>
        <v/>
      </c>
      <c r="G24" s="59">
        <f>IF(F24="","",IF(N(C24)=0,1,C24))</f>
        <v/>
      </c>
      <c r="H24" s="53" t="n">
        <v>4</v>
      </c>
      <c r="I24" s="67" t="n"/>
      <c r="J24" s="55" t="n"/>
      <c r="K24" s="68" t="n"/>
      <c r="L24" s="68" t="n"/>
      <c r="M24" s="59">
        <f>IF(OR(L24="",K24=""),"",MAX(L24-K24,0))</f>
        <v/>
      </c>
      <c r="N24" s="59">
        <f>IF(M24="","",IF(N(J24)=0,1,J24))</f>
        <v/>
      </c>
    </row>
    <row r="25">
      <c r="A25" s="53" t="n">
        <v>5</v>
      </c>
      <c r="B25" s="67" t="n"/>
      <c r="C25" s="55" t="n"/>
      <c r="D25" s="68" t="n"/>
      <c r="E25" s="68" t="n"/>
      <c r="F25" s="59">
        <f>IF(OR(E25="",D25=""),"",MAX(E25-D25,0))</f>
        <v/>
      </c>
      <c r="G25" s="59">
        <f>IF(F25="","",IF(N(C25)=0,1,C25))</f>
        <v/>
      </c>
      <c r="H25" s="53" t="n">
        <v>5</v>
      </c>
      <c r="I25" s="67" t="n"/>
      <c r="J25" s="55" t="n"/>
      <c r="K25" s="68" t="n"/>
      <c r="L25" s="68" t="n"/>
      <c r="M25" s="59">
        <f>IF(OR(L25="",K25=""),"",MAX(L25-K25,0))</f>
        <v/>
      </c>
      <c r="N25" s="59">
        <f>IF(M25="","",IF(N(J25)=0,1,J25))</f>
        <v/>
      </c>
    </row>
    <row r="26">
      <c r="A26" s="53" t="n">
        <v>6</v>
      </c>
      <c r="B26" s="67" t="n"/>
      <c r="C26" s="55" t="n"/>
      <c r="D26" s="68" t="n"/>
      <c r="E26" s="68" t="n"/>
      <c r="F26" s="59">
        <f>IF(OR(E26="",D26=""),"",MAX(E26-D26,0))</f>
        <v/>
      </c>
      <c r="G26" s="59">
        <f>IF(F26="","",IF(N(C26)=0,1,C26))</f>
        <v/>
      </c>
      <c r="H26" s="53" t="n">
        <v>6</v>
      </c>
      <c r="I26" s="67" t="n"/>
      <c r="J26" s="55" t="n"/>
      <c r="K26" s="68" t="n"/>
      <c r="L26" s="68" t="n"/>
      <c r="M26" s="59">
        <f>IF(OR(L26="",K26=""),"",MAX(L26-K26,0))</f>
        <v/>
      </c>
      <c r="N26" s="59">
        <f>IF(M26="","",IF(N(J26)=0,1,J26))</f>
        <v/>
      </c>
    </row>
    <row r="27">
      <c r="A27" s="53" t="n">
        <v>7</v>
      </c>
      <c r="B27" s="67" t="n"/>
      <c r="C27" s="55" t="n"/>
      <c r="D27" s="68" t="n"/>
      <c r="E27" s="68" t="n"/>
      <c r="F27" s="59">
        <f>IF(OR(E27="",D27=""),"",MAX(E27-D27,0))</f>
        <v/>
      </c>
      <c r="G27" s="59">
        <f>IF(F27="","",IF(N(C27)=0,1,C27))</f>
        <v/>
      </c>
      <c r="H27" s="53" t="n">
        <v>7</v>
      </c>
      <c r="I27" s="67" t="n"/>
      <c r="J27" s="55" t="n"/>
      <c r="K27" s="68" t="n"/>
      <c r="L27" s="68" t="n"/>
      <c r="M27" s="59">
        <f>IF(OR(L27="",K27=""),"",MAX(L27-K27,0))</f>
        <v/>
      </c>
      <c r="N27" s="59">
        <f>IF(M27="","",IF(N(J27)=0,1,J27))</f>
        <v/>
      </c>
    </row>
    <row r="28">
      <c r="A28" s="53" t="n">
        <v>8</v>
      </c>
      <c r="B28" s="67" t="n"/>
      <c r="C28" s="55" t="n"/>
      <c r="D28" s="68" t="n"/>
      <c r="E28" s="68" t="n"/>
      <c r="F28" s="59">
        <f>IF(OR(E28="",D28=""),"",MAX(E28-D28,0))</f>
        <v/>
      </c>
      <c r="G28" s="59">
        <f>IF(F28="","",IF(N(C28)=0,1,C28))</f>
        <v/>
      </c>
      <c r="H28" s="53" t="n">
        <v>8</v>
      </c>
      <c r="I28" s="67" t="n"/>
      <c r="J28" s="55" t="n"/>
      <c r="K28" s="68" t="n"/>
      <c r="L28" s="68" t="n"/>
      <c r="M28" s="59">
        <f>IF(OR(L28="",K28=""),"",MAX(L28-K28,0))</f>
        <v/>
      </c>
      <c r="N28" s="59">
        <f>IF(M28="","",IF(N(J28)=0,1,J28))</f>
        <v/>
      </c>
    </row>
    <row r="29">
      <c r="A29" s="53" t="n">
        <v>9</v>
      </c>
      <c r="B29" s="67" t="n"/>
      <c r="C29" s="55" t="n"/>
      <c r="D29" s="68" t="n"/>
      <c r="E29" s="68" t="n"/>
      <c r="F29" s="59">
        <f>IF(OR(E29="",D29=""),"",MAX(E29-D29,0))</f>
        <v/>
      </c>
      <c r="G29" s="59">
        <f>IF(F29="","",IF(N(C29)=0,1,C29))</f>
        <v/>
      </c>
      <c r="H29" s="53" t="n">
        <v>9</v>
      </c>
      <c r="I29" s="67" t="n"/>
      <c r="J29" s="55" t="n"/>
      <c r="K29" s="68" t="n"/>
      <c r="L29" s="68" t="n"/>
      <c r="M29" s="59">
        <f>IF(OR(L29="",K29=""),"",MAX(L29-K29,0))</f>
        <v/>
      </c>
      <c r="N29" s="59">
        <f>IF(M29="","",IF(N(J29)=0,1,J29))</f>
        <v/>
      </c>
    </row>
    <row r="30">
      <c r="A30" s="53" t="n">
        <v>10</v>
      </c>
      <c r="B30" s="67" t="n"/>
      <c r="C30" s="55" t="n"/>
      <c r="D30" s="68" t="n"/>
      <c r="E30" s="68" t="n"/>
      <c r="F30" s="59">
        <f>IF(OR(E30="",D30=""),"",MAX(E30-D30,0))</f>
        <v/>
      </c>
      <c r="G30" s="59">
        <f>IF(F30="","",IF(N(C30)=0,1,C30))</f>
        <v/>
      </c>
      <c r="H30" s="53" t="n">
        <v>10</v>
      </c>
      <c r="I30" s="67" t="n"/>
      <c r="J30" s="55" t="n"/>
      <c r="K30" s="68" t="n"/>
      <c r="L30" s="68" t="n"/>
      <c r="M30" s="59">
        <f>IF(OR(L30="",K30=""),"",MAX(L30-K30,0))</f>
        <v/>
      </c>
      <c r="N30" s="59">
        <f>IF(M30="","",IF(N(J30)=0,1,J30))</f>
        <v/>
      </c>
    </row>
    <row r="31">
      <c r="A31" s="53" t="n">
        <v>11</v>
      </c>
      <c r="B31" s="67" t="n"/>
      <c r="C31" s="55" t="n"/>
      <c r="D31" s="68" t="n"/>
      <c r="E31" s="68" t="n"/>
      <c r="F31" s="59">
        <f>IF(OR(E31="",D31=""),"",MAX(E31-D31,0))</f>
        <v/>
      </c>
      <c r="G31" s="59">
        <f>IF(F31="","",IF(N(C31)=0,1,C31))</f>
        <v/>
      </c>
      <c r="H31" s="53" t="n">
        <v>11</v>
      </c>
      <c r="I31" s="67" t="n"/>
      <c r="J31" s="55" t="n"/>
      <c r="K31" s="68" t="n"/>
      <c r="L31" s="68" t="n"/>
      <c r="M31" s="59">
        <f>IF(OR(L31="",K31=""),"",MAX(L31-K31,0))</f>
        <v/>
      </c>
      <c r="N31" s="59">
        <f>IF(M31="","",IF(N(J31)=0,1,J31))</f>
        <v/>
      </c>
    </row>
    <row r="32">
      <c r="A32" s="53" t="n">
        <v>12</v>
      </c>
      <c r="B32" s="67" t="n"/>
      <c r="C32" s="55" t="n"/>
      <c r="D32" s="68" t="n"/>
      <c r="E32" s="68" t="n"/>
      <c r="F32" s="59">
        <f>IF(OR(E32="",D32=""),"",MAX(E32-D32,0))</f>
        <v/>
      </c>
      <c r="G32" s="59">
        <f>IF(F32="","",IF(N(C32)=0,1,C32))</f>
        <v/>
      </c>
      <c r="H32" s="53" t="n">
        <v>12</v>
      </c>
      <c r="I32" s="67" t="n"/>
      <c r="J32" s="55" t="n"/>
      <c r="K32" s="68" t="n"/>
      <c r="L32" s="68" t="n"/>
      <c r="M32" s="59">
        <f>IF(OR(L32="",K32=""),"",MAX(L32-K32,0))</f>
        <v/>
      </c>
      <c r="N32" s="59">
        <f>IF(M32="","",IF(N(J32)=0,1,J32))</f>
        <v/>
      </c>
    </row>
    <row r="33">
      <c r="A33" s="53" t="n">
        <v>13</v>
      </c>
      <c r="B33" s="67" t="n"/>
      <c r="C33" s="55" t="n"/>
      <c r="D33" s="68" t="n"/>
      <c r="E33" s="68" t="n"/>
      <c r="F33" s="59">
        <f>IF(OR(E33="",D33=""),"",MAX(E33-D33,0))</f>
        <v/>
      </c>
      <c r="G33" s="59">
        <f>IF(F33="","",IF(N(C33)=0,1,C33))</f>
        <v/>
      </c>
      <c r="H33" s="53" t="n">
        <v>13</v>
      </c>
      <c r="I33" s="67" t="n"/>
      <c r="J33" s="55" t="n"/>
      <c r="K33" s="68" t="n"/>
      <c r="L33" s="68" t="n"/>
      <c r="M33" s="59">
        <f>IF(OR(L33="",K33=""),"",MAX(L33-K33,0))</f>
        <v/>
      </c>
      <c r="N33" s="59">
        <f>IF(M33="","",IF(N(J33)=0,1,J33))</f>
        <v/>
      </c>
    </row>
    <row r="34">
      <c r="A34" s="53" t="n">
        <v>14</v>
      </c>
      <c r="B34" s="67" t="n"/>
      <c r="C34" s="55" t="n"/>
      <c r="D34" s="68" t="n"/>
      <c r="E34" s="68" t="n"/>
      <c r="F34" s="59">
        <f>IF(OR(E34="",D34=""),"",MAX(E34-D34,0))</f>
        <v/>
      </c>
      <c r="G34" s="59">
        <f>IF(F34="","",IF(N(C34)=0,1,C34))</f>
        <v/>
      </c>
      <c r="H34" s="53" t="n">
        <v>14</v>
      </c>
      <c r="I34" s="67" t="n"/>
      <c r="J34" s="55" t="n"/>
      <c r="K34" s="68" t="n"/>
      <c r="L34" s="68" t="n"/>
      <c r="M34" s="59">
        <f>IF(OR(L34="",K34=""),"",MAX(L34-K34,0))</f>
        <v/>
      </c>
      <c r="N34" s="59">
        <f>IF(M34="","",IF(N(J34)=0,1,J34))</f>
        <v/>
      </c>
    </row>
    <row r="35">
      <c r="A35" s="53" t="n">
        <v>15</v>
      </c>
      <c r="B35" s="67" t="n"/>
      <c r="C35" s="55" t="n"/>
      <c r="D35" s="68" t="n"/>
      <c r="E35" s="68" t="n"/>
      <c r="F35" s="59">
        <f>IF(OR(E35="",D35=""),"",MAX(E35-D35,0))</f>
        <v/>
      </c>
      <c r="G35" s="59">
        <f>IF(F35="","",IF(N(C35)=0,1,C35))</f>
        <v/>
      </c>
      <c r="H35" s="53" t="n">
        <v>15</v>
      </c>
      <c r="I35" s="67" t="n"/>
      <c r="J35" s="55" t="n"/>
      <c r="K35" s="68" t="n"/>
      <c r="L35" s="68" t="n"/>
      <c r="M35" s="59">
        <f>IF(OR(L35="",K35=""),"",MAX(L35-K35,0))</f>
        <v/>
      </c>
      <c r="N35" s="59">
        <f>IF(M35="","",IF(N(J35)=0,1,J35))</f>
        <v/>
      </c>
    </row>
    <row r="36">
      <c r="A36" s="53" t="n">
        <v>16</v>
      </c>
      <c r="B36" s="67" t="n"/>
      <c r="C36" s="55" t="n"/>
      <c r="D36" s="68" t="n"/>
      <c r="E36" s="68" t="n"/>
      <c r="F36" s="59">
        <f>IF(OR(E36="",D36=""),"",MAX(E36-D36,0))</f>
        <v/>
      </c>
      <c r="G36" s="59">
        <f>IF(F36="","",IF(N(C36)=0,1,C36))</f>
        <v/>
      </c>
      <c r="H36" s="53" t="n">
        <v>16</v>
      </c>
      <c r="I36" s="67" t="n"/>
      <c r="J36" s="55" t="n"/>
      <c r="K36" s="68" t="n"/>
      <c r="L36" s="68" t="n"/>
      <c r="M36" s="59">
        <f>IF(OR(L36="",K36=""),"",MAX(L36-K36,0))</f>
        <v/>
      </c>
      <c r="N36" s="59">
        <f>IF(M36="","",IF(N(J36)=0,1,J36))</f>
        <v/>
      </c>
    </row>
    <row r="37">
      <c r="A37" s="53" t="n">
        <v>17</v>
      </c>
      <c r="B37" s="67" t="n"/>
      <c r="C37" s="55" t="n"/>
      <c r="D37" s="68" t="n"/>
      <c r="E37" s="68" t="n"/>
      <c r="F37" s="59">
        <f>IF(OR(E37="",D37=""),"",MAX(E37-D37,0))</f>
        <v/>
      </c>
      <c r="G37" s="59">
        <f>IF(F37="","",IF(N(C37)=0,1,C37))</f>
        <v/>
      </c>
      <c r="H37" s="53" t="n">
        <v>17</v>
      </c>
      <c r="I37" s="67" t="n"/>
      <c r="J37" s="55" t="n"/>
      <c r="K37" s="68" t="n"/>
      <c r="L37" s="68" t="n"/>
      <c r="M37" s="59">
        <f>IF(OR(L37="",K37=""),"",MAX(L37-K37,0))</f>
        <v/>
      </c>
      <c r="N37" s="59">
        <f>IF(M37="","",IF(N(J37)=0,1,J37))</f>
        <v/>
      </c>
    </row>
    <row r="38">
      <c r="A38" s="53" t="n">
        <v>18</v>
      </c>
      <c r="B38" s="67" t="n"/>
      <c r="C38" s="55" t="n"/>
      <c r="D38" s="68" t="n"/>
      <c r="E38" s="68" t="n"/>
      <c r="F38" s="59">
        <f>IF(OR(E38="",D38=""),"",MAX(E38-D38,0))</f>
        <v/>
      </c>
      <c r="G38" s="59">
        <f>IF(F38="","",IF(N(C38)=0,1,C38))</f>
        <v/>
      </c>
      <c r="H38" s="53" t="n">
        <v>18</v>
      </c>
      <c r="I38" s="67" t="n"/>
      <c r="J38" s="55" t="n"/>
      <c r="K38" s="68" t="n"/>
      <c r="L38" s="68" t="n"/>
      <c r="M38" s="59">
        <f>IF(OR(L38="",K38=""),"",MAX(L38-K38,0))</f>
        <v/>
      </c>
      <c r="N38" s="59">
        <f>IF(M38="","",IF(N(J38)=0,1,J38))</f>
        <v/>
      </c>
    </row>
    <row r="39">
      <c r="A39" s="53" t="n">
        <v>19</v>
      </c>
      <c r="B39" s="67" t="n"/>
      <c r="C39" s="55" t="n"/>
      <c r="D39" s="68" t="n"/>
      <c r="E39" s="68" t="n"/>
      <c r="F39" s="59">
        <f>IF(OR(E39="",D39=""),"",MAX(E39-D39,0))</f>
        <v/>
      </c>
      <c r="G39" s="59">
        <f>IF(F39="","",IF(N(C39)=0,1,C39))</f>
        <v/>
      </c>
      <c r="H39" s="53" t="n">
        <v>19</v>
      </c>
      <c r="I39" s="67" t="n"/>
      <c r="J39" s="55" t="n"/>
      <c r="K39" s="68" t="n"/>
      <c r="L39" s="68" t="n"/>
      <c r="M39" s="59">
        <f>IF(OR(L39="",K39=""),"",MAX(L39-K39,0))</f>
        <v/>
      </c>
      <c r="N39" s="59">
        <f>IF(M39="","",IF(N(J39)=0,1,J39))</f>
        <v/>
      </c>
    </row>
    <row r="40">
      <c r="A40" s="53" t="n">
        <v>20</v>
      </c>
      <c r="B40" s="67" t="n"/>
      <c r="C40" s="55" t="n"/>
      <c r="D40" s="68" t="n"/>
      <c r="E40" s="68" t="n"/>
      <c r="F40" s="59">
        <f>IF(OR(E40="",D40=""),"",MAX(E40-D40,0))</f>
        <v/>
      </c>
      <c r="G40" s="59">
        <f>IF(F40="","",IF(N(C40)=0,1,C40))</f>
        <v/>
      </c>
      <c r="H40" s="53" t="n">
        <v>20</v>
      </c>
      <c r="I40" s="67" t="n"/>
      <c r="J40" s="55" t="n"/>
      <c r="K40" s="68" t="n"/>
      <c r="L40" s="68" t="n"/>
      <c r="M40" s="59">
        <f>IF(OR(L40="",K40=""),"",MAX(L40-K40,0))</f>
        <v/>
      </c>
      <c r="N40" s="59">
        <f>IF(M40="","",IF(N(J40)=0,1,J40))</f>
        <v/>
      </c>
    </row>
    <row r="41">
      <c r="A41" s="53" t="n">
        <v>21</v>
      </c>
      <c r="B41" s="67" t="n"/>
      <c r="C41" s="55" t="n"/>
      <c r="D41" s="68" t="n"/>
      <c r="E41" s="68" t="n"/>
      <c r="F41" s="59">
        <f>IF(OR(E41="",D41=""),"",MAX(E41-D41,0))</f>
        <v/>
      </c>
      <c r="G41" s="59">
        <f>IF(F41="","",IF(N(C41)=0,1,C41))</f>
        <v/>
      </c>
      <c r="H41" s="53" t="n">
        <v>21</v>
      </c>
      <c r="I41" s="67" t="n"/>
      <c r="J41" s="55" t="n"/>
      <c r="K41" s="68" t="n"/>
      <c r="L41" s="68" t="n"/>
      <c r="M41" s="59">
        <f>IF(OR(L41="",K41=""),"",MAX(L41-K41,0))</f>
        <v/>
      </c>
      <c r="N41" s="59">
        <f>IF(M41="","",IF(N(J41)=0,1,J41))</f>
        <v/>
      </c>
    </row>
    <row r="42">
      <c r="A42" s="53" t="n">
        <v>22</v>
      </c>
      <c r="B42" s="67" t="n"/>
      <c r="C42" s="55" t="n"/>
      <c r="D42" s="68" t="n"/>
      <c r="E42" s="68" t="n"/>
      <c r="F42" s="59">
        <f>IF(OR(E42="",D42=""),"",MAX(E42-D42,0))</f>
        <v/>
      </c>
      <c r="G42" s="59">
        <f>IF(F42="","",IF(N(C42)=0,1,C42))</f>
        <v/>
      </c>
      <c r="H42" s="53" t="n">
        <v>22</v>
      </c>
      <c r="I42" s="67" t="n"/>
      <c r="J42" s="55" t="n"/>
      <c r="K42" s="68" t="n"/>
      <c r="L42" s="68" t="n"/>
      <c r="M42" s="59">
        <f>IF(OR(L42="",K42=""),"",MAX(L42-K42,0))</f>
        <v/>
      </c>
      <c r="N42" s="59">
        <f>IF(M42="","",IF(N(J42)=0,1,J42))</f>
        <v/>
      </c>
    </row>
    <row r="43">
      <c r="A43" s="53" t="n">
        <v>23</v>
      </c>
      <c r="B43" s="67" t="n"/>
      <c r="C43" s="55" t="n"/>
      <c r="D43" s="68" t="n"/>
      <c r="E43" s="68" t="n"/>
      <c r="F43" s="59">
        <f>IF(OR(E43="",D43=""),"",MAX(E43-D43,0))</f>
        <v/>
      </c>
      <c r="G43" s="59">
        <f>IF(F43="","",IF(N(C43)=0,1,C43))</f>
        <v/>
      </c>
      <c r="H43" s="53" t="n">
        <v>23</v>
      </c>
      <c r="I43" s="67" t="n"/>
      <c r="J43" s="55" t="n"/>
      <c r="K43" s="68" t="n"/>
      <c r="L43" s="68" t="n"/>
      <c r="M43" s="59">
        <f>IF(OR(L43="",K43=""),"",MAX(L43-K43,0))</f>
        <v/>
      </c>
      <c r="N43" s="59">
        <f>IF(M43="","",IF(N(J43)=0,1,J43))</f>
        <v/>
      </c>
    </row>
    <row r="44">
      <c r="A44" s="53" t="n">
        <v>24</v>
      </c>
      <c r="B44" s="67" t="n"/>
      <c r="C44" s="55" t="n"/>
      <c r="D44" s="68" t="n"/>
      <c r="E44" s="68" t="n"/>
      <c r="F44" s="59">
        <f>IF(OR(E44="",D44=""),"",MAX(E44-D44,0))</f>
        <v/>
      </c>
      <c r="G44" s="59">
        <f>IF(F44="","",IF(N(C44)=0,1,C44))</f>
        <v/>
      </c>
      <c r="H44" s="53" t="n">
        <v>24</v>
      </c>
      <c r="I44" s="67" t="n"/>
      <c r="J44" s="55" t="n"/>
      <c r="K44" s="68" t="n"/>
      <c r="L44" s="68" t="n"/>
      <c r="M44" s="59">
        <f>IF(OR(L44="",K44=""),"",MAX(L44-K44,0))</f>
        <v/>
      </c>
      <c r="N44" s="59">
        <f>IF(M44="","",IF(N(J44)=0,1,J44))</f>
        <v/>
      </c>
    </row>
    <row r="45">
      <c r="A45" s="53" t="n">
        <v>25</v>
      </c>
      <c r="B45" s="67" t="n"/>
      <c r="C45" s="55" t="n"/>
      <c r="D45" s="68" t="n"/>
      <c r="E45" s="68" t="n"/>
      <c r="F45" s="59">
        <f>IF(OR(E45="",D45=""),"",MAX(E45-D45,0))</f>
        <v/>
      </c>
      <c r="G45" s="59">
        <f>IF(F45="","",IF(N(C45)=0,1,C45))</f>
        <v/>
      </c>
      <c r="H45" s="53" t="n">
        <v>25</v>
      </c>
      <c r="I45" s="67" t="n"/>
      <c r="J45" s="55" t="n"/>
      <c r="K45" s="68" t="n"/>
      <c r="L45" s="68" t="n"/>
      <c r="M45" s="59">
        <f>IF(OR(L45="",K45=""),"",MAX(L45-K45,0))</f>
        <v/>
      </c>
      <c r="N45" s="59">
        <f>IF(M45="","",IF(N(J45)=0,1,J45))</f>
        <v/>
      </c>
    </row>
    <row r="46">
      <c r="A46" s="53" t="n">
        <v>26</v>
      </c>
      <c r="B46" s="67" t="n"/>
      <c r="C46" s="55" t="n"/>
      <c r="D46" s="68" t="n"/>
      <c r="E46" s="68" t="n"/>
      <c r="F46" s="59">
        <f>IF(OR(E46="",D46=""),"",MAX(E46-D46,0))</f>
        <v/>
      </c>
      <c r="G46" s="59">
        <f>IF(F46="","",IF(N(C46)=0,1,C46))</f>
        <v/>
      </c>
      <c r="H46" s="53" t="n">
        <v>26</v>
      </c>
      <c r="I46" s="67" t="n"/>
      <c r="J46" s="55" t="n"/>
      <c r="K46" s="68" t="n"/>
      <c r="L46" s="68" t="n"/>
      <c r="M46" s="59">
        <f>IF(OR(L46="",K46=""),"",MAX(L46-K46,0))</f>
        <v/>
      </c>
      <c r="N46" s="59">
        <f>IF(M46="","",IF(N(J46)=0,1,J46))</f>
        <v/>
      </c>
    </row>
    <row r="47">
      <c r="A47" s="53" t="n">
        <v>27</v>
      </c>
      <c r="B47" s="67" t="n"/>
      <c r="C47" s="55" t="n"/>
      <c r="D47" s="68" t="n"/>
      <c r="E47" s="68" t="n"/>
      <c r="F47" s="59">
        <f>IF(OR(E47="",D47=""),"",MAX(E47-D47,0))</f>
        <v/>
      </c>
      <c r="G47" s="59">
        <f>IF(F47="","",IF(N(C47)=0,1,C47))</f>
        <v/>
      </c>
      <c r="H47" s="53" t="n">
        <v>27</v>
      </c>
      <c r="I47" s="67" t="n"/>
      <c r="J47" s="55" t="n"/>
      <c r="K47" s="68" t="n"/>
      <c r="L47" s="68" t="n"/>
      <c r="M47" s="59">
        <f>IF(OR(L47="",K47=""),"",MAX(L47-K47,0))</f>
        <v/>
      </c>
      <c r="N47" s="59">
        <f>IF(M47="","",IF(N(J47)=0,1,J47))</f>
        <v/>
      </c>
    </row>
    <row r="48">
      <c r="A48" s="53" t="n">
        <v>28</v>
      </c>
      <c r="B48" s="67" t="n"/>
      <c r="C48" s="55" t="n"/>
      <c r="D48" s="68" t="n"/>
      <c r="E48" s="68" t="n"/>
      <c r="F48" s="59">
        <f>IF(OR(E48="",D48=""),"",MAX(E48-D48,0))</f>
        <v/>
      </c>
      <c r="G48" s="59">
        <f>IF(F48="","",IF(N(C48)=0,1,C48))</f>
        <v/>
      </c>
      <c r="H48" s="53" t="n">
        <v>28</v>
      </c>
      <c r="I48" s="67" t="n"/>
      <c r="J48" s="55" t="n"/>
      <c r="K48" s="68" t="n"/>
      <c r="L48" s="68" t="n"/>
      <c r="M48" s="59">
        <f>IF(OR(L48="",K48=""),"",MAX(L48-K48,0))</f>
        <v/>
      </c>
      <c r="N48" s="59">
        <f>IF(M48="","",IF(N(J48)=0,1,J48))</f>
        <v/>
      </c>
    </row>
    <row r="49">
      <c r="A49" s="53" t="n">
        <v>29</v>
      </c>
      <c r="B49" s="67" t="n"/>
      <c r="C49" s="55" t="n"/>
      <c r="D49" s="68" t="n"/>
      <c r="E49" s="68" t="n"/>
      <c r="F49" s="59">
        <f>IF(OR(E49="",D49=""),"",MAX(E49-D49,0))</f>
        <v/>
      </c>
      <c r="G49" s="59">
        <f>IF(F49="","",IF(N(C49)=0,1,C49))</f>
        <v/>
      </c>
      <c r="H49" s="53" t="n">
        <v>29</v>
      </c>
      <c r="I49" s="67" t="n"/>
      <c r="J49" s="55" t="n"/>
      <c r="K49" s="68" t="n"/>
      <c r="L49" s="68" t="n"/>
      <c r="M49" s="59">
        <f>IF(OR(L49="",K49=""),"",MAX(L49-K49,0))</f>
        <v/>
      </c>
      <c r="N49" s="59">
        <f>IF(M49="","",IF(N(J49)=0,1,J49))</f>
        <v/>
      </c>
    </row>
    <row r="50">
      <c r="A50" s="53" t="n">
        <v>30</v>
      </c>
      <c r="B50" s="67" t="n"/>
      <c r="C50" s="55" t="n"/>
      <c r="D50" s="68" t="n"/>
      <c r="E50" s="68" t="n"/>
      <c r="F50" s="59">
        <f>IF(OR(E50="",D50=""),"",MAX(E50-D50,0))</f>
        <v/>
      </c>
      <c r="G50" s="59">
        <f>IF(F50="","",IF(N(C50)=0,1,C50))</f>
        <v/>
      </c>
      <c r="H50" s="53" t="n">
        <v>30</v>
      </c>
      <c r="I50" s="67" t="n"/>
      <c r="J50" s="55" t="n"/>
      <c r="K50" s="68" t="n"/>
      <c r="L50" s="68" t="n"/>
      <c r="M50" s="59">
        <f>IF(OR(L50="",K50=""),"",MAX(L50-K50,0))</f>
        <v/>
      </c>
      <c r="N50" s="59">
        <f>IF(M50="","",IF(N(J50)=0,1,J50))</f>
        <v/>
      </c>
    </row>
    <row r="51">
      <c r="A51" s="53" t="n">
        <v>31</v>
      </c>
      <c r="B51" s="67" t="n"/>
      <c r="C51" s="55" t="n"/>
      <c r="D51" s="68" t="n"/>
      <c r="E51" s="68" t="n"/>
      <c r="F51" s="59">
        <f>IF(OR(E51="",D51=""),"",MAX(E51-D51,0))</f>
        <v/>
      </c>
      <c r="G51" s="59">
        <f>IF(F51="","",IF(N(C51)=0,1,C51))</f>
        <v/>
      </c>
      <c r="H51" s="53" t="n">
        <v>31</v>
      </c>
      <c r="I51" s="67" t="n"/>
      <c r="J51" s="55" t="n"/>
      <c r="K51" s="68" t="n"/>
      <c r="L51" s="68" t="n"/>
      <c r="M51" s="59">
        <f>IF(OR(L51="",K51=""),"",MAX(L51-K51,0))</f>
        <v/>
      </c>
      <c r="N51" s="59">
        <f>IF(M51="","",IF(N(J51)=0,1,J51))</f>
        <v/>
      </c>
    </row>
    <row r="52">
      <c r="A52" s="53" t="n">
        <v>32</v>
      </c>
      <c r="B52" s="67" t="n"/>
      <c r="C52" s="55" t="n"/>
      <c r="D52" s="68" t="n"/>
      <c r="E52" s="68" t="n"/>
      <c r="F52" s="59">
        <f>IF(OR(E52="",D52=""),"",MAX(E52-D52,0))</f>
        <v/>
      </c>
      <c r="G52" s="59">
        <f>IF(F52="","",IF(N(C52)=0,1,C52))</f>
        <v/>
      </c>
      <c r="H52" s="53" t="n">
        <v>32</v>
      </c>
      <c r="I52" s="67" t="n"/>
      <c r="J52" s="55" t="n"/>
      <c r="K52" s="68" t="n"/>
      <c r="L52" s="68" t="n"/>
      <c r="M52" s="59">
        <f>IF(OR(L52="",K52=""),"",MAX(L52-K52,0))</f>
        <v/>
      </c>
      <c r="N52" s="59">
        <f>IF(M52="","",IF(N(J52)=0,1,J52))</f>
        <v/>
      </c>
    </row>
    <row r="53">
      <c r="A53" s="53" t="n">
        <v>33</v>
      </c>
      <c r="B53" s="67" t="n"/>
      <c r="C53" s="55" t="n"/>
      <c r="D53" s="68" t="n"/>
      <c r="E53" s="68" t="n"/>
      <c r="F53" s="59">
        <f>IF(OR(E53="",D53=""),"",MAX(E53-D53,0))</f>
        <v/>
      </c>
      <c r="G53" s="59">
        <f>IF(F53="","",IF(N(C53)=0,1,C53))</f>
        <v/>
      </c>
      <c r="H53" s="53" t="n">
        <v>33</v>
      </c>
      <c r="I53" s="67" t="n"/>
      <c r="J53" s="55" t="n"/>
      <c r="K53" s="68" t="n"/>
      <c r="L53" s="68" t="n"/>
      <c r="M53" s="59">
        <f>IF(OR(L53="",K53=""),"",MAX(L53-K53,0))</f>
        <v/>
      </c>
      <c r="N53" s="59">
        <f>IF(M53="","",IF(N(J53)=0,1,J53))</f>
        <v/>
      </c>
    </row>
    <row r="54">
      <c r="A54" s="53" t="n">
        <v>34</v>
      </c>
      <c r="B54" s="67" t="n"/>
      <c r="C54" s="55" t="n"/>
      <c r="D54" s="68" t="n"/>
      <c r="E54" s="68" t="n"/>
      <c r="F54" s="59">
        <f>IF(OR(E54="",D54=""),"",MAX(E54-D54,0))</f>
        <v/>
      </c>
      <c r="G54" s="59">
        <f>IF(F54="","",IF(N(C54)=0,1,C54))</f>
        <v/>
      </c>
      <c r="H54" s="53" t="n">
        <v>34</v>
      </c>
      <c r="I54" s="67" t="n"/>
      <c r="J54" s="55" t="n"/>
      <c r="K54" s="68" t="n"/>
      <c r="L54" s="68" t="n"/>
      <c r="M54" s="59">
        <f>IF(OR(L54="",K54=""),"",MAX(L54-K54,0))</f>
        <v/>
      </c>
      <c r="N54" s="59">
        <f>IF(M54="","",IF(N(J54)=0,1,J54))</f>
        <v/>
      </c>
    </row>
    <row r="55">
      <c r="A55" s="53" t="n">
        <v>35</v>
      </c>
      <c r="B55" s="67" t="n"/>
      <c r="C55" s="55" t="n"/>
      <c r="D55" s="68" t="n"/>
      <c r="E55" s="68" t="n"/>
      <c r="F55" s="59">
        <f>IF(OR(E55="",D55=""),"",MAX(E55-D55,0))</f>
        <v/>
      </c>
      <c r="G55" s="59">
        <f>IF(F55="","",IF(N(C55)=0,1,C55))</f>
        <v/>
      </c>
      <c r="H55" s="53" t="n">
        <v>35</v>
      </c>
      <c r="I55" s="67" t="n"/>
      <c r="J55" s="55" t="n"/>
      <c r="K55" s="68" t="n"/>
      <c r="L55" s="68" t="n"/>
      <c r="M55" s="59">
        <f>IF(OR(L55="",K55=""),"",MAX(L55-K55,0))</f>
        <v/>
      </c>
      <c r="N55" s="59">
        <f>IF(M55="","",IF(N(J55)=0,1,J55))</f>
        <v/>
      </c>
    </row>
    <row r="56">
      <c r="A56" s="53" t="n">
        <v>36</v>
      </c>
      <c r="B56" s="67" t="n"/>
      <c r="C56" s="55" t="n"/>
      <c r="D56" s="68" t="n"/>
      <c r="E56" s="68" t="n"/>
      <c r="F56" s="59">
        <f>IF(OR(E56="",D56=""),"",MAX(E56-D56,0))</f>
        <v/>
      </c>
      <c r="G56" s="59">
        <f>IF(F56="","",IF(N(C56)=0,1,C56))</f>
        <v/>
      </c>
      <c r="H56" s="53" t="n">
        <v>36</v>
      </c>
      <c r="I56" s="67" t="n"/>
      <c r="J56" s="55" t="n"/>
      <c r="K56" s="68" t="n"/>
      <c r="L56" s="68" t="n"/>
      <c r="M56" s="59">
        <f>IF(OR(L56="",K56=""),"",MAX(L56-K56,0))</f>
        <v/>
      </c>
      <c r="N56" s="59">
        <f>IF(M56="","",IF(N(J56)=0,1,J56))</f>
        <v/>
      </c>
    </row>
    <row r="57">
      <c r="A57" s="53" t="n">
        <v>37</v>
      </c>
      <c r="B57" s="67" t="n"/>
      <c r="C57" s="55" t="n"/>
      <c r="D57" s="68" t="n"/>
      <c r="E57" s="68" t="n"/>
      <c r="F57" s="59">
        <f>IF(OR(E57="",D57=""),"",MAX(E57-D57,0))</f>
        <v/>
      </c>
      <c r="G57" s="59">
        <f>IF(F57="","",IF(N(C57)=0,1,C57))</f>
        <v/>
      </c>
      <c r="H57" s="53" t="n">
        <v>37</v>
      </c>
      <c r="I57" s="67" t="n"/>
      <c r="J57" s="55" t="n"/>
      <c r="K57" s="68" t="n"/>
      <c r="L57" s="68" t="n"/>
      <c r="M57" s="59">
        <f>IF(OR(L57="",K57=""),"",MAX(L57-K57,0))</f>
        <v/>
      </c>
      <c r="N57" s="59">
        <f>IF(M57="","",IF(N(J57)=0,1,J57))</f>
        <v/>
      </c>
    </row>
    <row r="58">
      <c r="A58" s="53" t="n">
        <v>38</v>
      </c>
      <c r="B58" s="67" t="n"/>
      <c r="C58" s="55" t="n"/>
      <c r="D58" s="68" t="n"/>
      <c r="E58" s="68" t="n"/>
      <c r="F58" s="59">
        <f>IF(OR(E58="",D58=""),"",MAX(E58-D58,0))</f>
        <v/>
      </c>
      <c r="G58" s="59">
        <f>IF(F58="","",IF(N(C58)=0,1,C58))</f>
        <v/>
      </c>
      <c r="H58" s="53" t="n">
        <v>38</v>
      </c>
      <c r="I58" s="67" t="n"/>
      <c r="J58" s="55" t="n"/>
      <c r="K58" s="68" t="n"/>
      <c r="L58" s="68" t="n"/>
      <c r="M58" s="59">
        <f>IF(OR(L58="",K58=""),"",MAX(L58-K58,0))</f>
        <v/>
      </c>
      <c r="N58" s="59">
        <f>IF(M58="","",IF(N(J58)=0,1,J58))</f>
        <v/>
      </c>
    </row>
    <row r="59">
      <c r="A59" s="53" t="n">
        <v>39</v>
      </c>
      <c r="B59" s="67" t="n"/>
      <c r="C59" s="55" t="n"/>
      <c r="D59" s="68" t="n"/>
      <c r="E59" s="68" t="n"/>
      <c r="F59" s="59">
        <f>IF(OR(E59="",D59=""),"",MAX(E59-D59,0))</f>
        <v/>
      </c>
      <c r="G59" s="59">
        <f>IF(F59="","",IF(N(C59)=0,1,C59))</f>
        <v/>
      </c>
      <c r="H59" s="53" t="n">
        <v>39</v>
      </c>
      <c r="I59" s="67" t="n"/>
      <c r="J59" s="55" t="n"/>
      <c r="K59" s="68" t="n"/>
      <c r="L59" s="68" t="n"/>
      <c r="M59" s="59">
        <f>IF(OR(L59="",K59=""),"",MAX(L59-K59,0))</f>
        <v/>
      </c>
      <c r="N59" s="59">
        <f>IF(M59="","",IF(N(J59)=0,1,J59))</f>
        <v/>
      </c>
    </row>
    <row r="60">
      <c r="A60" s="53" t="n">
        <v>40</v>
      </c>
      <c r="B60" s="67" t="n"/>
      <c r="C60" s="55" t="n"/>
      <c r="D60" s="68" t="n"/>
      <c r="E60" s="68" t="n"/>
      <c r="F60" s="59">
        <f>IF(OR(E60="",D60=""),"",MAX(E60-D60,0))</f>
        <v/>
      </c>
      <c r="G60" s="59">
        <f>IF(F60="","",IF(N(C60)=0,1,C60))</f>
        <v/>
      </c>
      <c r="H60" s="53" t="n">
        <v>40</v>
      </c>
      <c r="I60" s="67" t="n"/>
      <c r="J60" s="55" t="n"/>
      <c r="K60" s="68" t="n"/>
      <c r="L60" s="68" t="n"/>
      <c r="M60" s="59">
        <f>IF(OR(L60="",K60=""),"",MAX(L60-K60,0))</f>
        <v/>
      </c>
      <c r="N60" s="59">
        <f>IF(M60="","",IF(N(J60)=0,1,J60))</f>
        <v/>
      </c>
    </row>
    <row r="61">
      <c r="A61" s="53" t="n">
        <v>41</v>
      </c>
      <c r="B61" s="67" t="n"/>
      <c r="C61" s="55" t="n"/>
      <c r="D61" s="68" t="n"/>
      <c r="E61" s="68" t="n"/>
      <c r="F61" s="59">
        <f>IF(OR(E61="",D61=""),"",MAX(E61-D61,0))</f>
        <v/>
      </c>
      <c r="G61" s="59">
        <f>IF(F61="","",IF(N(C61)=0,1,C61))</f>
        <v/>
      </c>
      <c r="H61" s="53" t="n">
        <v>41</v>
      </c>
      <c r="I61" s="67" t="n"/>
      <c r="J61" s="55" t="n"/>
      <c r="K61" s="68" t="n"/>
      <c r="L61" s="68" t="n"/>
      <c r="M61" s="59">
        <f>IF(OR(L61="",K61=""),"",MAX(L61-K61,0))</f>
        <v/>
      </c>
      <c r="N61" s="59">
        <f>IF(M61="","",IF(N(J61)=0,1,J61))</f>
        <v/>
      </c>
    </row>
    <row r="62">
      <c r="A62" s="53" t="n">
        <v>42</v>
      </c>
      <c r="B62" s="67" t="n"/>
      <c r="C62" s="55" t="n"/>
      <c r="D62" s="68" t="n"/>
      <c r="E62" s="68" t="n"/>
      <c r="F62" s="59">
        <f>IF(OR(E62="",D62=""),"",MAX(E62-D62,0))</f>
        <v/>
      </c>
      <c r="G62" s="59">
        <f>IF(F62="","",IF(N(C62)=0,1,C62))</f>
        <v/>
      </c>
      <c r="H62" s="53" t="n">
        <v>42</v>
      </c>
      <c r="I62" s="67" t="n"/>
      <c r="J62" s="55" t="n"/>
      <c r="K62" s="68" t="n"/>
      <c r="L62" s="68" t="n"/>
      <c r="M62" s="59">
        <f>IF(OR(L62="",K62=""),"",MAX(L62-K62,0))</f>
        <v/>
      </c>
      <c r="N62" s="59">
        <f>IF(M62="","",IF(N(J62)=0,1,J62))</f>
        <v/>
      </c>
    </row>
    <row r="63">
      <c r="A63" s="53" t="n">
        <v>43</v>
      </c>
      <c r="B63" s="67" t="n"/>
      <c r="C63" s="55" t="n"/>
      <c r="D63" s="68" t="n"/>
      <c r="E63" s="68" t="n"/>
      <c r="F63" s="59">
        <f>IF(OR(E63="",D63=""),"",MAX(E63-D63,0))</f>
        <v/>
      </c>
      <c r="G63" s="59">
        <f>IF(F63="","",IF(N(C63)=0,1,C63))</f>
        <v/>
      </c>
      <c r="H63" s="53" t="n">
        <v>43</v>
      </c>
      <c r="I63" s="67" t="n"/>
      <c r="J63" s="55" t="n"/>
      <c r="K63" s="68" t="n"/>
      <c r="L63" s="68" t="n"/>
      <c r="M63" s="59">
        <f>IF(OR(L63="",K63=""),"",MAX(L63-K63,0))</f>
        <v/>
      </c>
      <c r="N63" s="59">
        <f>IF(M63="","",IF(N(J63)=0,1,J63))</f>
        <v/>
      </c>
    </row>
    <row r="64">
      <c r="A64" s="53" t="n">
        <v>44</v>
      </c>
      <c r="B64" s="67" t="n"/>
      <c r="C64" s="55" t="n"/>
      <c r="D64" s="68" t="n"/>
      <c r="E64" s="68" t="n"/>
      <c r="F64" s="59">
        <f>IF(OR(E64="",D64=""),"",MAX(E64-D64,0))</f>
        <v/>
      </c>
      <c r="G64" s="59">
        <f>IF(F64="","",IF(N(C64)=0,1,C64))</f>
        <v/>
      </c>
      <c r="H64" s="53" t="n">
        <v>44</v>
      </c>
      <c r="I64" s="67" t="n"/>
      <c r="J64" s="55" t="n"/>
      <c r="K64" s="68" t="n"/>
      <c r="L64" s="68" t="n"/>
      <c r="M64" s="59">
        <f>IF(OR(L64="",K64=""),"",MAX(L64-K64,0))</f>
        <v/>
      </c>
      <c r="N64" s="59">
        <f>IF(M64="","",IF(N(J64)=0,1,J64))</f>
        <v/>
      </c>
    </row>
    <row r="65">
      <c r="A65" s="53" t="n">
        <v>45</v>
      </c>
      <c r="B65" s="67" t="n"/>
      <c r="C65" s="55" t="n"/>
      <c r="D65" s="68" t="n"/>
      <c r="E65" s="68" t="n"/>
      <c r="F65" s="59">
        <f>IF(OR(E65="",D65=""),"",MAX(E65-D65,0))</f>
        <v/>
      </c>
      <c r="G65" s="59">
        <f>IF(F65="","",IF(N(C65)=0,1,C65))</f>
        <v/>
      </c>
      <c r="H65" s="53" t="n">
        <v>45</v>
      </c>
      <c r="I65" s="67" t="n"/>
      <c r="J65" s="55" t="n"/>
      <c r="K65" s="68" t="n"/>
      <c r="L65" s="68" t="n"/>
      <c r="M65" s="59">
        <f>IF(OR(L65="",K65=""),"",MAX(L65-K65,0))</f>
        <v/>
      </c>
      <c r="N65" s="59">
        <f>IF(M65="","",IF(N(J65)=0,1,J65))</f>
        <v/>
      </c>
    </row>
    <row r="66">
      <c r="A66" s="53" t="n">
        <v>46</v>
      </c>
      <c r="B66" s="67" t="n"/>
      <c r="C66" s="55" t="n"/>
      <c r="D66" s="68" t="n"/>
      <c r="E66" s="68" t="n"/>
      <c r="F66" s="59">
        <f>IF(OR(E66="",D66=""),"",MAX(E66-D66,0))</f>
        <v/>
      </c>
      <c r="G66" s="59">
        <f>IF(F66="","",IF(N(C66)=0,1,C66))</f>
        <v/>
      </c>
      <c r="H66" s="53" t="n">
        <v>46</v>
      </c>
      <c r="I66" s="67" t="n"/>
      <c r="J66" s="55" t="n"/>
      <c r="K66" s="68" t="n"/>
      <c r="L66" s="68" t="n"/>
      <c r="M66" s="59">
        <f>IF(OR(L66="",K66=""),"",MAX(L66-K66,0))</f>
        <v/>
      </c>
      <c r="N66" s="59">
        <f>IF(M66="","",IF(N(J66)=0,1,J66))</f>
        <v/>
      </c>
    </row>
    <row r="67">
      <c r="A67" s="53" t="n">
        <v>47</v>
      </c>
      <c r="B67" s="67" t="n"/>
      <c r="C67" s="55" t="n"/>
      <c r="D67" s="68" t="n"/>
      <c r="E67" s="68" t="n"/>
      <c r="F67" s="59">
        <f>IF(OR(E67="",D67=""),"",MAX(E67-D67,0))</f>
        <v/>
      </c>
      <c r="G67" s="59">
        <f>IF(F67="","",IF(N(C67)=0,1,C67))</f>
        <v/>
      </c>
      <c r="H67" s="53" t="n">
        <v>47</v>
      </c>
      <c r="I67" s="67" t="n"/>
      <c r="J67" s="55" t="n"/>
      <c r="K67" s="68" t="n"/>
      <c r="L67" s="68" t="n"/>
      <c r="M67" s="59">
        <f>IF(OR(L67="",K67=""),"",MAX(L67-K67,0))</f>
        <v/>
      </c>
      <c r="N67" s="59">
        <f>IF(M67="","",IF(N(J67)=0,1,J67))</f>
        <v/>
      </c>
    </row>
    <row r="68">
      <c r="A68" s="53" t="n">
        <v>48</v>
      </c>
      <c r="B68" s="67" t="n"/>
      <c r="C68" s="55" t="n"/>
      <c r="D68" s="68" t="n"/>
      <c r="E68" s="68" t="n"/>
      <c r="F68" s="59">
        <f>IF(OR(E68="",D68=""),"",MAX(E68-D68,0))</f>
        <v/>
      </c>
      <c r="G68" s="59">
        <f>IF(F68="","",IF(N(C68)=0,1,C68))</f>
        <v/>
      </c>
      <c r="H68" s="53" t="n">
        <v>48</v>
      </c>
      <c r="I68" s="67" t="n"/>
      <c r="J68" s="55" t="n"/>
      <c r="K68" s="68" t="n"/>
      <c r="L68" s="68" t="n"/>
      <c r="M68" s="59">
        <f>IF(OR(L68="",K68=""),"",MAX(L68-K68,0))</f>
        <v/>
      </c>
      <c r="N68" s="59">
        <f>IF(M68="","",IF(N(J68)=0,1,J68))</f>
        <v/>
      </c>
    </row>
    <row r="69">
      <c r="A69" s="53" t="n">
        <v>49</v>
      </c>
      <c r="B69" s="67" t="n"/>
      <c r="C69" s="55" t="n"/>
      <c r="D69" s="68" t="n"/>
      <c r="E69" s="68" t="n"/>
      <c r="F69" s="59">
        <f>IF(OR(E69="",D69=""),"",MAX(E69-D69,0))</f>
        <v/>
      </c>
      <c r="G69" s="59">
        <f>IF(F69="","",IF(N(C69)=0,1,C69))</f>
        <v/>
      </c>
      <c r="H69" s="53" t="n">
        <v>49</v>
      </c>
      <c r="I69" s="67" t="n"/>
      <c r="J69" s="55" t="n"/>
      <c r="K69" s="68" t="n"/>
      <c r="L69" s="68" t="n"/>
      <c r="M69" s="59">
        <f>IF(OR(L69="",K69=""),"",MAX(L69-K69,0))</f>
        <v/>
      </c>
      <c r="N69" s="59">
        <f>IF(M69="","",IF(N(J69)=0,1,J69))</f>
        <v/>
      </c>
    </row>
    <row r="70">
      <c r="A70" s="53" t="n">
        <v>50</v>
      </c>
      <c r="B70" s="67" t="n"/>
      <c r="C70" s="55" t="n"/>
      <c r="D70" s="68" t="n"/>
      <c r="E70" s="68" t="n"/>
      <c r="F70" s="59">
        <f>IF(OR(E70="",D70=""),"",MAX(E70-D70,0))</f>
        <v/>
      </c>
      <c r="G70" s="59">
        <f>IF(F70="","",IF(N(C70)=0,1,C70))</f>
        <v/>
      </c>
      <c r="H70" s="53" t="n">
        <v>50</v>
      </c>
      <c r="I70" s="67" t="n"/>
      <c r="J70" s="55" t="n"/>
      <c r="K70" s="68" t="n"/>
      <c r="L70" s="68" t="n"/>
      <c r="M70" s="59">
        <f>IF(OR(L70="",K70=""),"",MAX(L70-K70,0))</f>
        <v/>
      </c>
      <c r="N70" s="59">
        <f>IF(M70="","",IF(N(J70)=0,1,J70))</f>
        <v/>
      </c>
    </row>
    <row r="71">
      <c r="A71" s="53" t="n">
        <v>51</v>
      </c>
      <c r="B71" s="67" t="n"/>
      <c r="C71" s="55" t="n"/>
      <c r="D71" s="68" t="n"/>
      <c r="E71" s="68" t="n"/>
      <c r="F71" s="59">
        <f>IF(OR(E71="",D71=""),"",MAX(E71-D71,0))</f>
        <v/>
      </c>
      <c r="G71" s="59">
        <f>IF(F71="","",IF(N(C71)=0,1,C71))</f>
        <v/>
      </c>
      <c r="H71" s="53" t="n">
        <v>51</v>
      </c>
      <c r="I71" s="67" t="n"/>
      <c r="J71" s="55" t="n"/>
      <c r="K71" s="68" t="n"/>
      <c r="L71" s="68" t="n"/>
      <c r="M71" s="59">
        <f>IF(OR(L71="",K71=""),"",MAX(L71-K71,0))</f>
        <v/>
      </c>
      <c r="N71" s="59">
        <f>IF(M71="","",IF(N(J71)=0,1,J71))</f>
        <v/>
      </c>
    </row>
    <row r="72">
      <c r="A72" s="53" t="n">
        <v>52</v>
      </c>
      <c r="B72" s="67" t="n"/>
      <c r="C72" s="55" t="n"/>
      <c r="D72" s="68" t="n"/>
      <c r="E72" s="68" t="n"/>
      <c r="F72" s="59">
        <f>IF(OR(E72="",D72=""),"",MAX(E72-D72,0))</f>
        <v/>
      </c>
      <c r="G72" s="59">
        <f>IF(F72="","",IF(N(C72)=0,1,C72))</f>
        <v/>
      </c>
      <c r="H72" s="53" t="n">
        <v>52</v>
      </c>
      <c r="I72" s="67" t="n"/>
      <c r="J72" s="55" t="n"/>
      <c r="K72" s="68" t="n"/>
      <c r="L72" s="68" t="n"/>
      <c r="M72" s="59">
        <f>IF(OR(L72="",K72=""),"",MAX(L72-K72,0))</f>
        <v/>
      </c>
      <c r="N72" s="59">
        <f>IF(M72="","",IF(N(J72)=0,1,J72))</f>
        <v/>
      </c>
    </row>
    <row r="73">
      <c r="A73" s="53" t="n">
        <v>53</v>
      </c>
      <c r="B73" s="67" t="n"/>
      <c r="C73" s="55" t="n"/>
      <c r="D73" s="68" t="n"/>
      <c r="E73" s="68" t="n"/>
      <c r="F73" s="59">
        <f>IF(OR(E73="",D73=""),"",MAX(E73-D73,0))</f>
        <v/>
      </c>
      <c r="G73" s="59">
        <f>IF(F73="","",IF(N(C73)=0,1,C73))</f>
        <v/>
      </c>
      <c r="H73" s="53" t="n">
        <v>53</v>
      </c>
      <c r="I73" s="67" t="n"/>
      <c r="J73" s="55" t="n"/>
      <c r="K73" s="68" t="n"/>
      <c r="L73" s="68" t="n"/>
      <c r="M73" s="59">
        <f>IF(OR(L73="",K73=""),"",MAX(L73-K73,0))</f>
        <v/>
      </c>
      <c r="N73" s="59">
        <f>IF(M73="","",IF(N(J73)=0,1,J73))</f>
        <v/>
      </c>
    </row>
    <row r="74">
      <c r="A74" s="53" t="n">
        <v>54</v>
      </c>
      <c r="B74" s="67" t="n"/>
      <c r="C74" s="55" t="n"/>
      <c r="D74" s="68" t="n"/>
      <c r="E74" s="68" t="n"/>
      <c r="F74" s="59">
        <f>IF(OR(E74="",D74=""),"",MAX(E74-D74,0))</f>
        <v/>
      </c>
      <c r="G74" s="59">
        <f>IF(F74="","",IF(N(C74)=0,1,C74))</f>
        <v/>
      </c>
      <c r="H74" s="53" t="n">
        <v>54</v>
      </c>
      <c r="I74" s="67" t="n"/>
      <c r="J74" s="55" t="n"/>
      <c r="K74" s="68" t="n"/>
      <c r="L74" s="68" t="n"/>
      <c r="M74" s="59">
        <f>IF(OR(L74="",K74=""),"",MAX(L74-K74,0))</f>
        <v/>
      </c>
      <c r="N74" s="59">
        <f>IF(M74="","",IF(N(J74)=0,1,J74))</f>
        <v/>
      </c>
    </row>
    <row r="75">
      <c r="A75" s="53" t="n">
        <v>55</v>
      </c>
      <c r="B75" s="67" t="n"/>
      <c r="C75" s="55" t="n"/>
      <c r="D75" s="68" t="n"/>
      <c r="E75" s="68" t="n"/>
      <c r="F75" s="59">
        <f>IF(OR(E75="",D75=""),"",MAX(E75-D75,0))</f>
        <v/>
      </c>
      <c r="G75" s="59">
        <f>IF(F75="","",IF(N(C75)=0,1,C75))</f>
        <v/>
      </c>
      <c r="H75" s="53" t="n">
        <v>55</v>
      </c>
      <c r="I75" s="67" t="n"/>
      <c r="J75" s="55" t="n"/>
      <c r="K75" s="68" t="n"/>
      <c r="L75" s="68" t="n"/>
      <c r="M75" s="59">
        <f>IF(OR(L75="",K75=""),"",MAX(L75-K75,0))</f>
        <v/>
      </c>
      <c r="N75" s="59">
        <f>IF(M75="","",IF(N(J75)=0,1,J75))</f>
        <v/>
      </c>
    </row>
    <row r="76">
      <c r="A76" s="53" t="n">
        <v>56</v>
      </c>
      <c r="B76" s="67" t="n"/>
      <c r="C76" s="55" t="n"/>
      <c r="D76" s="68" t="n"/>
      <c r="E76" s="68" t="n"/>
      <c r="F76" s="59">
        <f>IF(OR(E76="",D76=""),"",MAX(E76-D76,0))</f>
        <v/>
      </c>
      <c r="G76" s="59">
        <f>IF(F76="","",IF(N(C76)=0,1,C76))</f>
        <v/>
      </c>
      <c r="H76" s="53" t="n">
        <v>56</v>
      </c>
      <c r="I76" s="67" t="n"/>
      <c r="J76" s="55" t="n"/>
      <c r="K76" s="68" t="n"/>
      <c r="L76" s="68" t="n"/>
      <c r="M76" s="59">
        <f>IF(OR(L76="",K76=""),"",MAX(L76-K76,0))</f>
        <v/>
      </c>
      <c r="N76" s="59">
        <f>IF(M76="","",IF(N(J76)=0,1,J76))</f>
        <v/>
      </c>
    </row>
    <row r="77">
      <c r="A77" s="53" t="n">
        <v>57</v>
      </c>
      <c r="B77" s="67" t="n"/>
      <c r="C77" s="55" t="n"/>
      <c r="D77" s="68" t="n"/>
      <c r="E77" s="68" t="n"/>
      <c r="F77" s="59">
        <f>IF(OR(E77="",D77=""),"",MAX(E77-D77,0))</f>
        <v/>
      </c>
      <c r="G77" s="59">
        <f>IF(F77="","",IF(N(C77)=0,1,C77))</f>
        <v/>
      </c>
      <c r="H77" s="53" t="n">
        <v>57</v>
      </c>
      <c r="I77" s="67" t="n"/>
      <c r="J77" s="55" t="n"/>
      <c r="K77" s="68" t="n"/>
      <c r="L77" s="68" t="n"/>
      <c r="M77" s="59">
        <f>IF(OR(L77="",K77=""),"",MAX(L77-K77,0))</f>
        <v/>
      </c>
      <c r="N77" s="59">
        <f>IF(M77="","",IF(N(J77)=0,1,J77))</f>
        <v/>
      </c>
    </row>
    <row r="78">
      <c r="A78" s="53" t="n">
        <v>58</v>
      </c>
      <c r="B78" s="67" t="n"/>
      <c r="C78" s="55" t="n"/>
      <c r="D78" s="68" t="n"/>
      <c r="E78" s="68" t="n"/>
      <c r="F78" s="59">
        <f>IF(OR(E78="",D78=""),"",MAX(E78-D78,0))</f>
        <v/>
      </c>
      <c r="G78" s="59">
        <f>IF(F78="","",IF(N(C78)=0,1,C78))</f>
        <v/>
      </c>
      <c r="H78" s="53" t="n">
        <v>58</v>
      </c>
      <c r="I78" s="67" t="n"/>
      <c r="J78" s="55" t="n"/>
      <c r="K78" s="68" t="n"/>
      <c r="L78" s="68" t="n"/>
      <c r="M78" s="59">
        <f>IF(OR(L78="",K78=""),"",MAX(L78-K78,0))</f>
        <v/>
      </c>
      <c r="N78" s="59">
        <f>IF(M78="","",IF(N(J78)=0,1,J78))</f>
        <v/>
      </c>
    </row>
    <row r="79">
      <c r="A79" s="53" t="n">
        <v>59</v>
      </c>
      <c r="B79" s="67" t="n"/>
      <c r="C79" s="55" t="n"/>
      <c r="D79" s="68" t="n"/>
      <c r="E79" s="68" t="n"/>
      <c r="F79" s="59">
        <f>IF(OR(E79="",D79=""),"",MAX(E79-D79,0))</f>
        <v/>
      </c>
      <c r="G79" s="59">
        <f>IF(F79="","",IF(N(C79)=0,1,C79))</f>
        <v/>
      </c>
      <c r="H79" s="53" t="n">
        <v>59</v>
      </c>
      <c r="I79" s="67" t="n"/>
      <c r="J79" s="55" t="n"/>
      <c r="K79" s="68" t="n"/>
      <c r="L79" s="68" t="n"/>
      <c r="M79" s="59">
        <f>IF(OR(L79="",K79=""),"",MAX(L79-K79,0))</f>
        <v/>
      </c>
      <c r="N79" s="59">
        <f>IF(M79="","",IF(N(J79)=0,1,J79))</f>
        <v/>
      </c>
    </row>
    <row r="80">
      <c r="A80" s="53" t="n">
        <v>60</v>
      </c>
      <c r="B80" s="67" t="n"/>
      <c r="C80" s="55" t="n"/>
      <c r="D80" s="68" t="n"/>
      <c r="E80" s="68" t="n"/>
      <c r="F80" s="59">
        <f>IF(OR(E80="",D80=""),"",MAX(E80-D80,0))</f>
        <v/>
      </c>
      <c r="G80" s="59">
        <f>IF(F80="","",IF(N(C80)=0,1,C80))</f>
        <v/>
      </c>
      <c r="H80" s="53" t="n">
        <v>60</v>
      </c>
      <c r="I80" s="67" t="n"/>
      <c r="J80" s="55" t="n"/>
      <c r="K80" s="68" t="n"/>
      <c r="L80" s="68" t="n"/>
      <c r="M80" s="59">
        <f>IF(OR(L80="",K80=""),"",MAX(L80-K80,0))</f>
        <v/>
      </c>
      <c r="N80" s="59">
        <f>IF(M80="","",IF(N(J80)=0,1,J80))</f>
        <v/>
      </c>
    </row>
    <row r="81">
      <c r="A81" s="53" t="n">
        <v>61</v>
      </c>
      <c r="B81" s="67" t="n"/>
      <c r="C81" s="55" t="n"/>
      <c r="D81" s="68" t="n"/>
      <c r="E81" s="68" t="n"/>
      <c r="F81" s="59">
        <f>IF(OR(E81="",D81=""),"",MAX(E81-D81,0))</f>
        <v/>
      </c>
      <c r="G81" s="59">
        <f>IF(F81="","",IF(N(C81)=0,1,C81))</f>
        <v/>
      </c>
      <c r="H81" s="53" t="n">
        <v>61</v>
      </c>
      <c r="I81" s="67" t="n"/>
      <c r="J81" s="55" t="n"/>
      <c r="K81" s="68" t="n"/>
      <c r="L81" s="68" t="n"/>
      <c r="M81" s="59">
        <f>IF(OR(L81="",K81=""),"",MAX(L81-K81,0))</f>
        <v/>
      </c>
      <c r="N81" s="59">
        <f>IF(M81="","",IF(N(J81)=0,1,J81))</f>
        <v/>
      </c>
    </row>
    <row r="82">
      <c r="A82" s="53" t="n">
        <v>62</v>
      </c>
      <c r="B82" s="67" t="n"/>
      <c r="C82" s="55" t="n"/>
      <c r="D82" s="68" t="n"/>
      <c r="E82" s="68" t="n"/>
      <c r="F82" s="59">
        <f>IF(OR(E82="",D82=""),"",MAX(E82-D82,0))</f>
        <v/>
      </c>
      <c r="G82" s="59">
        <f>IF(F82="","",IF(N(C82)=0,1,C82))</f>
        <v/>
      </c>
      <c r="H82" s="53" t="n">
        <v>62</v>
      </c>
      <c r="I82" s="67" t="n"/>
      <c r="J82" s="55" t="n"/>
      <c r="K82" s="68" t="n"/>
      <c r="L82" s="68" t="n"/>
      <c r="M82" s="59">
        <f>IF(OR(L82="",K82=""),"",MAX(L82-K82,0))</f>
        <v/>
      </c>
      <c r="N82" s="59">
        <f>IF(M82="","",IF(N(J82)=0,1,J82))</f>
        <v/>
      </c>
    </row>
    <row r="83">
      <c r="A83" s="53" t="n">
        <v>63</v>
      </c>
      <c r="B83" s="67" t="n"/>
      <c r="C83" s="55" t="n"/>
      <c r="D83" s="68" t="n"/>
      <c r="E83" s="68" t="n"/>
      <c r="F83" s="59">
        <f>IF(OR(E83="",D83=""),"",MAX(E83-D83,0))</f>
        <v/>
      </c>
      <c r="G83" s="59">
        <f>IF(F83="","",IF(N(C83)=0,1,C83))</f>
        <v/>
      </c>
      <c r="H83" s="53" t="n">
        <v>63</v>
      </c>
      <c r="I83" s="67" t="n"/>
      <c r="J83" s="55" t="n"/>
      <c r="K83" s="68" t="n"/>
      <c r="L83" s="68" t="n"/>
      <c r="M83" s="59">
        <f>IF(OR(L83="",K83=""),"",MAX(L83-K83,0))</f>
        <v/>
      </c>
      <c r="N83" s="59">
        <f>IF(M83="","",IF(N(J83)=0,1,J83))</f>
        <v/>
      </c>
    </row>
    <row r="84">
      <c r="A84" s="53" t="n">
        <v>64</v>
      </c>
      <c r="B84" s="67" t="n"/>
      <c r="C84" s="55" t="n"/>
      <c r="D84" s="68" t="n"/>
      <c r="E84" s="68" t="n"/>
      <c r="F84" s="59">
        <f>IF(OR(E84="",D84=""),"",MAX(E84-D84,0))</f>
        <v/>
      </c>
      <c r="G84" s="59">
        <f>IF(F84="","",IF(N(C84)=0,1,C84))</f>
        <v/>
      </c>
      <c r="H84" s="53" t="n">
        <v>64</v>
      </c>
      <c r="I84" s="67" t="n"/>
      <c r="J84" s="55" t="n"/>
      <c r="K84" s="68" t="n"/>
      <c r="L84" s="68" t="n"/>
      <c r="M84" s="59">
        <f>IF(OR(L84="",K84=""),"",MAX(L84-K84,0))</f>
        <v/>
      </c>
      <c r="N84" s="59">
        <f>IF(M84="","",IF(N(J84)=0,1,J84))</f>
        <v/>
      </c>
    </row>
    <row r="85">
      <c r="A85" s="53" t="n">
        <v>65</v>
      </c>
      <c r="B85" s="67" t="n"/>
      <c r="C85" s="55" t="n"/>
      <c r="D85" s="68" t="n"/>
      <c r="E85" s="68" t="n"/>
      <c r="F85" s="59">
        <f>IF(OR(E85="",D85=""),"",MAX(E85-D85,0))</f>
        <v/>
      </c>
      <c r="G85" s="59">
        <f>IF(F85="","",IF(N(C85)=0,1,C85))</f>
        <v/>
      </c>
      <c r="H85" s="53" t="n">
        <v>65</v>
      </c>
      <c r="I85" s="67" t="n"/>
      <c r="J85" s="55" t="n"/>
      <c r="K85" s="68" t="n"/>
      <c r="L85" s="68" t="n"/>
      <c r="M85" s="59">
        <f>IF(OR(L85="",K85=""),"",MAX(L85-K85,0))</f>
        <v/>
      </c>
      <c r="N85" s="59">
        <f>IF(M85="","",IF(N(J85)=0,1,J85))</f>
        <v/>
      </c>
    </row>
    <row r="86">
      <c r="A86" s="53" t="n">
        <v>66</v>
      </c>
      <c r="B86" s="67" t="n"/>
      <c r="C86" s="55" t="n"/>
      <c r="D86" s="68" t="n"/>
      <c r="E86" s="68" t="n"/>
      <c r="F86" s="59">
        <f>IF(OR(E86="",D86=""),"",MAX(E86-D86,0))</f>
        <v/>
      </c>
      <c r="G86" s="59">
        <f>IF(F86="","",IF(N(C86)=0,1,C86))</f>
        <v/>
      </c>
      <c r="H86" s="53" t="n">
        <v>66</v>
      </c>
      <c r="I86" s="67" t="n"/>
      <c r="J86" s="55" t="n"/>
      <c r="K86" s="68" t="n"/>
      <c r="L86" s="68" t="n"/>
      <c r="M86" s="59">
        <f>IF(OR(L86="",K86=""),"",MAX(L86-K86,0))</f>
        <v/>
      </c>
      <c r="N86" s="59">
        <f>IF(M86="","",IF(N(J86)=0,1,J86))</f>
        <v/>
      </c>
    </row>
    <row r="87">
      <c r="A87" s="53" t="n">
        <v>67</v>
      </c>
      <c r="B87" s="67" t="n"/>
      <c r="C87" s="55" t="n"/>
      <c r="D87" s="68" t="n"/>
      <c r="E87" s="68" t="n"/>
      <c r="F87" s="59">
        <f>IF(OR(E87="",D87=""),"",MAX(E87-D87,0))</f>
        <v/>
      </c>
      <c r="G87" s="59">
        <f>IF(F87="","",IF(N(C87)=0,1,C87))</f>
        <v/>
      </c>
      <c r="H87" s="53" t="n">
        <v>67</v>
      </c>
      <c r="I87" s="67" t="n"/>
      <c r="J87" s="55" t="n"/>
      <c r="K87" s="68" t="n"/>
      <c r="L87" s="68" t="n"/>
      <c r="M87" s="59">
        <f>IF(OR(L87="",K87=""),"",MAX(L87-K87,0))</f>
        <v/>
      </c>
      <c r="N87" s="59">
        <f>IF(M87="","",IF(N(J87)=0,1,J87))</f>
        <v/>
      </c>
    </row>
    <row r="88">
      <c r="A88" s="53" t="n">
        <v>68</v>
      </c>
      <c r="B88" s="67" t="n"/>
      <c r="C88" s="55" t="n"/>
      <c r="D88" s="68" t="n"/>
      <c r="E88" s="68" t="n"/>
      <c r="F88" s="59">
        <f>IF(OR(E88="",D88=""),"",MAX(E88-D88,0))</f>
        <v/>
      </c>
      <c r="G88" s="59">
        <f>IF(F88="","",IF(N(C88)=0,1,C88))</f>
        <v/>
      </c>
      <c r="H88" s="53" t="n">
        <v>68</v>
      </c>
      <c r="I88" s="67" t="n"/>
      <c r="J88" s="55" t="n"/>
      <c r="K88" s="68" t="n"/>
      <c r="L88" s="68" t="n"/>
      <c r="M88" s="59">
        <f>IF(OR(L88="",K88=""),"",MAX(L88-K88,0))</f>
        <v/>
      </c>
      <c r="N88" s="59">
        <f>IF(M88="","",IF(N(J88)=0,1,J88))</f>
        <v/>
      </c>
    </row>
    <row r="89">
      <c r="A89" s="53" t="n">
        <v>69</v>
      </c>
      <c r="B89" s="67" t="n"/>
      <c r="C89" s="55" t="n"/>
      <c r="D89" s="68" t="n"/>
      <c r="E89" s="68" t="n"/>
      <c r="F89" s="59">
        <f>IF(OR(E89="",D89=""),"",MAX(E89-D89,0))</f>
        <v/>
      </c>
      <c r="G89" s="59">
        <f>IF(F89="","",IF(N(C89)=0,1,C89))</f>
        <v/>
      </c>
      <c r="H89" s="53" t="n">
        <v>69</v>
      </c>
      <c r="I89" s="67" t="n"/>
      <c r="J89" s="55" t="n"/>
      <c r="K89" s="68" t="n"/>
      <c r="L89" s="68" t="n"/>
      <c r="M89" s="59">
        <f>IF(OR(L89="",K89=""),"",MAX(L89-K89,0))</f>
        <v/>
      </c>
      <c r="N89" s="59">
        <f>IF(M89="","",IF(N(J89)=0,1,J89))</f>
        <v/>
      </c>
    </row>
    <row r="90">
      <c r="A90" s="53" t="n">
        <v>70</v>
      </c>
      <c r="B90" s="67" t="n"/>
      <c r="C90" s="55" t="n"/>
      <c r="D90" s="68" t="n"/>
      <c r="E90" s="68" t="n"/>
      <c r="F90" s="59">
        <f>IF(OR(E90="",D90=""),"",MAX(E90-D90,0))</f>
        <v/>
      </c>
      <c r="G90" s="59">
        <f>IF(F90="","",IF(N(C90)=0,1,C90))</f>
        <v/>
      </c>
      <c r="H90" s="53" t="n">
        <v>70</v>
      </c>
      <c r="I90" s="67" t="n"/>
      <c r="J90" s="55" t="n"/>
      <c r="K90" s="68" t="n"/>
      <c r="L90" s="68" t="n"/>
      <c r="M90" s="59">
        <f>IF(OR(L90="",K90=""),"",MAX(L90-K90,0))</f>
        <v/>
      </c>
      <c r="N90" s="59">
        <f>IF(M90="","",IF(N(J90)=0,1,J90))</f>
        <v/>
      </c>
    </row>
    <row r="91">
      <c r="A91" s="53" t="n">
        <v>71</v>
      </c>
      <c r="B91" s="67" t="n"/>
      <c r="C91" s="55" t="n"/>
      <c r="D91" s="68" t="n"/>
      <c r="E91" s="68" t="n"/>
      <c r="F91" s="59">
        <f>IF(OR(E91="",D91=""),"",MAX(E91-D91,0))</f>
        <v/>
      </c>
      <c r="G91" s="59">
        <f>IF(F91="","",IF(N(C91)=0,1,C91))</f>
        <v/>
      </c>
      <c r="H91" s="53" t="n">
        <v>71</v>
      </c>
      <c r="I91" s="67" t="n"/>
      <c r="J91" s="55" t="n"/>
      <c r="K91" s="68" t="n"/>
      <c r="L91" s="68" t="n"/>
      <c r="M91" s="59">
        <f>IF(OR(L91="",K91=""),"",MAX(L91-K91,0))</f>
        <v/>
      </c>
      <c r="N91" s="59">
        <f>IF(M91="","",IF(N(J91)=0,1,J91))</f>
        <v/>
      </c>
    </row>
    <row r="92">
      <c r="A92" s="53" t="n">
        <v>72</v>
      </c>
      <c r="B92" s="67" t="n"/>
      <c r="C92" s="55" t="n"/>
      <c r="D92" s="68" t="n"/>
      <c r="E92" s="68" t="n"/>
      <c r="F92" s="59">
        <f>IF(OR(E92="",D92=""),"",MAX(E92-D92,0))</f>
        <v/>
      </c>
      <c r="G92" s="59">
        <f>IF(F92="","",IF(N(C92)=0,1,C92))</f>
        <v/>
      </c>
      <c r="H92" s="53" t="n">
        <v>72</v>
      </c>
      <c r="I92" s="67" t="n"/>
      <c r="J92" s="55" t="n"/>
      <c r="K92" s="68" t="n"/>
      <c r="L92" s="68" t="n"/>
      <c r="M92" s="59">
        <f>IF(OR(L92="",K92=""),"",MAX(L92-K92,0))</f>
        <v/>
      </c>
      <c r="N92" s="59">
        <f>IF(M92="","",IF(N(J92)=0,1,J92))</f>
        <v/>
      </c>
    </row>
    <row r="93">
      <c r="A93" s="53" t="n">
        <v>73</v>
      </c>
      <c r="B93" s="67" t="n"/>
      <c r="C93" s="55" t="n"/>
      <c r="D93" s="68" t="n"/>
      <c r="E93" s="68" t="n"/>
      <c r="F93" s="59">
        <f>IF(OR(E93="",D93=""),"",MAX(E93-D93,0))</f>
        <v/>
      </c>
      <c r="G93" s="59">
        <f>IF(F93="","",IF(N(C93)=0,1,C93))</f>
        <v/>
      </c>
      <c r="H93" s="53" t="n">
        <v>73</v>
      </c>
      <c r="I93" s="67" t="n"/>
      <c r="J93" s="55" t="n"/>
      <c r="K93" s="68" t="n"/>
      <c r="L93" s="68" t="n"/>
      <c r="M93" s="59">
        <f>IF(OR(L93="",K93=""),"",MAX(L93-K93,0))</f>
        <v/>
      </c>
      <c r="N93" s="59">
        <f>IF(M93="","",IF(N(J93)=0,1,J93))</f>
        <v/>
      </c>
    </row>
    <row r="94">
      <c r="A94" s="53" t="n">
        <v>74</v>
      </c>
      <c r="B94" s="67" t="n"/>
      <c r="C94" s="55" t="n"/>
      <c r="D94" s="68" t="n"/>
      <c r="E94" s="68" t="n"/>
      <c r="F94" s="59">
        <f>IF(OR(E94="",D94=""),"",MAX(E94-D94,0))</f>
        <v/>
      </c>
      <c r="G94" s="59">
        <f>IF(F94="","",IF(N(C94)=0,1,C94))</f>
        <v/>
      </c>
      <c r="H94" s="53" t="n">
        <v>74</v>
      </c>
      <c r="I94" s="67" t="n"/>
      <c r="J94" s="55" t="n"/>
      <c r="K94" s="68" t="n"/>
      <c r="L94" s="68" t="n"/>
      <c r="M94" s="59">
        <f>IF(OR(L94="",K94=""),"",MAX(L94-K94,0))</f>
        <v/>
      </c>
      <c r="N94" s="59">
        <f>IF(M94="","",IF(N(J94)=0,1,J94))</f>
        <v/>
      </c>
    </row>
    <row r="95">
      <c r="A95" s="53" t="n">
        <v>75</v>
      </c>
      <c r="B95" s="67" t="n"/>
      <c r="C95" s="55" t="n"/>
      <c r="D95" s="68" t="n"/>
      <c r="E95" s="68" t="n"/>
      <c r="F95" s="59">
        <f>IF(OR(E95="",D95=""),"",MAX(E95-D95,0))</f>
        <v/>
      </c>
      <c r="G95" s="59">
        <f>IF(F95="","",IF(N(C95)=0,1,C95))</f>
        <v/>
      </c>
      <c r="H95" s="53" t="n">
        <v>75</v>
      </c>
      <c r="I95" s="67" t="n"/>
      <c r="J95" s="55" t="n"/>
      <c r="K95" s="68" t="n"/>
      <c r="L95" s="68" t="n"/>
      <c r="M95" s="59">
        <f>IF(OR(L95="",K95=""),"",MAX(L95-K95,0))</f>
        <v/>
      </c>
      <c r="N95" s="59">
        <f>IF(M95="","",IF(N(J95)=0,1,J95))</f>
        <v/>
      </c>
    </row>
    <row r="96">
      <c r="A96" s="53" t="n">
        <v>76</v>
      </c>
      <c r="B96" s="67" t="n"/>
      <c r="C96" s="55" t="n"/>
      <c r="D96" s="68" t="n"/>
      <c r="E96" s="68" t="n"/>
      <c r="F96" s="59">
        <f>IF(OR(E96="",D96=""),"",MAX(E96-D96,0))</f>
        <v/>
      </c>
      <c r="G96" s="59">
        <f>IF(F96="","",IF(N(C96)=0,1,C96))</f>
        <v/>
      </c>
      <c r="H96" s="53" t="n">
        <v>76</v>
      </c>
      <c r="I96" s="67" t="n"/>
      <c r="J96" s="55" t="n"/>
      <c r="K96" s="68" t="n"/>
      <c r="L96" s="68" t="n"/>
      <c r="M96" s="59">
        <f>IF(OR(L96="",K96=""),"",MAX(L96-K96,0))</f>
        <v/>
      </c>
      <c r="N96" s="59">
        <f>IF(M96="","",IF(N(J96)=0,1,J96))</f>
        <v/>
      </c>
    </row>
    <row r="97">
      <c r="A97" s="53" t="n">
        <v>77</v>
      </c>
      <c r="B97" s="67" t="n"/>
      <c r="C97" s="55" t="n"/>
      <c r="D97" s="68" t="n"/>
      <c r="E97" s="68" t="n"/>
      <c r="F97" s="59">
        <f>IF(OR(E97="",D97=""),"",MAX(E97-D97,0))</f>
        <v/>
      </c>
      <c r="G97" s="59">
        <f>IF(F97="","",IF(N(C97)=0,1,C97))</f>
        <v/>
      </c>
      <c r="H97" s="53" t="n">
        <v>77</v>
      </c>
      <c r="I97" s="67" t="n"/>
      <c r="J97" s="55" t="n"/>
      <c r="K97" s="68" t="n"/>
      <c r="L97" s="68" t="n"/>
      <c r="M97" s="59">
        <f>IF(OR(L97="",K97=""),"",MAX(L97-K97,0))</f>
        <v/>
      </c>
      <c r="N97" s="59">
        <f>IF(M97="","",IF(N(J97)=0,1,J97))</f>
        <v/>
      </c>
    </row>
    <row r="98">
      <c r="A98" s="53" t="n">
        <v>78</v>
      </c>
      <c r="B98" s="67" t="n"/>
      <c r="C98" s="55" t="n"/>
      <c r="D98" s="68" t="n"/>
      <c r="E98" s="68" t="n"/>
      <c r="F98" s="59">
        <f>IF(OR(E98="",D98=""),"",MAX(E98-D98,0))</f>
        <v/>
      </c>
      <c r="G98" s="59">
        <f>IF(F98="","",IF(N(C98)=0,1,C98))</f>
        <v/>
      </c>
      <c r="H98" s="53" t="n">
        <v>78</v>
      </c>
      <c r="I98" s="67" t="n"/>
      <c r="J98" s="55" t="n"/>
      <c r="K98" s="68" t="n"/>
      <c r="L98" s="68" t="n"/>
      <c r="M98" s="59">
        <f>IF(OR(L98="",K98=""),"",MAX(L98-K98,0))</f>
        <v/>
      </c>
      <c r="N98" s="59">
        <f>IF(M98="","",IF(N(J98)=0,1,J98))</f>
        <v/>
      </c>
    </row>
    <row r="99">
      <c r="A99" s="53" t="n">
        <v>79</v>
      </c>
      <c r="B99" s="67" t="n"/>
      <c r="C99" s="55" t="n"/>
      <c r="D99" s="68" t="n"/>
      <c r="E99" s="68" t="n"/>
      <c r="F99" s="59">
        <f>IF(OR(E99="",D99=""),"",MAX(E99-D99,0))</f>
        <v/>
      </c>
      <c r="G99" s="59">
        <f>IF(F99="","",IF(N(C99)=0,1,C99))</f>
        <v/>
      </c>
      <c r="H99" s="53" t="n">
        <v>79</v>
      </c>
      <c r="I99" s="67" t="n"/>
      <c r="J99" s="55" t="n"/>
      <c r="K99" s="68" t="n"/>
      <c r="L99" s="68" t="n"/>
      <c r="M99" s="59">
        <f>IF(OR(L99="",K99=""),"",MAX(L99-K99,0))</f>
        <v/>
      </c>
      <c r="N99" s="59">
        <f>IF(M99="","",IF(N(J99)=0,1,J99))</f>
        <v/>
      </c>
    </row>
    <row r="100">
      <c r="A100" s="53" t="n">
        <v>80</v>
      </c>
      <c r="B100" s="67" t="n"/>
      <c r="C100" s="55" t="n"/>
      <c r="D100" s="68" t="n"/>
      <c r="E100" s="68" t="n"/>
      <c r="F100" s="59">
        <f>IF(OR(E100="",D100=""),"",MAX(E100-D100,0))</f>
        <v/>
      </c>
      <c r="G100" s="59">
        <f>IF(F100="","",IF(N(C100)=0,1,C100))</f>
        <v/>
      </c>
      <c r="H100" s="53" t="n">
        <v>80</v>
      </c>
      <c r="I100" s="67" t="n"/>
      <c r="J100" s="55" t="n"/>
      <c r="K100" s="68" t="n"/>
      <c r="L100" s="68" t="n"/>
      <c r="M100" s="59">
        <f>IF(OR(L100="",K100=""),"",MAX(L100-K100,0))</f>
        <v/>
      </c>
      <c r="N100" s="59">
        <f>IF(M100="","",IF(N(J100)=0,1,J100))</f>
        <v/>
      </c>
    </row>
    <row r="101">
      <c r="A101" s="60" t="n"/>
      <c r="B101" s="61" t="inlineStr">
        <is>
          <t>Total</t>
        </is>
      </c>
      <c r="C101" s="65">
        <f>SUM(C21:C100)</f>
        <v/>
      </c>
      <c r="D101" s="60" t="n"/>
      <c r="E101" s="60" t="n"/>
      <c r="F101" s="62">
        <f>IF(N(G101)=0,"",SUMPRODUCT(F21:F100,G21:G100)/G101)</f>
        <v/>
      </c>
      <c r="G101" s="65">
        <f>SUM(G21:G100)</f>
        <v/>
      </c>
      <c r="H101" s="60" t="n"/>
      <c r="I101" s="61" t="inlineStr">
        <is>
          <t>Total</t>
        </is>
      </c>
      <c r="J101" s="65">
        <f>SUM(J21:J100)</f>
        <v/>
      </c>
      <c r="K101" s="60" t="n"/>
      <c r="L101" s="60" t="n"/>
      <c r="M101" s="62">
        <f>IF(N(N101)=0,"",SUMPRODUCT(M21:M100,N21:N100)/N101)</f>
        <v/>
      </c>
      <c r="N101" s="65">
        <f>SUM(N21:N100)</f>
        <v/>
      </c>
    </row>
    <row r="102">
      <c r="B102" s="66" t="inlineStr">
        <is>
          <t>Insert rows above the Total row as necessary and copy the formulas of the 'Time to Hire' and 'Posts Filled' columns into the new rows. Blank 'No. of Posts' on a filled position counts as 1 post.</t>
        </is>
      </c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IK1mo3n2o9zLr8wGMYhctA==" formatRows="0" sort="1" spinCount="100000" hashValue="BxtlLJhy4LlRWdVEjwrO4taZuxvjBDAYtqNtPV4JxIOlFYuzAu35PaQ28q55hr5X/YUx3By7q0/tp1NhUSsxrA=="/>
  <mergeCells count="24">
    <mergeCell ref="Y2:AA2"/>
    <mergeCell ref="Y1:AA1"/>
    <mergeCell ref="A18:C18"/>
    <mergeCell ref="Q1:S1"/>
    <mergeCell ref="D18:E19"/>
    <mergeCell ref="O1:O2"/>
    <mergeCell ref="A2:C2"/>
    <mergeCell ref="D1:F2"/>
    <mergeCell ref="W1:W2"/>
    <mergeCell ref="M18:N19"/>
    <mergeCell ref="H19:J19"/>
    <mergeCell ref="I1:K1"/>
    <mergeCell ref="AB1:AD2"/>
    <mergeCell ref="AE1:AE2"/>
    <mergeCell ref="Q2:S2"/>
    <mergeCell ref="A19:C19"/>
    <mergeCell ref="H18:J18"/>
    <mergeCell ref="K18:L19"/>
    <mergeCell ref="G1:G2"/>
    <mergeCell ref="L1:N2"/>
    <mergeCell ref="I2:K2"/>
    <mergeCell ref="A1:C1"/>
    <mergeCell ref="T1:V2"/>
    <mergeCell ref="F18:G19"/>
  </mergeCells>
  <dataValidations count="5">
    <dataValidation sqref="D21:E10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C21:C100" showDropDown="0" showInputMessage="0" showErrorMessage="1" allowBlank="1" error="No. of Posts must be a whole number &gt;= 1." type="whole" operator="greaterThanOrEqual">
      <formula1>1</formula1>
    </dataValidation>
    <dataValidation sqref="K21:L10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J21:J100" showDropDown="0" showInputMessage="0" showErrorMessage="1" allowBlank="1" error="No. of Posts must be a whole number &gt;= 1." type="whole" operator="greaterThanOrEqual">
      <formula1>1</formula1>
    </dataValidation>
    <dataValidation sqref="D4:D15" showDropDown="0" showInputMessage="0" showErrorMessage="1" allowBlank="1" error="Working days must be between 0 and 31." type="whole" operator="between">
      <formula1>0</formula1>
      <formula2>31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2026-09-26T17:33:36Z</dcterms:created>
  <dcterms:modified xsi:type="dcterms:W3CDTF">2026-09-26T17:33:44Z</dcterms:modified>
</cp:coreProperties>
</file>