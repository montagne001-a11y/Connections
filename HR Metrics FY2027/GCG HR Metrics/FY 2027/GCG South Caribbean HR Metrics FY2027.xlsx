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Calloway_AUA)" sheetId="14" state="visible" r:id="rId14"/>
    <sheet name="(Airport_BRB)" sheetId="15" state="visible" r:id="rId15"/>
    <sheet name="(GCG_BRB)" sheetId="16" state="visible" r:id="rId16"/>
    <sheet name="(Ground_BRB)" sheetId="17" state="visible" r:id="rId17"/>
    <sheet name="(GCG_CUR)" sheetId="18" state="visible" r:id="rId18"/>
    <sheet name="(Events_CUR)" sheetId="19" state="visible" r:id="rId19"/>
    <sheet name="(GCG_SXM_Sky)" sheetId="20" state="visible" r:id="rId20"/>
    <sheet name="(GCG_SXM_Airport)" sheetId="21" state="visible" r:id="rId21"/>
    <sheet name="(Allied_TTO)" sheetId="22" state="visible" r:id="rId22"/>
    <sheet name="(Katerserv_TTO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omments/comment1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O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 SOUTH CARIBBEAN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OCT!M3</f>
        <v/>
      </c>
      <c r="D3" s="11">
        <f>NOV!M3</f>
        <v/>
      </c>
      <c r="E3" s="11">
        <f>DEC!M3</f>
        <v/>
      </c>
      <c r="F3" s="12">
        <f>IFERROR(AVERAGE(C3:E3),"")</f>
        <v/>
      </c>
      <c r="G3" s="11">
        <f>JAN!M3</f>
        <v/>
      </c>
      <c r="H3" s="11">
        <f>FEB!M3</f>
        <v/>
      </c>
      <c r="I3" s="11">
        <f>MAR!M3</f>
        <v/>
      </c>
      <c r="J3" s="12">
        <f>IFERROR(AVERAGE(G3:I3),"")</f>
        <v/>
      </c>
      <c r="K3" s="11">
        <f>APR!M3</f>
        <v/>
      </c>
      <c r="L3" s="11">
        <f>MAY!M3</f>
        <v/>
      </c>
      <c r="M3" s="11">
        <f>JUN!M3</f>
        <v/>
      </c>
      <c r="N3" s="12">
        <f>IFERROR(AVERAGE(K3:M3),"")</f>
        <v/>
      </c>
      <c r="O3" s="11">
        <f>JUL!M3</f>
        <v/>
      </c>
      <c r="P3" s="11">
        <f>AUG!M3</f>
        <v/>
      </c>
      <c r="Q3" s="11">
        <f>SEP!M3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OCT!M4</f>
        <v/>
      </c>
      <c r="D4" s="11">
        <f>NOV!M4</f>
        <v/>
      </c>
      <c r="E4" s="11">
        <f>DEC!M4</f>
        <v/>
      </c>
      <c r="F4" s="12">
        <f>IFERROR(AVERAGE(C4:E4),"")</f>
        <v/>
      </c>
      <c r="G4" s="11">
        <f>JAN!M4</f>
        <v/>
      </c>
      <c r="H4" s="11">
        <f>FEB!M4</f>
        <v/>
      </c>
      <c r="I4" s="11">
        <f>MAR!M4</f>
        <v/>
      </c>
      <c r="J4" s="12">
        <f>IFERROR(AVERAGE(G4:I4),"")</f>
        <v/>
      </c>
      <c r="K4" s="11">
        <f>APR!M4</f>
        <v/>
      </c>
      <c r="L4" s="11">
        <f>MAY!M4</f>
        <v/>
      </c>
      <c r="M4" s="11">
        <f>JUN!M4</f>
        <v/>
      </c>
      <c r="N4" s="12">
        <f>IFERROR(AVERAGE(K4:M4),"")</f>
        <v/>
      </c>
      <c r="O4" s="11">
        <f>JUL!M4</f>
        <v/>
      </c>
      <c r="P4" s="11">
        <f>AUG!M4</f>
        <v/>
      </c>
      <c r="Q4" s="11">
        <f>SEP!M4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OCT!M5</f>
        <v/>
      </c>
      <c r="D5" s="11">
        <f>NOV!M5</f>
        <v/>
      </c>
      <c r="E5" s="11">
        <f>DEC!M5</f>
        <v/>
      </c>
      <c r="F5" s="12">
        <f>IF(COUNT(F3:F4)=0,"",SUM(F3:F4))</f>
        <v/>
      </c>
      <c r="G5" s="11">
        <f>JAN!M5</f>
        <v/>
      </c>
      <c r="H5" s="11">
        <f>FEB!M5</f>
        <v/>
      </c>
      <c r="I5" s="11">
        <f>MAR!M5</f>
        <v/>
      </c>
      <c r="J5" s="12">
        <f>IF(COUNT(J3:J4)=0,"",SUM(J3:J4))</f>
        <v/>
      </c>
      <c r="K5" s="11">
        <f>APR!M5</f>
        <v/>
      </c>
      <c r="L5" s="11">
        <f>MAY!M5</f>
        <v/>
      </c>
      <c r="M5" s="11">
        <f>JUN!M5</f>
        <v/>
      </c>
      <c r="N5" s="12">
        <f>IF(COUNT(N3:N4)=0,"",SUM(N3:N4))</f>
        <v/>
      </c>
      <c r="O5" s="11">
        <f>JUL!M5</f>
        <v/>
      </c>
      <c r="P5" s="11">
        <f>AUG!M5</f>
        <v/>
      </c>
      <c r="Q5" s="11">
        <f>SEP!M5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OCT!M6</f>
        <v/>
      </c>
      <c r="D6" s="11">
        <f>NOV!M6</f>
        <v/>
      </c>
      <c r="E6" s="11">
        <f>DEC!M6</f>
        <v/>
      </c>
      <c r="F6" s="12">
        <f>IFERROR(AVERAGE(C6:E6),"")</f>
        <v/>
      </c>
      <c r="G6" s="11">
        <f>JAN!M6</f>
        <v/>
      </c>
      <c r="H6" s="11">
        <f>FEB!M6</f>
        <v/>
      </c>
      <c r="I6" s="11">
        <f>MAR!M6</f>
        <v/>
      </c>
      <c r="J6" s="12">
        <f>IFERROR(AVERAGE(G6:I6),"")</f>
        <v/>
      </c>
      <c r="K6" s="11">
        <f>APR!M6</f>
        <v/>
      </c>
      <c r="L6" s="11">
        <f>MAY!M6</f>
        <v/>
      </c>
      <c r="M6" s="11">
        <f>JUN!M6</f>
        <v/>
      </c>
      <c r="N6" s="12">
        <f>IFERROR(AVERAGE(K6:M6),"")</f>
        <v/>
      </c>
      <c r="O6" s="11">
        <f>JUL!M6</f>
        <v/>
      </c>
      <c r="P6" s="11">
        <f>AUG!M6</f>
        <v/>
      </c>
      <c r="Q6" s="11">
        <f>SEP!M6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OCT!M7</f>
        <v/>
      </c>
      <c r="D7" s="11">
        <f>NOV!M7</f>
        <v/>
      </c>
      <c r="E7" s="11">
        <f>DEC!M7</f>
        <v/>
      </c>
      <c r="F7" s="12">
        <f>IFERROR(AVERAGE(C7:E7),"")</f>
        <v/>
      </c>
      <c r="G7" s="11">
        <f>JAN!M7</f>
        <v/>
      </c>
      <c r="H7" s="11">
        <f>FEB!M7</f>
        <v/>
      </c>
      <c r="I7" s="11">
        <f>MAR!M7</f>
        <v/>
      </c>
      <c r="J7" s="12">
        <f>IFERROR(AVERAGE(G7:I7),"")</f>
        <v/>
      </c>
      <c r="K7" s="11">
        <f>APR!M7</f>
        <v/>
      </c>
      <c r="L7" s="11">
        <f>MAY!M7</f>
        <v/>
      </c>
      <c r="M7" s="11">
        <f>JUN!M7</f>
        <v/>
      </c>
      <c r="N7" s="12">
        <f>IFERROR(AVERAGE(K7:M7),"")</f>
        <v/>
      </c>
      <c r="O7" s="11">
        <f>JUL!M7</f>
        <v/>
      </c>
      <c r="P7" s="11">
        <f>AUG!M7</f>
        <v/>
      </c>
      <c r="Q7" s="11">
        <f>SEP!M7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OCT!M8</f>
        <v/>
      </c>
      <c r="D8" s="11">
        <f>NOV!M8</f>
        <v/>
      </c>
      <c r="E8" s="11">
        <f>DEC!M8</f>
        <v/>
      </c>
      <c r="F8" s="12">
        <f>IFERROR(AVERAGE(C8:E8),"")</f>
        <v/>
      </c>
      <c r="G8" s="11">
        <f>JAN!M8</f>
        <v/>
      </c>
      <c r="H8" s="11">
        <f>FEB!M8</f>
        <v/>
      </c>
      <c r="I8" s="11">
        <f>MAR!M8</f>
        <v/>
      </c>
      <c r="J8" s="12">
        <f>IFERROR(AVERAGE(G8:I8),"")</f>
        <v/>
      </c>
      <c r="K8" s="11">
        <f>APR!M8</f>
        <v/>
      </c>
      <c r="L8" s="11">
        <f>MAY!M8</f>
        <v/>
      </c>
      <c r="M8" s="11">
        <f>JUN!M8</f>
        <v/>
      </c>
      <c r="N8" s="12">
        <f>IFERROR(AVERAGE(K8:M8),"")</f>
        <v/>
      </c>
      <c r="O8" s="11">
        <f>JUL!M8</f>
        <v/>
      </c>
      <c r="P8" s="11">
        <f>AUG!M8</f>
        <v/>
      </c>
      <c r="Q8" s="11">
        <f>SEP!M8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OCT!M9</f>
        <v/>
      </c>
      <c r="D9" s="11">
        <f>NOV!M9</f>
        <v/>
      </c>
      <c r="E9" s="11">
        <f>DEC!M9</f>
        <v/>
      </c>
      <c r="F9" s="12">
        <f>IFERROR(AVERAGE(C9:E9),"")</f>
        <v/>
      </c>
      <c r="G9" s="11">
        <f>JAN!M9</f>
        <v/>
      </c>
      <c r="H9" s="11">
        <f>FEB!M9</f>
        <v/>
      </c>
      <c r="I9" s="11">
        <f>MAR!M9</f>
        <v/>
      </c>
      <c r="J9" s="12">
        <f>IFERROR(AVERAGE(G9:I9),"")</f>
        <v/>
      </c>
      <c r="K9" s="11">
        <f>APR!M9</f>
        <v/>
      </c>
      <c r="L9" s="11">
        <f>MAY!M9</f>
        <v/>
      </c>
      <c r="M9" s="11">
        <f>JUN!M9</f>
        <v/>
      </c>
      <c r="N9" s="12">
        <f>IFERROR(AVERAGE(K9:M9),"")</f>
        <v/>
      </c>
      <c r="O9" s="11">
        <f>JUL!M9</f>
        <v/>
      </c>
      <c r="P9" s="11">
        <f>AUG!M9</f>
        <v/>
      </c>
      <c r="Q9" s="11">
        <f>SEP!M9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OCT!M10</f>
        <v/>
      </c>
      <c r="D10" s="14">
        <f>NOV!M10</f>
        <v/>
      </c>
      <c r="E10" s="14">
        <f>DEC!M10</f>
        <v/>
      </c>
      <c r="F10" s="15">
        <f>IFERROR(AVERAGE(C10:E10),"")</f>
        <v/>
      </c>
      <c r="G10" s="14">
        <f>JAN!M10</f>
        <v/>
      </c>
      <c r="H10" s="14">
        <f>FEB!M10</f>
        <v/>
      </c>
      <c r="I10" s="14">
        <f>MAR!M10</f>
        <v/>
      </c>
      <c r="J10" s="15">
        <f>IFERROR(AVERAGE(G10:I10),"")</f>
        <v/>
      </c>
      <c r="K10" s="14">
        <f>APR!M10</f>
        <v/>
      </c>
      <c r="L10" s="14">
        <f>MAY!M10</f>
        <v/>
      </c>
      <c r="M10" s="14">
        <f>JUN!M10</f>
        <v/>
      </c>
      <c r="N10" s="15">
        <f>IFERROR(AVERAGE(K10:M10),"")</f>
        <v/>
      </c>
      <c r="O10" s="14">
        <f>JUL!M10</f>
        <v/>
      </c>
      <c r="P10" s="14">
        <f>AUG!M10</f>
        <v/>
      </c>
      <c r="Q10" s="14">
        <f>SEP!M10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OCT!M11</f>
        <v/>
      </c>
      <c r="D11" s="16">
        <f>NOV!M11</f>
        <v/>
      </c>
      <c r="E11" s="16">
        <f>DEC!M11</f>
        <v/>
      </c>
      <c r="F11" s="17">
        <f>IF(COUNT(F6:F9)=0,"",N(F6)+N(F7)*0.75+N(F8)*0.5+N(F9)*0.25)</f>
        <v/>
      </c>
      <c r="G11" s="16">
        <f>JAN!M11</f>
        <v/>
      </c>
      <c r="H11" s="16">
        <f>FEB!M11</f>
        <v/>
      </c>
      <c r="I11" s="16">
        <f>MAR!M11</f>
        <v/>
      </c>
      <c r="J11" s="17">
        <f>IF(COUNT(J6:J9)=0,"",N(J6)+N(J7)*0.75+N(J8)*0.5+N(J9)*0.25)</f>
        <v/>
      </c>
      <c r="K11" s="16">
        <f>APR!M11</f>
        <v/>
      </c>
      <c r="L11" s="16">
        <f>MAY!M11</f>
        <v/>
      </c>
      <c r="M11" s="16">
        <f>JUN!M11</f>
        <v/>
      </c>
      <c r="N11" s="17">
        <f>IF(COUNT(N6:N9)=0,"",N(N6)+N(N7)*0.75+N(N8)*0.5+N(N9)*0.25)</f>
        <v/>
      </c>
      <c r="O11" s="16">
        <f>JUL!M11</f>
        <v/>
      </c>
      <c r="P11" s="16">
        <f>AUG!M11</f>
        <v/>
      </c>
      <c r="Q11" s="16">
        <f>SEP!M11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OCT!M12</f>
        <v/>
      </c>
      <c r="D12" s="11">
        <f>NOV!M12</f>
        <v/>
      </c>
      <c r="E12" s="11">
        <f>DEC!M12</f>
        <v/>
      </c>
      <c r="F12" s="12">
        <f>IFERROR(AVERAGE(C12:E12),"")</f>
        <v/>
      </c>
      <c r="G12" s="11">
        <f>JAN!M12</f>
        <v/>
      </c>
      <c r="H12" s="11">
        <f>FEB!M12</f>
        <v/>
      </c>
      <c r="I12" s="11">
        <f>MAR!M12</f>
        <v/>
      </c>
      <c r="J12" s="12">
        <f>IFERROR(AVERAGE(G12:I12),"")</f>
        <v/>
      </c>
      <c r="K12" s="11">
        <f>APR!M12</f>
        <v/>
      </c>
      <c r="L12" s="11">
        <f>MAY!M12</f>
        <v/>
      </c>
      <c r="M12" s="11">
        <f>JUN!M12</f>
        <v/>
      </c>
      <c r="N12" s="12">
        <f>IFERROR(AVERAGE(K12:M12),"")</f>
        <v/>
      </c>
      <c r="O12" s="11">
        <f>JUL!M12</f>
        <v/>
      </c>
      <c r="P12" s="11">
        <f>AUG!M12</f>
        <v/>
      </c>
      <c r="Q12" s="11">
        <f>SEP!M12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OCT!M13</f>
        <v/>
      </c>
      <c r="D13" s="14">
        <f>NOV!M13</f>
        <v/>
      </c>
      <c r="E13" s="14">
        <f>DEC!M13</f>
        <v/>
      </c>
      <c r="F13" s="15">
        <f>IFERROR(AVERAGE(C13:E13),"")</f>
        <v/>
      </c>
      <c r="G13" s="14">
        <f>JAN!M13</f>
        <v/>
      </c>
      <c r="H13" s="14">
        <f>FEB!M13</f>
        <v/>
      </c>
      <c r="I13" s="14">
        <f>MAR!M13</f>
        <v/>
      </c>
      <c r="J13" s="15">
        <f>IFERROR(AVERAGE(G13:I13),"")</f>
        <v/>
      </c>
      <c r="K13" s="14">
        <f>APR!M13</f>
        <v/>
      </c>
      <c r="L13" s="14">
        <f>MAY!M13</f>
        <v/>
      </c>
      <c r="M13" s="14">
        <f>JUN!M13</f>
        <v/>
      </c>
      <c r="N13" s="15">
        <f>IFERROR(AVERAGE(K13:M13),"")</f>
        <v/>
      </c>
      <c r="O13" s="14">
        <f>JUL!M13</f>
        <v/>
      </c>
      <c r="P13" s="14">
        <f>AUG!M13</f>
        <v/>
      </c>
      <c r="Q13" s="14">
        <f>SEP!M13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OCT!M14</f>
        <v/>
      </c>
      <c r="D14" s="16">
        <f>NOV!M14</f>
        <v/>
      </c>
      <c r="E14" s="16">
        <f>DEC!M14</f>
        <v/>
      </c>
      <c r="F14" s="17">
        <f>IFERROR(F13/F10,"")</f>
        <v/>
      </c>
      <c r="G14" s="16">
        <f>JAN!M14</f>
        <v/>
      </c>
      <c r="H14" s="16">
        <f>FEB!M14</f>
        <v/>
      </c>
      <c r="I14" s="16">
        <f>MAR!M14</f>
        <v/>
      </c>
      <c r="J14" s="17">
        <f>IFERROR(J13/J10,"")</f>
        <v/>
      </c>
      <c r="K14" s="16">
        <f>APR!M14</f>
        <v/>
      </c>
      <c r="L14" s="16">
        <f>MAY!M14</f>
        <v/>
      </c>
      <c r="M14" s="16">
        <f>JUN!M14</f>
        <v/>
      </c>
      <c r="N14" s="17">
        <f>IFERROR(N13/N10,"")</f>
        <v/>
      </c>
      <c r="O14" s="16">
        <f>JUL!M14</f>
        <v/>
      </c>
      <c r="P14" s="16">
        <f>AUG!M14</f>
        <v/>
      </c>
      <c r="Q14" s="16">
        <f>SEP!M14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OCT!M15</f>
        <v/>
      </c>
      <c r="D15" s="11">
        <f>NOV!M15</f>
        <v/>
      </c>
      <c r="E15" s="11">
        <f>DEC!M15</f>
        <v/>
      </c>
      <c r="F15" s="12">
        <f>IF(COUNT(F5,F12)=0,"",SUM(F5,F12))</f>
        <v/>
      </c>
      <c r="G15" s="11">
        <f>JAN!M15</f>
        <v/>
      </c>
      <c r="H15" s="11">
        <f>FEB!M15</f>
        <v/>
      </c>
      <c r="I15" s="11">
        <f>MAR!M15</f>
        <v/>
      </c>
      <c r="J15" s="12">
        <f>IF(COUNT(J5,J12)=0,"",SUM(J5,J12))</f>
        <v/>
      </c>
      <c r="K15" s="11">
        <f>APR!M15</f>
        <v/>
      </c>
      <c r="L15" s="11">
        <f>MAY!M15</f>
        <v/>
      </c>
      <c r="M15" s="11">
        <f>JUN!M15</f>
        <v/>
      </c>
      <c r="N15" s="12">
        <f>IF(COUNT(N5,N12)=0,"",SUM(N5,N12))</f>
        <v/>
      </c>
      <c r="O15" s="11">
        <f>JUL!M15</f>
        <v/>
      </c>
      <c r="P15" s="11">
        <f>AUG!M15</f>
        <v/>
      </c>
      <c r="Q15" s="11">
        <f>SEP!M15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OCT!M16</f>
        <v/>
      </c>
      <c r="D16" s="16">
        <f>NOV!M16</f>
        <v/>
      </c>
      <c r="E16" s="16">
        <f>DEC!M16</f>
        <v/>
      </c>
      <c r="F16" s="17">
        <f>IF(COUNT(F11,F14)=0,"",SUM(F11,F14))</f>
        <v/>
      </c>
      <c r="G16" s="16">
        <f>JAN!M16</f>
        <v/>
      </c>
      <c r="H16" s="16">
        <f>FEB!M16</f>
        <v/>
      </c>
      <c r="I16" s="16">
        <f>MAR!M16</f>
        <v/>
      </c>
      <c r="J16" s="17">
        <f>IF(COUNT(J11,J14)=0,"",SUM(J11,J14))</f>
        <v/>
      </c>
      <c r="K16" s="16">
        <f>APR!M16</f>
        <v/>
      </c>
      <c r="L16" s="16">
        <f>MAY!M16</f>
        <v/>
      </c>
      <c r="M16" s="16">
        <f>JUN!M16</f>
        <v/>
      </c>
      <c r="N16" s="17">
        <f>IF(COUNT(N11,N14)=0,"",SUM(N11,N14))</f>
        <v/>
      </c>
      <c r="O16" s="16">
        <f>JUL!M16</f>
        <v/>
      </c>
      <c r="P16" s="16">
        <f>AUG!M16</f>
        <v/>
      </c>
      <c r="Q16" s="16">
        <f>SEP!M16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OCT!M17</f>
        <v/>
      </c>
      <c r="D17" s="19">
        <f>NOV!M17</f>
        <v/>
      </c>
      <c r="E17" s="19">
        <f>DEC!M17</f>
        <v/>
      </c>
      <c r="F17" s="20">
        <f>IFERROR(F12/F15,"")</f>
        <v/>
      </c>
      <c r="G17" s="19">
        <f>JAN!M17</f>
        <v/>
      </c>
      <c r="H17" s="19">
        <f>FEB!M17</f>
        <v/>
      </c>
      <c r="I17" s="19">
        <f>MAR!M17</f>
        <v/>
      </c>
      <c r="J17" s="20">
        <f>IFERROR(J12/J15,"")</f>
        <v/>
      </c>
      <c r="K17" s="19">
        <f>APR!M17</f>
        <v/>
      </c>
      <c r="L17" s="19">
        <f>MAY!M17</f>
        <v/>
      </c>
      <c r="M17" s="19">
        <f>JUN!M17</f>
        <v/>
      </c>
      <c r="N17" s="20">
        <f>IFERROR(N12/N15,"")</f>
        <v/>
      </c>
      <c r="O17" s="19">
        <f>JUL!M17</f>
        <v/>
      </c>
      <c r="P17" s="19">
        <f>AUG!M17</f>
        <v/>
      </c>
      <c r="Q17" s="19">
        <f>SEP!M17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OCT!M18</f>
        <v/>
      </c>
      <c r="D18" s="11">
        <f>NOV!M18</f>
        <v/>
      </c>
      <c r="E18" s="11">
        <f>DEC!M18</f>
        <v/>
      </c>
      <c r="F18" s="12">
        <f>IFERROR(AVERAGE(C18:E18),"")</f>
        <v/>
      </c>
      <c r="G18" s="11">
        <f>JAN!M18</f>
        <v/>
      </c>
      <c r="H18" s="11">
        <f>FEB!M18</f>
        <v/>
      </c>
      <c r="I18" s="11">
        <f>MAR!M18</f>
        <v/>
      </c>
      <c r="J18" s="12">
        <f>IFERROR(AVERAGE(G18:I18),"")</f>
        <v/>
      </c>
      <c r="K18" s="11">
        <f>APR!M18</f>
        <v/>
      </c>
      <c r="L18" s="11">
        <f>MAY!M18</f>
        <v/>
      </c>
      <c r="M18" s="11">
        <f>JUN!M18</f>
        <v/>
      </c>
      <c r="N18" s="12">
        <f>IFERROR(AVERAGE(K18:M18),"")</f>
        <v/>
      </c>
      <c r="O18" s="11">
        <f>JUL!M18</f>
        <v/>
      </c>
      <c r="P18" s="11">
        <f>AUG!M18</f>
        <v/>
      </c>
      <c r="Q18" s="11">
        <f>SEP!M18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OCT!M19</f>
        <v/>
      </c>
      <c r="D19" s="11">
        <f>NOV!M19</f>
        <v/>
      </c>
      <c r="E19" s="11">
        <f>DEC!M19</f>
        <v/>
      </c>
      <c r="F19" s="12">
        <f>IF(COUNT(C19:E19)=0,"",SUM(C19:E19))</f>
        <v/>
      </c>
      <c r="G19" s="11">
        <f>JAN!M19</f>
        <v/>
      </c>
      <c r="H19" s="11">
        <f>FEB!M19</f>
        <v/>
      </c>
      <c r="I19" s="11">
        <f>MAR!M19</f>
        <v/>
      </c>
      <c r="J19" s="12">
        <f>IF(COUNT(G19:I19)=0,"",SUM(G19:I19))</f>
        <v/>
      </c>
      <c r="K19" s="11">
        <f>APR!M19</f>
        <v/>
      </c>
      <c r="L19" s="11">
        <f>MAY!M19</f>
        <v/>
      </c>
      <c r="M19" s="11">
        <f>JUN!M19</f>
        <v/>
      </c>
      <c r="N19" s="12">
        <f>IF(COUNT(K19:M19)=0,"",SUM(K19:M19))</f>
        <v/>
      </c>
      <c r="O19" s="11">
        <f>JUL!M19</f>
        <v/>
      </c>
      <c r="P19" s="11">
        <f>AUG!M19</f>
        <v/>
      </c>
      <c r="Q19" s="11">
        <f>SEP!M19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OCT!M20</f>
        <v/>
      </c>
      <c r="D20" s="11">
        <f>NOV!M20</f>
        <v/>
      </c>
      <c r="E20" s="11">
        <f>DEC!M20</f>
        <v/>
      </c>
      <c r="F20" s="12">
        <f>IF(COUNT(C20:E20)=0,"",SUM(C20:E20))</f>
        <v/>
      </c>
      <c r="G20" s="11">
        <f>JAN!M20</f>
        <v/>
      </c>
      <c r="H20" s="11">
        <f>FEB!M20</f>
        <v/>
      </c>
      <c r="I20" s="11">
        <f>MAR!M20</f>
        <v/>
      </c>
      <c r="J20" s="12">
        <f>IF(COUNT(G20:I20)=0,"",SUM(G20:I20))</f>
        <v/>
      </c>
      <c r="K20" s="11">
        <f>APR!M20</f>
        <v/>
      </c>
      <c r="L20" s="11">
        <f>MAY!M20</f>
        <v/>
      </c>
      <c r="M20" s="11">
        <f>JUN!M20</f>
        <v/>
      </c>
      <c r="N20" s="12">
        <f>IF(COUNT(K20:M20)=0,"",SUM(K20:M20))</f>
        <v/>
      </c>
      <c r="O20" s="11">
        <f>JUL!M20</f>
        <v/>
      </c>
      <c r="P20" s="11">
        <f>AUG!M20</f>
        <v/>
      </c>
      <c r="Q20" s="11">
        <f>SEP!M20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OCT!M21</f>
        <v/>
      </c>
      <c r="D21" s="11">
        <f>NOV!M21</f>
        <v/>
      </c>
      <c r="E21" s="11">
        <f>DEC!M21</f>
        <v/>
      </c>
      <c r="F21" s="12">
        <f>IF(COUNT(F19:F20)=0,"",SUM(F19:F20))</f>
        <v/>
      </c>
      <c r="G21" s="11">
        <f>JAN!M21</f>
        <v/>
      </c>
      <c r="H21" s="11">
        <f>FEB!M21</f>
        <v/>
      </c>
      <c r="I21" s="11">
        <f>MAR!M21</f>
        <v/>
      </c>
      <c r="J21" s="12">
        <f>IF(COUNT(J19:J20)=0,"",SUM(J19:J20))</f>
        <v/>
      </c>
      <c r="K21" s="11">
        <f>APR!M21</f>
        <v/>
      </c>
      <c r="L21" s="11">
        <f>MAY!M21</f>
        <v/>
      </c>
      <c r="M21" s="11">
        <f>JUN!M21</f>
        <v/>
      </c>
      <c r="N21" s="12">
        <f>IF(COUNT(N19:N20)=0,"",SUM(N19:N20))</f>
        <v/>
      </c>
      <c r="O21" s="11">
        <f>JUL!M21</f>
        <v/>
      </c>
      <c r="P21" s="11">
        <f>AUG!M21</f>
        <v/>
      </c>
      <c r="Q21" s="11">
        <f>SEP!M21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OCT!M22</f>
        <v/>
      </c>
      <c r="D22" s="11">
        <f>NOV!M22</f>
        <v/>
      </c>
      <c r="E22" s="11">
        <f>DEC!M22</f>
        <v/>
      </c>
      <c r="F22" s="12">
        <f>IF(COUNT(C22:E22)=0,"",SUM(C22:E22))</f>
        <v/>
      </c>
      <c r="G22" s="11">
        <f>JAN!M22</f>
        <v/>
      </c>
      <c r="H22" s="11">
        <f>FEB!M22</f>
        <v/>
      </c>
      <c r="I22" s="11">
        <f>MAR!M22</f>
        <v/>
      </c>
      <c r="J22" s="12">
        <f>IF(COUNT(G22:I22)=0,"",SUM(G22:I22))</f>
        <v/>
      </c>
      <c r="K22" s="11">
        <f>APR!M22</f>
        <v/>
      </c>
      <c r="L22" s="11">
        <f>MAY!M22</f>
        <v/>
      </c>
      <c r="M22" s="11">
        <f>JUN!M22</f>
        <v/>
      </c>
      <c r="N22" s="12">
        <f>IF(COUNT(K22:M22)=0,"",SUM(K22:M22))</f>
        <v/>
      </c>
      <c r="O22" s="11">
        <f>JUL!M22</f>
        <v/>
      </c>
      <c r="P22" s="11">
        <f>AUG!M22</f>
        <v/>
      </c>
      <c r="Q22" s="11">
        <f>SEP!M22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OCT!M23</f>
        <v/>
      </c>
      <c r="D23" s="11">
        <f>NOV!M23</f>
        <v/>
      </c>
      <c r="E23" s="11">
        <f>DEC!M23</f>
        <v/>
      </c>
      <c r="F23" s="12">
        <f>IF(COUNT(C23:E23)=0,"",SUM(C23:E23))</f>
        <v/>
      </c>
      <c r="G23" s="11">
        <f>JAN!M23</f>
        <v/>
      </c>
      <c r="H23" s="11">
        <f>FEB!M23</f>
        <v/>
      </c>
      <c r="I23" s="11">
        <f>MAR!M23</f>
        <v/>
      </c>
      <c r="J23" s="12">
        <f>IF(COUNT(G23:I23)=0,"",SUM(G23:I23))</f>
        <v/>
      </c>
      <c r="K23" s="11">
        <f>APR!M23</f>
        <v/>
      </c>
      <c r="L23" s="11">
        <f>MAY!M23</f>
        <v/>
      </c>
      <c r="M23" s="11">
        <f>JUN!M23</f>
        <v/>
      </c>
      <c r="N23" s="12">
        <f>IF(COUNT(K23:M23)=0,"",SUM(K23:M23))</f>
        <v/>
      </c>
      <c r="O23" s="11">
        <f>JUL!M23</f>
        <v/>
      </c>
      <c r="P23" s="11">
        <f>AUG!M23</f>
        <v/>
      </c>
      <c r="Q23" s="11">
        <f>SEP!M23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OCT!M24</f>
        <v/>
      </c>
      <c r="D24" s="11">
        <f>NOV!M24</f>
        <v/>
      </c>
      <c r="E24" s="11">
        <f>DEC!M24</f>
        <v/>
      </c>
      <c r="F24" s="12">
        <f>IF(COUNT(F22:F23)=0,"",SUM(F22:F23))</f>
        <v/>
      </c>
      <c r="G24" s="11">
        <f>JAN!M24</f>
        <v/>
      </c>
      <c r="H24" s="11">
        <f>FEB!M24</f>
        <v/>
      </c>
      <c r="I24" s="11">
        <f>MAR!M24</f>
        <v/>
      </c>
      <c r="J24" s="12">
        <f>IF(COUNT(J22:J23)=0,"",SUM(J22:J23))</f>
        <v/>
      </c>
      <c r="K24" s="11">
        <f>APR!M24</f>
        <v/>
      </c>
      <c r="L24" s="11">
        <f>MAY!M24</f>
        <v/>
      </c>
      <c r="M24" s="11">
        <f>JUN!M24</f>
        <v/>
      </c>
      <c r="N24" s="12">
        <f>IF(COUNT(N22:N23)=0,"",SUM(N22:N23))</f>
        <v/>
      </c>
      <c r="O24" s="11">
        <f>JUL!M24</f>
        <v/>
      </c>
      <c r="P24" s="11">
        <f>AUG!M24</f>
        <v/>
      </c>
      <c r="Q24" s="11">
        <f>SEP!M24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OCT!M25</f>
        <v/>
      </c>
      <c r="D25" s="19">
        <f>NOV!M25</f>
        <v/>
      </c>
      <c r="E25" s="19">
        <f>DEC!M25</f>
        <v/>
      </c>
      <c r="F25" s="20">
        <f>IF(COUNT(F31,F32)&lt;2,"",IF((F32+F31)=0,"",N(F22)/((F32+F31)/2)))</f>
        <v/>
      </c>
      <c r="G25" s="19">
        <f>JAN!M25</f>
        <v/>
      </c>
      <c r="H25" s="19">
        <f>FEB!M25</f>
        <v/>
      </c>
      <c r="I25" s="19">
        <f>MAR!M25</f>
        <v/>
      </c>
      <c r="J25" s="20">
        <f>IF(COUNT(J31,J32)&lt;2,"",IF((J32+J31)=0,"",N(J22)/((J32+J31)/2)))</f>
        <v/>
      </c>
      <c r="K25" s="19">
        <f>APR!M25</f>
        <v/>
      </c>
      <c r="L25" s="19">
        <f>MAY!M25</f>
        <v/>
      </c>
      <c r="M25" s="19">
        <f>JUN!M25</f>
        <v/>
      </c>
      <c r="N25" s="20">
        <f>IF(COUNT(N31,N32)&lt;2,"",IF((N32+N31)=0,"",N(N22)/((N32+N31)/2)))</f>
        <v/>
      </c>
      <c r="O25" s="19">
        <f>JUL!M25</f>
        <v/>
      </c>
      <c r="P25" s="19">
        <f>AUG!M25</f>
        <v/>
      </c>
      <c r="Q25" s="19">
        <f>SEP!M25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OCT!M26</f>
        <v/>
      </c>
      <c r="D26" s="19">
        <f>NOV!M26</f>
        <v/>
      </c>
      <c r="E26" s="19">
        <f>DEC!M26</f>
        <v/>
      </c>
      <c r="F26" s="20">
        <f>IF(COUNT(F31,F32)&lt;2,"",IF((F32+F31)=0,"",N(F23)/((F32+F31)/2)))</f>
        <v/>
      </c>
      <c r="G26" s="19">
        <f>JAN!M26</f>
        <v/>
      </c>
      <c r="H26" s="19">
        <f>FEB!M26</f>
        <v/>
      </c>
      <c r="I26" s="19">
        <f>MAR!M26</f>
        <v/>
      </c>
      <c r="J26" s="20">
        <f>IF(COUNT(J31,J32)&lt;2,"",IF((J32+J31)=0,"",N(J23)/((J32+J31)/2)))</f>
        <v/>
      </c>
      <c r="K26" s="19">
        <f>APR!M26</f>
        <v/>
      </c>
      <c r="L26" s="19">
        <f>MAY!M26</f>
        <v/>
      </c>
      <c r="M26" s="19">
        <f>JUN!M26</f>
        <v/>
      </c>
      <c r="N26" s="20">
        <f>IF(COUNT(N31,N32)&lt;2,"",IF((N32+N31)=0,"",N(N23)/((N32+N31)/2)))</f>
        <v/>
      </c>
      <c r="O26" s="19">
        <f>JUL!M26</f>
        <v/>
      </c>
      <c r="P26" s="19">
        <f>AUG!M26</f>
        <v/>
      </c>
      <c r="Q26" s="19">
        <f>SEP!M26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OCT!M27</f>
        <v/>
      </c>
      <c r="D27" s="11">
        <f>NOV!M27</f>
        <v/>
      </c>
      <c r="E27" s="11">
        <f>DEC!M27</f>
        <v/>
      </c>
      <c r="F27" s="12">
        <f>IF(COUNT(C27:E27)=0,"",SUM(C27:E27))</f>
        <v/>
      </c>
      <c r="G27" s="11">
        <f>JAN!M27</f>
        <v/>
      </c>
      <c r="H27" s="11">
        <f>FEB!M27</f>
        <v/>
      </c>
      <c r="I27" s="11">
        <f>MAR!M27</f>
        <v/>
      </c>
      <c r="J27" s="12">
        <f>IF(COUNT(G27:I27)=0,"",SUM(G27:I27))</f>
        <v/>
      </c>
      <c r="K27" s="11">
        <f>APR!M27</f>
        <v/>
      </c>
      <c r="L27" s="11">
        <f>MAY!M27</f>
        <v/>
      </c>
      <c r="M27" s="11">
        <f>JUN!M27</f>
        <v/>
      </c>
      <c r="N27" s="12">
        <f>IF(COUNT(K27:M27)=0,"",SUM(K27:M27))</f>
        <v/>
      </c>
      <c r="O27" s="11">
        <f>JUL!M27</f>
        <v/>
      </c>
      <c r="P27" s="11">
        <f>AUG!M27</f>
        <v/>
      </c>
      <c r="Q27" s="11">
        <f>SEP!M27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OCT!M28</f>
        <v/>
      </c>
      <c r="D28" s="11">
        <f>NOV!M28</f>
        <v/>
      </c>
      <c r="E28" s="11">
        <f>DEC!M28</f>
        <v/>
      </c>
      <c r="F28" s="12">
        <f>IF(COUNT(C28:E28)=0,"",SUM(C28:E28))</f>
        <v/>
      </c>
      <c r="G28" s="11">
        <f>JAN!M28</f>
        <v/>
      </c>
      <c r="H28" s="11">
        <f>FEB!M28</f>
        <v/>
      </c>
      <c r="I28" s="11">
        <f>MAR!M28</f>
        <v/>
      </c>
      <c r="J28" s="12">
        <f>IF(COUNT(G28:I28)=0,"",SUM(G28:I28))</f>
        <v/>
      </c>
      <c r="K28" s="11">
        <f>APR!M28</f>
        <v/>
      </c>
      <c r="L28" s="11">
        <f>MAY!M28</f>
        <v/>
      </c>
      <c r="M28" s="11">
        <f>JUN!M28</f>
        <v/>
      </c>
      <c r="N28" s="12">
        <f>IF(COUNT(K28:M28)=0,"",SUM(K28:M28))</f>
        <v/>
      </c>
      <c r="O28" s="11">
        <f>JUL!M28</f>
        <v/>
      </c>
      <c r="P28" s="11">
        <f>AUG!M28</f>
        <v/>
      </c>
      <c r="Q28" s="11">
        <f>SEP!M28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OCT!M29</f>
        <v/>
      </c>
      <c r="D29" s="19">
        <f>NOV!M29</f>
        <v/>
      </c>
      <c r="E29" s="19">
        <f>DEC!M29</f>
        <v/>
      </c>
      <c r="F29" s="20">
        <f>IF(COUNT(F31,F32)&lt;2,"",IF((F32+F31)=0,"",N(F27)/((F32+F31)/2)))</f>
        <v/>
      </c>
      <c r="G29" s="19">
        <f>JAN!M29</f>
        <v/>
      </c>
      <c r="H29" s="19">
        <f>FEB!M29</f>
        <v/>
      </c>
      <c r="I29" s="19">
        <f>MAR!M29</f>
        <v/>
      </c>
      <c r="J29" s="20">
        <f>IF(COUNT(J31,J32)&lt;2,"",IF((J32+J31)=0,"",N(J27)/((J32+J31)/2)))</f>
        <v/>
      </c>
      <c r="K29" s="19">
        <f>APR!M29</f>
        <v/>
      </c>
      <c r="L29" s="19">
        <f>MAY!M29</f>
        <v/>
      </c>
      <c r="M29" s="19">
        <f>JUN!M29</f>
        <v/>
      </c>
      <c r="N29" s="20">
        <f>IF(COUNT(N31,N32)&lt;2,"",IF((N32+N31)=0,"",N(N27)/((N32+N31)/2)))</f>
        <v/>
      </c>
      <c r="O29" s="19">
        <f>JUL!M29</f>
        <v/>
      </c>
      <c r="P29" s="19">
        <f>AUG!M29</f>
        <v/>
      </c>
      <c r="Q29" s="19">
        <f>SEP!M29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OCT!M30</f>
        <v/>
      </c>
      <c r="D30" s="19">
        <f>NOV!M30</f>
        <v/>
      </c>
      <c r="E30" s="19">
        <f>DEC!M30</f>
        <v/>
      </c>
      <c r="F30" s="20">
        <f>IF(COUNT(F31,F32)&lt;2,"",IF((F32+F31)=0,"",N(F28)/((F32+F31)/2)))</f>
        <v/>
      </c>
      <c r="G30" s="19">
        <f>JAN!M30</f>
        <v/>
      </c>
      <c r="H30" s="19">
        <f>FEB!M30</f>
        <v/>
      </c>
      <c r="I30" s="19">
        <f>MAR!M30</f>
        <v/>
      </c>
      <c r="J30" s="20">
        <f>IF(COUNT(J31,J32)&lt;2,"",IF((J32+J31)=0,"",N(J28)/((J32+J31)/2)))</f>
        <v/>
      </c>
      <c r="K30" s="19">
        <f>APR!M30</f>
        <v/>
      </c>
      <c r="L30" s="19">
        <f>MAY!M30</f>
        <v/>
      </c>
      <c r="M30" s="19">
        <f>JUN!M30</f>
        <v/>
      </c>
      <c r="N30" s="20">
        <f>IF(COUNT(N31,N32)&lt;2,"",IF((N32+N31)=0,"",N(N28)/((N32+N31)/2)))</f>
        <v/>
      </c>
      <c r="O30" s="19">
        <f>JUL!M30</f>
        <v/>
      </c>
      <c r="P30" s="19">
        <f>AUG!M30</f>
        <v/>
      </c>
      <c r="Q30" s="19">
        <f>SEP!M30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OCT!M31</f>
        <v/>
      </c>
      <c r="D31" s="11">
        <f>NOV!M31</f>
        <v/>
      </c>
      <c r="E31" s="11">
        <f>DEC!M31</f>
        <v/>
      </c>
      <c r="F31" s="12">
        <f>IFERROR(AVERAGE(C31:E31),"")</f>
        <v/>
      </c>
      <c r="G31" s="11">
        <f>JAN!M31</f>
        <v/>
      </c>
      <c r="H31" s="11">
        <f>FEB!M31</f>
        <v/>
      </c>
      <c r="I31" s="11">
        <f>MAR!M31</f>
        <v/>
      </c>
      <c r="J31" s="12">
        <f>IFERROR(AVERAGE(G31:I31),"")</f>
        <v/>
      </c>
      <c r="K31" s="11">
        <f>APR!M31</f>
        <v/>
      </c>
      <c r="L31" s="11">
        <f>MAY!M31</f>
        <v/>
      </c>
      <c r="M31" s="11">
        <f>JUN!M31</f>
        <v/>
      </c>
      <c r="N31" s="12">
        <f>IFERROR(AVERAGE(K31:M31),"")</f>
        <v/>
      </c>
      <c r="O31" s="11">
        <f>JUL!M31</f>
        <v/>
      </c>
      <c r="P31" s="11">
        <f>AUG!M31</f>
        <v/>
      </c>
      <c r="Q31" s="11">
        <f>SEP!M31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OCT!M32</f>
        <v/>
      </c>
      <c r="D32" s="11">
        <f>NOV!M32</f>
        <v/>
      </c>
      <c r="E32" s="11">
        <f>DEC!M32</f>
        <v/>
      </c>
      <c r="F32" s="12">
        <f>IFERROR(AVERAGE(C32:E32),"")</f>
        <v/>
      </c>
      <c r="G32" s="11">
        <f>JAN!M32</f>
        <v/>
      </c>
      <c r="H32" s="11">
        <f>FEB!M32</f>
        <v/>
      </c>
      <c r="I32" s="11">
        <f>MAR!M32</f>
        <v/>
      </c>
      <c r="J32" s="12">
        <f>IFERROR(AVERAGE(G32:I32),"")</f>
        <v/>
      </c>
      <c r="K32" s="11">
        <f>APR!M32</f>
        <v/>
      </c>
      <c r="L32" s="11">
        <f>MAY!M32</f>
        <v/>
      </c>
      <c r="M32" s="11">
        <f>JUN!M32</f>
        <v/>
      </c>
      <c r="N32" s="12">
        <f>IFERROR(AVERAGE(K32:M32),"")</f>
        <v/>
      </c>
      <c r="O32" s="11">
        <f>JUL!M32</f>
        <v/>
      </c>
      <c r="P32" s="11">
        <f>AUG!M32</f>
        <v/>
      </c>
      <c r="Q32" s="11">
        <f>SEP!M32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OCT!M33</f>
        <v/>
      </c>
      <c r="D33" s="19">
        <f>NOV!M33</f>
        <v/>
      </c>
      <c r="E33" s="19">
        <f>DEC!M33</f>
        <v/>
      </c>
      <c r="F33" s="20">
        <f>IF(COUNT(F31,F32)&lt;2,"",IF((F32+F31)=0,"",N(F24)/((F32+F31)/2)))</f>
        <v/>
      </c>
      <c r="G33" s="19">
        <f>JAN!M33</f>
        <v/>
      </c>
      <c r="H33" s="19">
        <f>FEB!M33</f>
        <v/>
      </c>
      <c r="I33" s="19">
        <f>MAR!M33</f>
        <v/>
      </c>
      <c r="J33" s="20">
        <f>IF(COUNT(J31,J32)&lt;2,"",IF((J32+J31)=0,"",N(J24)/((J32+J31)/2)))</f>
        <v/>
      </c>
      <c r="K33" s="19">
        <f>APR!M33</f>
        <v/>
      </c>
      <c r="L33" s="19">
        <f>MAY!M33</f>
        <v/>
      </c>
      <c r="M33" s="19">
        <f>JUN!M33</f>
        <v/>
      </c>
      <c r="N33" s="20">
        <f>IF(COUNT(N31,N32)&lt;2,"",IF((N32+N31)=0,"",N(N24)/((N32+N31)/2)))</f>
        <v/>
      </c>
      <c r="O33" s="19">
        <f>JUL!M33</f>
        <v/>
      </c>
      <c r="P33" s="19">
        <f>AUG!M33</f>
        <v/>
      </c>
      <c r="Q33" s="19">
        <f>SEP!M33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OCT!M34</f>
        <v/>
      </c>
      <c r="D34" s="11">
        <f>NOV!M34</f>
        <v/>
      </c>
      <c r="E34" s="11">
        <f>DEC!M34</f>
        <v/>
      </c>
      <c r="F34" s="12">
        <f>IFERROR(AVERAGE(C34:E34),"")</f>
        <v/>
      </c>
      <c r="G34" s="11">
        <f>JAN!M34</f>
        <v/>
      </c>
      <c r="H34" s="11">
        <f>FEB!M34</f>
        <v/>
      </c>
      <c r="I34" s="11">
        <f>MAR!M34</f>
        <v/>
      </c>
      <c r="J34" s="12">
        <f>IFERROR(AVERAGE(G34:I34),"")</f>
        <v/>
      </c>
      <c r="K34" s="11">
        <f>APR!M34</f>
        <v/>
      </c>
      <c r="L34" s="11">
        <f>MAY!M34</f>
        <v/>
      </c>
      <c r="M34" s="11">
        <f>JUN!M34</f>
        <v/>
      </c>
      <c r="N34" s="12">
        <f>IFERROR(AVERAGE(K34:M34),"")</f>
        <v/>
      </c>
      <c r="O34" s="11">
        <f>JUL!M34</f>
        <v/>
      </c>
      <c r="P34" s="11">
        <f>AUG!M34</f>
        <v/>
      </c>
      <c r="Q34" s="11">
        <f>SEP!M34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OCT!M35</f>
        <v/>
      </c>
      <c r="D35" s="11">
        <f>NOV!M35</f>
        <v/>
      </c>
      <c r="E35" s="11">
        <f>DEC!M35</f>
        <v/>
      </c>
      <c r="F35" s="12">
        <f>IFERROR(AVERAGE(C35:E35),"")</f>
        <v/>
      </c>
      <c r="G35" s="11">
        <f>JAN!M35</f>
        <v/>
      </c>
      <c r="H35" s="11">
        <f>FEB!M35</f>
        <v/>
      </c>
      <c r="I35" s="11">
        <f>MAR!M35</f>
        <v/>
      </c>
      <c r="J35" s="12">
        <f>IFERROR(AVERAGE(G35:I35),"")</f>
        <v/>
      </c>
      <c r="K35" s="11">
        <f>APR!M35</f>
        <v/>
      </c>
      <c r="L35" s="11">
        <f>MAY!M35</f>
        <v/>
      </c>
      <c r="M35" s="11">
        <f>JUN!M35</f>
        <v/>
      </c>
      <c r="N35" s="12">
        <f>IFERROR(AVERAGE(K35:M35),"")</f>
        <v/>
      </c>
      <c r="O35" s="11">
        <f>JUL!M35</f>
        <v/>
      </c>
      <c r="P35" s="11">
        <f>AUG!M35</f>
        <v/>
      </c>
      <c r="Q35" s="11">
        <f>SEP!M35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OCT!M36</f>
        <v/>
      </c>
      <c r="D36" s="11">
        <f>NOV!M36</f>
        <v/>
      </c>
      <c r="E36" s="11">
        <f>DEC!M36</f>
        <v/>
      </c>
      <c r="F36" s="12">
        <f>IF(COUNT(F34:F35)=0,"",SUM(F34:F35))</f>
        <v/>
      </c>
      <c r="G36" s="11">
        <f>JAN!M36</f>
        <v/>
      </c>
      <c r="H36" s="11">
        <f>FEB!M36</f>
        <v/>
      </c>
      <c r="I36" s="11">
        <f>MAR!M36</f>
        <v/>
      </c>
      <c r="J36" s="12">
        <f>IF(COUNT(J34:J35)=0,"",SUM(J34:J35))</f>
        <v/>
      </c>
      <c r="K36" s="11">
        <f>APR!M36</f>
        <v/>
      </c>
      <c r="L36" s="11">
        <f>MAY!M36</f>
        <v/>
      </c>
      <c r="M36" s="11">
        <f>JUN!M36</f>
        <v/>
      </c>
      <c r="N36" s="12">
        <f>IF(COUNT(N34:N35)=0,"",SUM(N34:N35))</f>
        <v/>
      </c>
      <c r="O36" s="11">
        <f>JUL!M36</f>
        <v/>
      </c>
      <c r="P36" s="11">
        <f>AUG!M36</f>
        <v/>
      </c>
      <c r="Q36" s="11">
        <f>SEP!M36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OCT!M37</f>
        <v/>
      </c>
      <c r="D37" s="11">
        <f>NOV!M37</f>
        <v/>
      </c>
      <c r="E37" s="11">
        <f>DEC!M37</f>
        <v/>
      </c>
      <c r="F37" s="12">
        <f>IF(COUNT(F5,F36)=0,"",N(F5)+N(F36))</f>
        <v/>
      </c>
      <c r="G37" s="11">
        <f>JAN!M37</f>
        <v/>
      </c>
      <c r="H37" s="11">
        <f>FEB!M37</f>
        <v/>
      </c>
      <c r="I37" s="11">
        <f>MAR!M37</f>
        <v/>
      </c>
      <c r="J37" s="12">
        <f>IF(COUNT(J5,J36)=0,"",N(J5)+N(J36))</f>
        <v/>
      </c>
      <c r="K37" s="11">
        <f>APR!M37</f>
        <v/>
      </c>
      <c r="L37" s="11">
        <f>MAY!M37</f>
        <v/>
      </c>
      <c r="M37" s="11">
        <f>JUN!M37</f>
        <v/>
      </c>
      <c r="N37" s="12">
        <f>IF(COUNT(N5,N36)=0,"",N(N5)+N(N36))</f>
        <v/>
      </c>
      <c r="O37" s="11">
        <f>JUL!M37</f>
        <v/>
      </c>
      <c r="P37" s="11">
        <f>AUG!M37</f>
        <v/>
      </c>
      <c r="Q37" s="11">
        <f>SEP!M37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OCT!M38</f>
        <v/>
      </c>
      <c r="D38" s="19">
        <f>NOV!M38</f>
        <v/>
      </c>
      <c r="E38" s="19">
        <f>DEC!M38</f>
        <v/>
      </c>
      <c r="F38" s="20">
        <f>IFERROR(F36/F37,"")</f>
        <v/>
      </c>
      <c r="G38" s="19">
        <f>JAN!M38</f>
        <v/>
      </c>
      <c r="H38" s="19">
        <f>FEB!M38</f>
        <v/>
      </c>
      <c r="I38" s="19">
        <f>MAR!M38</f>
        <v/>
      </c>
      <c r="J38" s="20">
        <f>IFERROR(J36/J37,"")</f>
        <v/>
      </c>
      <c r="K38" s="19">
        <f>APR!M38</f>
        <v/>
      </c>
      <c r="L38" s="19">
        <f>MAY!M38</f>
        <v/>
      </c>
      <c r="M38" s="19">
        <f>JUN!M38</f>
        <v/>
      </c>
      <c r="N38" s="20">
        <f>IFERROR(N36/N37,"")</f>
        <v/>
      </c>
      <c r="O38" s="19">
        <f>JUL!M38</f>
        <v/>
      </c>
      <c r="P38" s="19">
        <f>AUG!M38</f>
        <v/>
      </c>
      <c r="Q38" s="19">
        <f>SEP!M38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OCT!M39</f>
        <v/>
      </c>
      <c r="D39" s="14">
        <f>NOV!M39</f>
        <v/>
      </c>
      <c r="E39" s="14">
        <f>DEC!M39</f>
        <v/>
      </c>
      <c r="F39" s="15">
        <f>IFERROR(LOOKUP(2,1/ISNUMBER(C39:E39),C39:E39),"")</f>
        <v/>
      </c>
      <c r="G39" s="14">
        <f>JAN!M39</f>
        <v/>
      </c>
      <c r="H39" s="14">
        <f>FEB!M39</f>
        <v/>
      </c>
      <c r="I39" s="14">
        <f>MAR!M39</f>
        <v/>
      </c>
      <c r="J39" s="15">
        <f>IFERROR(LOOKUP(2,1/ISNUMBER(G39:I39),G39:I39),"")</f>
        <v/>
      </c>
      <c r="K39" s="14">
        <f>APR!M39</f>
        <v/>
      </c>
      <c r="L39" s="14">
        <f>MAY!M39</f>
        <v/>
      </c>
      <c r="M39" s="14">
        <f>JUN!M39</f>
        <v/>
      </c>
      <c r="N39" s="15">
        <f>IFERROR(LOOKUP(2,1/ISNUMBER(K39:M39),K39:M39),"")</f>
        <v/>
      </c>
      <c r="O39" s="14">
        <f>JUL!M39</f>
        <v/>
      </c>
      <c r="P39" s="14">
        <f>AUG!M39</f>
        <v/>
      </c>
      <c r="Q39" s="14">
        <f>SEP!M39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OCT!M40</f>
        <v/>
      </c>
      <c r="D40" s="14">
        <f>NOV!M40</f>
        <v/>
      </c>
      <c r="E40" s="14">
        <f>DEC!M40</f>
        <v/>
      </c>
      <c r="F40" s="15">
        <f>IFERROR(LOOKUP(2,1/ISNUMBER(C40:E40),C40:E40),"")</f>
        <v/>
      </c>
      <c r="G40" s="14">
        <f>JAN!M40</f>
        <v/>
      </c>
      <c r="H40" s="14">
        <f>FEB!M40</f>
        <v/>
      </c>
      <c r="I40" s="14">
        <f>MAR!M40</f>
        <v/>
      </c>
      <c r="J40" s="15">
        <f>IFERROR(LOOKUP(2,1/ISNUMBER(G40:I40),G40:I40),"")</f>
        <v/>
      </c>
      <c r="K40" s="14">
        <f>APR!M40</f>
        <v/>
      </c>
      <c r="L40" s="14">
        <f>MAY!M40</f>
        <v/>
      </c>
      <c r="M40" s="14">
        <f>JUN!M40</f>
        <v/>
      </c>
      <c r="N40" s="15">
        <f>IFERROR(LOOKUP(2,1/ISNUMBER(K40:M40),K40:M40),"")</f>
        <v/>
      </c>
      <c r="O40" s="14">
        <f>JUL!M40</f>
        <v/>
      </c>
      <c r="P40" s="14">
        <f>AUG!M40</f>
        <v/>
      </c>
      <c r="Q40" s="14">
        <f>SEP!M40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OCT!M41</f>
        <v/>
      </c>
      <c r="D41" s="23">
        <f>NOV!M41</f>
        <v/>
      </c>
      <c r="E41" s="23">
        <f>DEC!M41</f>
        <v/>
      </c>
      <c r="F41" s="24">
        <f>IFERROR(AVERAGE(C41:E41),"")</f>
        <v/>
      </c>
      <c r="G41" s="23">
        <f>JAN!M41</f>
        <v/>
      </c>
      <c r="H41" s="23">
        <f>FEB!M41</f>
        <v/>
      </c>
      <c r="I41" s="23">
        <f>MAR!M41</f>
        <v/>
      </c>
      <c r="J41" s="24">
        <f>IFERROR(AVERAGE(G41:I41),"")</f>
        <v/>
      </c>
      <c r="K41" s="23">
        <f>APR!M41</f>
        <v/>
      </c>
      <c r="L41" s="23">
        <f>MAY!M41</f>
        <v/>
      </c>
      <c r="M41" s="23">
        <f>JUN!M41</f>
        <v/>
      </c>
      <c r="N41" s="24">
        <f>IFERROR(AVERAGE(K41:M41),"")</f>
        <v/>
      </c>
      <c r="O41" s="23">
        <f>JUL!M41</f>
        <v/>
      </c>
      <c r="P41" s="23">
        <f>AUG!M41</f>
        <v/>
      </c>
      <c r="Q41" s="23">
        <f>SEP!M41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OCT!M42</f>
        <v/>
      </c>
      <c r="D42" s="11">
        <f>NOV!M42</f>
        <v/>
      </c>
      <c r="E42" s="11">
        <f>DEC!M42</f>
        <v/>
      </c>
      <c r="F42" s="12">
        <f>IF(COUNT(C42:E42)=0,"",SUM(C42:E42))</f>
        <v/>
      </c>
      <c r="G42" s="11">
        <f>JAN!M42</f>
        <v/>
      </c>
      <c r="H42" s="11">
        <f>FEB!M42</f>
        <v/>
      </c>
      <c r="I42" s="11">
        <f>MAR!M42</f>
        <v/>
      </c>
      <c r="J42" s="12">
        <f>IF(COUNT(G42:I42)=0,"",SUM(G42:I42))</f>
        <v/>
      </c>
      <c r="K42" s="11">
        <f>APR!M42</f>
        <v/>
      </c>
      <c r="L42" s="11">
        <f>MAY!M42</f>
        <v/>
      </c>
      <c r="M42" s="11">
        <f>JUN!M42</f>
        <v/>
      </c>
      <c r="N42" s="12">
        <f>IF(COUNT(K42:M42)=0,"",SUM(K42:M42))</f>
        <v/>
      </c>
      <c r="O42" s="11">
        <f>JUL!M42</f>
        <v/>
      </c>
      <c r="P42" s="11">
        <f>AUG!M42</f>
        <v/>
      </c>
      <c r="Q42" s="11">
        <f>SEP!M42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OCT!M43</f>
        <v/>
      </c>
      <c r="D43" s="14">
        <f>NOV!M43</f>
        <v/>
      </c>
      <c r="E43" s="14">
        <f>DEC!M43</f>
        <v/>
      </c>
      <c r="F43" s="15">
        <f>IF(COUNT(C43:E43)=0,"",SUM(C43:E43))</f>
        <v/>
      </c>
      <c r="G43" s="14">
        <f>JAN!M43</f>
        <v/>
      </c>
      <c r="H43" s="14">
        <f>FEB!M43</f>
        <v/>
      </c>
      <c r="I43" s="14">
        <f>MAR!M43</f>
        <v/>
      </c>
      <c r="J43" s="15">
        <f>IF(COUNT(G43:I43)=0,"",SUM(G43:I43))</f>
        <v/>
      </c>
      <c r="K43" s="14">
        <f>APR!M43</f>
        <v/>
      </c>
      <c r="L43" s="14">
        <f>MAY!M43</f>
        <v/>
      </c>
      <c r="M43" s="14">
        <f>JUN!M43</f>
        <v/>
      </c>
      <c r="N43" s="15">
        <f>IF(COUNT(K43:M43)=0,"",SUM(K43:M43))</f>
        <v/>
      </c>
      <c r="O43" s="14">
        <f>JUL!M43</f>
        <v/>
      </c>
      <c r="P43" s="14">
        <f>AUG!M43</f>
        <v/>
      </c>
      <c r="Q43" s="14">
        <f>SEP!M43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OCT!M44</f>
        <v/>
      </c>
      <c r="D44" s="14">
        <f>NOV!M44</f>
        <v/>
      </c>
      <c r="E44" s="14">
        <f>DEC!M44</f>
        <v/>
      </c>
      <c r="F44" s="15">
        <f>IF(COUNT(C44:E44)=0,"",SUM(C44:E44))</f>
        <v/>
      </c>
      <c r="G44" s="14">
        <f>JAN!M44</f>
        <v/>
      </c>
      <c r="H44" s="14">
        <f>FEB!M44</f>
        <v/>
      </c>
      <c r="I44" s="14">
        <f>MAR!M44</f>
        <v/>
      </c>
      <c r="J44" s="15">
        <f>IF(COUNT(G44:I44)=0,"",SUM(G44:I44))</f>
        <v/>
      </c>
      <c r="K44" s="14">
        <f>APR!M44</f>
        <v/>
      </c>
      <c r="L44" s="14">
        <f>MAY!M44</f>
        <v/>
      </c>
      <c r="M44" s="14">
        <f>JUN!M44</f>
        <v/>
      </c>
      <c r="N44" s="15">
        <f>IF(COUNT(K44:M44)=0,"",SUM(K44:M44))</f>
        <v/>
      </c>
      <c r="O44" s="14">
        <f>JUL!M44</f>
        <v/>
      </c>
      <c r="P44" s="14">
        <f>AUG!M44</f>
        <v/>
      </c>
      <c r="Q44" s="14">
        <f>SEP!M44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OCT!M45</f>
        <v/>
      </c>
      <c r="D45" s="14">
        <f>NOV!M45</f>
        <v/>
      </c>
      <c r="E45" s="14">
        <f>DEC!M45</f>
        <v/>
      </c>
      <c r="F45" s="15">
        <f>IF(COUNT(F43:F44)=0,"",SUM(F43:F44))</f>
        <v/>
      </c>
      <c r="G45" s="14">
        <f>JAN!M45</f>
        <v/>
      </c>
      <c r="H45" s="14">
        <f>FEB!M45</f>
        <v/>
      </c>
      <c r="I45" s="14">
        <f>MAR!M45</f>
        <v/>
      </c>
      <c r="J45" s="15">
        <f>IF(COUNT(J43:J44)=0,"",SUM(J43:J44))</f>
        <v/>
      </c>
      <c r="K45" s="14">
        <f>APR!M45</f>
        <v/>
      </c>
      <c r="L45" s="14">
        <f>MAY!M45</f>
        <v/>
      </c>
      <c r="M45" s="14">
        <f>JUN!M45</f>
        <v/>
      </c>
      <c r="N45" s="15">
        <f>IF(COUNT(N43:N44)=0,"",SUM(N43:N44))</f>
        <v/>
      </c>
      <c r="O45" s="14">
        <f>JUL!M45</f>
        <v/>
      </c>
      <c r="P45" s="14">
        <f>AUG!M45</f>
        <v/>
      </c>
      <c r="Q45" s="14">
        <f>SEP!M45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OCT!M46</f>
        <v/>
      </c>
      <c r="D46" s="19">
        <f>NOV!M46</f>
        <v/>
      </c>
      <c r="E46" s="19">
        <f>DEC!M46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JAN!M46</f>
        <v/>
      </c>
      <c r="H46" s="19">
        <f>FEB!M46</f>
        <v/>
      </c>
      <c r="I46" s="19">
        <f>MAR!M46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APR!M46</f>
        <v/>
      </c>
      <c r="L46" s="19">
        <f>MAY!M46</f>
        <v/>
      </c>
      <c r="M46" s="19">
        <f>JUN!M46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JUL!M46</f>
        <v/>
      </c>
      <c r="P46" s="19">
        <f>AUG!M46</f>
        <v/>
      </c>
      <c r="Q46" s="19">
        <f>SEP!M46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OCT!M47</f>
        <v/>
      </c>
      <c r="D47" s="19">
        <f>NOV!M47</f>
        <v/>
      </c>
      <c r="E47" s="19">
        <f>DEC!M47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JAN!M47</f>
        <v/>
      </c>
      <c r="H47" s="19">
        <f>FEB!M47</f>
        <v/>
      </c>
      <c r="I47" s="19">
        <f>MAR!M47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APR!M47</f>
        <v/>
      </c>
      <c r="L47" s="19">
        <f>MAY!M47</f>
        <v/>
      </c>
      <c r="M47" s="19">
        <f>JUN!M47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JUL!M47</f>
        <v/>
      </c>
      <c r="P47" s="19">
        <f>AUG!M47</f>
        <v/>
      </c>
      <c r="Q47" s="19">
        <f>SEP!M47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OCT!M48</f>
        <v/>
      </c>
      <c r="D48" s="19">
        <f>NOV!M48</f>
        <v/>
      </c>
      <c r="E48" s="19">
        <f>DEC!M48</f>
        <v/>
      </c>
      <c r="F48" s="20">
        <f>IF(COUNT(F46:F47)=0,"",SUM(F46:F47))</f>
        <v/>
      </c>
      <c r="G48" s="19">
        <f>JAN!M48</f>
        <v/>
      </c>
      <c r="H48" s="19">
        <f>FEB!M48</f>
        <v/>
      </c>
      <c r="I48" s="19">
        <f>MAR!M48</f>
        <v/>
      </c>
      <c r="J48" s="20">
        <f>IF(COUNT(J46:J47)=0,"",SUM(J46:J47))</f>
        <v/>
      </c>
      <c r="K48" s="19">
        <f>APR!M48</f>
        <v/>
      </c>
      <c r="L48" s="19">
        <f>MAY!M48</f>
        <v/>
      </c>
      <c r="M48" s="19">
        <f>JUN!M48</f>
        <v/>
      </c>
      <c r="N48" s="20">
        <f>IF(COUNT(N46:N47)=0,"",SUM(N46:N47))</f>
        <v/>
      </c>
      <c r="O48" s="19">
        <f>JUL!M48</f>
        <v/>
      </c>
      <c r="P48" s="19">
        <f>AUG!M48</f>
        <v/>
      </c>
      <c r="Q48" s="19">
        <f>SEP!M48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OCT!M49</f>
        <v/>
      </c>
      <c r="D49" s="19">
        <f>NOV!M49</f>
        <v/>
      </c>
      <c r="E49" s="19">
        <f>DEC!M49</f>
        <v/>
      </c>
      <c r="F49" s="20">
        <f>IFERROR(AVERAGE(C49:E49),"")</f>
        <v/>
      </c>
      <c r="G49" s="19">
        <f>JAN!M49</f>
        <v/>
      </c>
      <c r="H49" s="19">
        <f>FEB!M49</f>
        <v/>
      </c>
      <c r="I49" s="19">
        <f>MAR!M49</f>
        <v/>
      </c>
      <c r="J49" s="20">
        <f>IFERROR(AVERAGE(G49:I49),"")</f>
        <v/>
      </c>
      <c r="K49" s="19">
        <f>APR!M49</f>
        <v/>
      </c>
      <c r="L49" s="19">
        <f>MAY!M49</f>
        <v/>
      </c>
      <c r="M49" s="19">
        <f>JUN!M49</f>
        <v/>
      </c>
      <c r="N49" s="20">
        <f>IFERROR(AVERAGE(K49:M49),"")</f>
        <v/>
      </c>
      <c r="O49" s="19">
        <f>JUL!M49</f>
        <v/>
      </c>
      <c r="P49" s="19">
        <f>AUG!M49</f>
        <v/>
      </c>
      <c r="Q49" s="19">
        <f>SEP!M49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OCT!M50</f>
        <v/>
      </c>
      <c r="D50" s="14">
        <f>NOV!M50</f>
        <v/>
      </c>
      <c r="E50" s="14">
        <f>DEC!M50</f>
        <v/>
      </c>
      <c r="F50" s="15">
        <f>IF(COUNT(C50:E50)=0,"",SUM(C50:E50))</f>
        <v/>
      </c>
      <c r="G50" s="14">
        <f>JAN!M50</f>
        <v/>
      </c>
      <c r="H50" s="14">
        <f>FEB!M50</f>
        <v/>
      </c>
      <c r="I50" s="14">
        <f>MAR!M50</f>
        <v/>
      </c>
      <c r="J50" s="15">
        <f>IF(COUNT(G50:I50)=0,"",SUM(G50:I50))</f>
        <v/>
      </c>
      <c r="K50" s="14">
        <f>APR!M50</f>
        <v/>
      </c>
      <c r="L50" s="14">
        <f>MAY!M50</f>
        <v/>
      </c>
      <c r="M50" s="14">
        <f>JUN!M50</f>
        <v/>
      </c>
      <c r="N50" s="15">
        <f>IF(COUNT(K50:M50)=0,"",SUM(K50:M50))</f>
        <v/>
      </c>
      <c r="O50" s="14">
        <f>JUL!M50</f>
        <v/>
      </c>
      <c r="P50" s="14">
        <f>AUG!M50</f>
        <v/>
      </c>
      <c r="Q50" s="14">
        <f>SEP!M50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OCT!M51</f>
        <v/>
      </c>
      <c r="D51" s="14">
        <f>NOV!M51</f>
        <v/>
      </c>
      <c r="E51" s="14">
        <f>DEC!M51</f>
        <v/>
      </c>
      <c r="F51" s="15">
        <f>IF(COUNT(C51:E51)=0,"",SUM(C51:E51))</f>
        <v/>
      </c>
      <c r="G51" s="14">
        <f>JAN!M51</f>
        <v/>
      </c>
      <c r="H51" s="14">
        <f>FEB!M51</f>
        <v/>
      </c>
      <c r="I51" s="14">
        <f>MAR!M51</f>
        <v/>
      </c>
      <c r="J51" s="15">
        <f>IF(COUNT(G51:I51)=0,"",SUM(G51:I51))</f>
        <v/>
      </c>
      <c r="K51" s="14">
        <f>APR!M51</f>
        <v/>
      </c>
      <c r="L51" s="14">
        <f>MAY!M51</f>
        <v/>
      </c>
      <c r="M51" s="14">
        <f>JUN!M51</f>
        <v/>
      </c>
      <c r="N51" s="15">
        <f>IF(COUNT(K51:M51)=0,"",SUM(K51:M51))</f>
        <v/>
      </c>
      <c r="O51" s="14">
        <f>JUL!M51</f>
        <v/>
      </c>
      <c r="P51" s="14">
        <f>AUG!M51</f>
        <v/>
      </c>
      <c r="Q51" s="14">
        <f>SEP!M51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OCT!M52</f>
        <v/>
      </c>
      <c r="D52" s="14">
        <f>NOV!M52</f>
        <v/>
      </c>
      <c r="E52" s="14">
        <f>DEC!M52</f>
        <v/>
      </c>
      <c r="F52" s="15">
        <f>IF(COUNT(C52:E52)=0,"",SUM(C52:E52))</f>
        <v/>
      </c>
      <c r="G52" s="14">
        <f>JAN!M52</f>
        <v/>
      </c>
      <c r="H52" s="14">
        <f>FEB!M52</f>
        <v/>
      </c>
      <c r="I52" s="14">
        <f>MAR!M52</f>
        <v/>
      </c>
      <c r="J52" s="15">
        <f>IF(COUNT(G52:I52)=0,"",SUM(G52:I52))</f>
        <v/>
      </c>
      <c r="K52" s="14">
        <f>APR!M52</f>
        <v/>
      </c>
      <c r="L52" s="14">
        <f>MAY!M52</f>
        <v/>
      </c>
      <c r="M52" s="14">
        <f>JUN!M52</f>
        <v/>
      </c>
      <c r="N52" s="15">
        <f>IF(COUNT(K52:M52)=0,"",SUM(K52:M52))</f>
        <v/>
      </c>
      <c r="O52" s="14">
        <f>JUL!M52</f>
        <v/>
      </c>
      <c r="P52" s="14">
        <f>AUG!M52</f>
        <v/>
      </c>
      <c r="Q52" s="14">
        <f>SEP!M52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OCT!M53</f>
        <v/>
      </c>
      <c r="D53" s="14">
        <f>NOV!M53</f>
        <v/>
      </c>
      <c r="E53" s="14">
        <f>DEC!M53</f>
        <v/>
      </c>
      <c r="F53" s="15">
        <f>IF(COUNT(C53:E53)=0,"",SUM(C53:E53))</f>
        <v/>
      </c>
      <c r="G53" s="14">
        <f>JAN!M53</f>
        <v/>
      </c>
      <c r="H53" s="14">
        <f>FEB!M53</f>
        <v/>
      </c>
      <c r="I53" s="14">
        <f>MAR!M53</f>
        <v/>
      </c>
      <c r="J53" s="15">
        <f>IF(COUNT(G53:I53)=0,"",SUM(G53:I53))</f>
        <v/>
      </c>
      <c r="K53" s="14">
        <f>APR!M53</f>
        <v/>
      </c>
      <c r="L53" s="14">
        <f>MAY!M53</f>
        <v/>
      </c>
      <c r="M53" s="14">
        <f>JUN!M53</f>
        <v/>
      </c>
      <c r="N53" s="15">
        <f>IF(COUNT(K53:M53)=0,"",SUM(K53:M53))</f>
        <v/>
      </c>
      <c r="O53" s="14">
        <f>JUL!M53</f>
        <v/>
      </c>
      <c r="P53" s="14">
        <f>AUG!M53</f>
        <v/>
      </c>
      <c r="Q53" s="14">
        <f>SEP!M53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OCT!M54</f>
        <v/>
      </c>
      <c r="D54" s="14">
        <f>NOV!M54</f>
        <v/>
      </c>
      <c r="E54" s="14">
        <f>DEC!M54</f>
        <v/>
      </c>
      <c r="F54" s="15">
        <f>IF(COUNT(C54:E54)=0,"",SUM(C54:E54))</f>
        <v/>
      </c>
      <c r="G54" s="14">
        <f>JAN!M54</f>
        <v/>
      </c>
      <c r="H54" s="14">
        <f>FEB!M54</f>
        <v/>
      </c>
      <c r="I54" s="14">
        <f>MAR!M54</f>
        <v/>
      </c>
      <c r="J54" s="15">
        <f>IF(COUNT(G54:I54)=0,"",SUM(G54:I54))</f>
        <v/>
      </c>
      <c r="K54" s="14">
        <f>APR!M54</f>
        <v/>
      </c>
      <c r="L54" s="14">
        <f>MAY!M54</f>
        <v/>
      </c>
      <c r="M54" s="14">
        <f>JUN!M54</f>
        <v/>
      </c>
      <c r="N54" s="15">
        <f>IF(COUNT(K54:M54)=0,"",SUM(K54:M54))</f>
        <v/>
      </c>
      <c r="O54" s="14">
        <f>JUL!M54</f>
        <v/>
      </c>
      <c r="P54" s="14">
        <f>AUG!M54</f>
        <v/>
      </c>
      <c r="Q54" s="14">
        <f>SEP!M54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OCT!M55</f>
        <v/>
      </c>
      <c r="D55" s="14">
        <f>NOV!M55</f>
        <v/>
      </c>
      <c r="E55" s="14">
        <f>DEC!M55</f>
        <v/>
      </c>
      <c r="F55" s="15">
        <f>IF(COUNT(F50:F54)=0,"",SUM(F50:F54))</f>
        <v/>
      </c>
      <c r="G55" s="14">
        <f>JAN!M55</f>
        <v/>
      </c>
      <c r="H55" s="14">
        <f>FEB!M55</f>
        <v/>
      </c>
      <c r="I55" s="14">
        <f>MAR!M55</f>
        <v/>
      </c>
      <c r="J55" s="15">
        <f>IF(COUNT(J50:J54)=0,"",SUM(J50:J54))</f>
        <v/>
      </c>
      <c r="K55" s="14">
        <f>APR!M55</f>
        <v/>
      </c>
      <c r="L55" s="14">
        <f>MAY!M55</f>
        <v/>
      </c>
      <c r="M55" s="14">
        <f>JUN!M55</f>
        <v/>
      </c>
      <c r="N55" s="15">
        <f>IF(COUNT(N50:N54)=0,"",SUM(N50:N54))</f>
        <v/>
      </c>
      <c r="O55" s="14">
        <f>JUL!M55</f>
        <v/>
      </c>
      <c r="P55" s="14">
        <f>AUG!M55</f>
        <v/>
      </c>
      <c r="Q55" s="14">
        <f>SEP!M55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OCT!M56</f>
        <v/>
      </c>
      <c r="D56" s="14">
        <f>NOV!M56</f>
        <v/>
      </c>
      <c r="E56" s="14">
        <f>DEC!M56</f>
        <v/>
      </c>
      <c r="F56" s="15">
        <f>IF(COUNT(C56:E56)=0,"",SUM(C56:E56))</f>
        <v/>
      </c>
      <c r="G56" s="14">
        <f>JAN!M56</f>
        <v/>
      </c>
      <c r="H56" s="14">
        <f>FEB!M56</f>
        <v/>
      </c>
      <c r="I56" s="14">
        <f>MAR!M56</f>
        <v/>
      </c>
      <c r="J56" s="15">
        <f>IF(COUNT(G56:I56)=0,"",SUM(G56:I56))</f>
        <v/>
      </c>
      <c r="K56" s="14">
        <f>APR!M56</f>
        <v/>
      </c>
      <c r="L56" s="14">
        <f>MAY!M56</f>
        <v/>
      </c>
      <c r="M56" s="14">
        <f>JUN!M56</f>
        <v/>
      </c>
      <c r="N56" s="15">
        <f>IF(COUNT(K56:M56)=0,"",SUM(K56:M56))</f>
        <v/>
      </c>
      <c r="O56" s="14">
        <f>JUL!M56</f>
        <v/>
      </c>
      <c r="P56" s="14">
        <f>AUG!M56</f>
        <v/>
      </c>
      <c r="Q56" s="14">
        <f>SEP!M56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OCT!M57</f>
        <v/>
      </c>
      <c r="D57" s="14">
        <f>NOV!M57</f>
        <v/>
      </c>
      <c r="E57" s="14">
        <f>DEC!M57</f>
        <v/>
      </c>
      <c r="F57" s="15">
        <f>IF(COUNT(C57:E57)=0,"",SUM(C57:E57))</f>
        <v/>
      </c>
      <c r="G57" s="14">
        <f>JAN!M57</f>
        <v/>
      </c>
      <c r="H57" s="14">
        <f>FEB!M57</f>
        <v/>
      </c>
      <c r="I57" s="14">
        <f>MAR!M57</f>
        <v/>
      </c>
      <c r="J57" s="15">
        <f>IF(COUNT(G57:I57)=0,"",SUM(G57:I57))</f>
        <v/>
      </c>
      <c r="K57" s="14">
        <f>APR!M57</f>
        <v/>
      </c>
      <c r="L57" s="14">
        <f>MAY!M57</f>
        <v/>
      </c>
      <c r="M57" s="14">
        <f>JUN!M57</f>
        <v/>
      </c>
      <c r="N57" s="15">
        <f>IF(COUNT(K57:M57)=0,"",SUM(K57:M57))</f>
        <v/>
      </c>
      <c r="O57" s="14">
        <f>JUL!M57</f>
        <v/>
      </c>
      <c r="P57" s="14">
        <f>AUG!M57</f>
        <v/>
      </c>
      <c r="Q57" s="14">
        <f>SEP!M57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OCT!M58</f>
        <v/>
      </c>
      <c r="D58" s="14">
        <f>NOV!M58</f>
        <v/>
      </c>
      <c r="E58" s="14">
        <f>DEC!M58</f>
        <v/>
      </c>
      <c r="F58" s="15">
        <f>IF(COUNT(C58:E58)=0,"",SUM(C58:E58))</f>
        <v/>
      </c>
      <c r="G58" s="14">
        <f>JAN!M58</f>
        <v/>
      </c>
      <c r="H58" s="14">
        <f>FEB!M58</f>
        <v/>
      </c>
      <c r="I58" s="14">
        <f>MAR!M58</f>
        <v/>
      </c>
      <c r="J58" s="15">
        <f>IF(COUNT(G58:I58)=0,"",SUM(G58:I58))</f>
        <v/>
      </c>
      <c r="K58" s="14">
        <f>APR!M58</f>
        <v/>
      </c>
      <c r="L58" s="14">
        <f>MAY!M58</f>
        <v/>
      </c>
      <c r="M58" s="14">
        <f>JUN!M58</f>
        <v/>
      </c>
      <c r="N58" s="15">
        <f>IF(COUNT(K58:M58)=0,"",SUM(K58:M58))</f>
        <v/>
      </c>
      <c r="O58" s="14">
        <f>JUL!M58</f>
        <v/>
      </c>
      <c r="P58" s="14">
        <f>AUG!M58</f>
        <v/>
      </c>
      <c r="Q58" s="14">
        <f>SEP!M58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OCT!M59</f>
        <v/>
      </c>
      <c r="D59" s="14">
        <f>NOV!M59</f>
        <v/>
      </c>
      <c r="E59" s="14">
        <f>DEC!M59</f>
        <v/>
      </c>
      <c r="F59" s="15">
        <f>IF(COUNT(C59:E59)=0,"",SUM(C59:E59))</f>
        <v/>
      </c>
      <c r="G59" s="14">
        <f>JAN!M59</f>
        <v/>
      </c>
      <c r="H59" s="14">
        <f>FEB!M59</f>
        <v/>
      </c>
      <c r="I59" s="14">
        <f>MAR!M59</f>
        <v/>
      </c>
      <c r="J59" s="15">
        <f>IF(COUNT(G59:I59)=0,"",SUM(G59:I59))</f>
        <v/>
      </c>
      <c r="K59" s="14">
        <f>APR!M59</f>
        <v/>
      </c>
      <c r="L59" s="14">
        <f>MAY!M59</f>
        <v/>
      </c>
      <c r="M59" s="14">
        <f>JUN!M59</f>
        <v/>
      </c>
      <c r="N59" s="15">
        <f>IF(COUNT(K59:M59)=0,"",SUM(K59:M59))</f>
        <v/>
      </c>
      <c r="O59" s="14">
        <f>JUL!M59</f>
        <v/>
      </c>
      <c r="P59" s="14">
        <f>AUG!M59</f>
        <v/>
      </c>
      <c r="Q59" s="14">
        <f>SEP!M59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OCT!M60</f>
        <v/>
      </c>
      <c r="D60" s="19">
        <f>NOV!M60</f>
        <v/>
      </c>
      <c r="E60" s="19">
        <f>DEC!M60</f>
        <v/>
      </c>
      <c r="F60" s="20">
        <f>IFERROR(F50/F$55,"")</f>
        <v/>
      </c>
      <c r="G60" s="19">
        <f>JAN!M60</f>
        <v/>
      </c>
      <c r="H60" s="19">
        <f>FEB!M60</f>
        <v/>
      </c>
      <c r="I60" s="19">
        <f>MAR!M60</f>
        <v/>
      </c>
      <c r="J60" s="20">
        <f>IFERROR(J50/J$55,"")</f>
        <v/>
      </c>
      <c r="K60" s="19">
        <f>APR!M60</f>
        <v/>
      </c>
      <c r="L60" s="19">
        <f>MAY!M60</f>
        <v/>
      </c>
      <c r="M60" s="19">
        <f>JUN!M60</f>
        <v/>
      </c>
      <c r="N60" s="20">
        <f>IFERROR(N50/N$55,"")</f>
        <v/>
      </c>
      <c r="O60" s="19">
        <f>JUL!M60</f>
        <v/>
      </c>
      <c r="P60" s="19">
        <f>AUG!M60</f>
        <v/>
      </c>
      <c r="Q60" s="19">
        <f>SEP!M60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OCT!M61</f>
        <v/>
      </c>
      <c r="D61" s="19">
        <f>NOV!M61</f>
        <v/>
      </c>
      <c r="E61" s="19">
        <f>DEC!M61</f>
        <v/>
      </c>
      <c r="F61" s="20">
        <f>IFERROR(F51/F$55,"")</f>
        <v/>
      </c>
      <c r="G61" s="19">
        <f>JAN!M61</f>
        <v/>
      </c>
      <c r="H61" s="19">
        <f>FEB!M61</f>
        <v/>
      </c>
      <c r="I61" s="19">
        <f>MAR!M61</f>
        <v/>
      </c>
      <c r="J61" s="20">
        <f>IFERROR(J51/J$55,"")</f>
        <v/>
      </c>
      <c r="K61" s="19">
        <f>APR!M61</f>
        <v/>
      </c>
      <c r="L61" s="19">
        <f>MAY!M61</f>
        <v/>
      </c>
      <c r="M61" s="19">
        <f>JUN!M61</f>
        <v/>
      </c>
      <c r="N61" s="20">
        <f>IFERROR(N51/N$55,"")</f>
        <v/>
      </c>
      <c r="O61" s="19">
        <f>JUL!M61</f>
        <v/>
      </c>
      <c r="P61" s="19">
        <f>AUG!M61</f>
        <v/>
      </c>
      <c r="Q61" s="19">
        <f>SEP!M61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OCT!M62</f>
        <v/>
      </c>
      <c r="D62" s="19">
        <f>NOV!M62</f>
        <v/>
      </c>
      <c r="E62" s="19">
        <f>DEC!M62</f>
        <v/>
      </c>
      <c r="F62" s="20">
        <f>IFERROR(F52/F$55,"")</f>
        <v/>
      </c>
      <c r="G62" s="19">
        <f>JAN!M62</f>
        <v/>
      </c>
      <c r="H62" s="19">
        <f>FEB!M62</f>
        <v/>
      </c>
      <c r="I62" s="19">
        <f>MAR!M62</f>
        <v/>
      </c>
      <c r="J62" s="20">
        <f>IFERROR(J52/J$55,"")</f>
        <v/>
      </c>
      <c r="K62" s="19">
        <f>APR!M62</f>
        <v/>
      </c>
      <c r="L62" s="19">
        <f>MAY!M62</f>
        <v/>
      </c>
      <c r="M62" s="19">
        <f>JUN!M62</f>
        <v/>
      </c>
      <c r="N62" s="20">
        <f>IFERROR(N52/N$55,"")</f>
        <v/>
      </c>
      <c r="O62" s="19">
        <f>JUL!M62</f>
        <v/>
      </c>
      <c r="P62" s="19">
        <f>AUG!M62</f>
        <v/>
      </c>
      <c r="Q62" s="19">
        <f>SEP!M62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OCT!M63</f>
        <v/>
      </c>
      <c r="D63" s="19">
        <f>NOV!M63</f>
        <v/>
      </c>
      <c r="E63" s="19">
        <f>DEC!M63</f>
        <v/>
      </c>
      <c r="F63" s="20">
        <f>IFERROR(F53/F$55,"")</f>
        <v/>
      </c>
      <c r="G63" s="19">
        <f>JAN!M63</f>
        <v/>
      </c>
      <c r="H63" s="19">
        <f>FEB!M63</f>
        <v/>
      </c>
      <c r="I63" s="19">
        <f>MAR!M63</f>
        <v/>
      </c>
      <c r="J63" s="20">
        <f>IFERROR(J53/J$55,"")</f>
        <v/>
      </c>
      <c r="K63" s="19">
        <f>APR!M63</f>
        <v/>
      </c>
      <c r="L63" s="19">
        <f>MAY!M63</f>
        <v/>
      </c>
      <c r="M63" s="19">
        <f>JUN!M63</f>
        <v/>
      </c>
      <c r="N63" s="20">
        <f>IFERROR(N53/N$55,"")</f>
        <v/>
      </c>
      <c r="O63" s="19">
        <f>JUL!M63</f>
        <v/>
      </c>
      <c r="P63" s="19">
        <f>AUG!M63</f>
        <v/>
      </c>
      <c r="Q63" s="19">
        <f>SEP!M63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OCT!M64</f>
        <v/>
      </c>
      <c r="D64" s="19">
        <f>NOV!M64</f>
        <v/>
      </c>
      <c r="E64" s="19">
        <f>DEC!M64</f>
        <v/>
      </c>
      <c r="F64" s="20">
        <f>IFERROR(F54/F$55,"")</f>
        <v/>
      </c>
      <c r="G64" s="19">
        <f>JAN!M64</f>
        <v/>
      </c>
      <c r="H64" s="19">
        <f>FEB!M64</f>
        <v/>
      </c>
      <c r="I64" s="19">
        <f>MAR!M64</f>
        <v/>
      </c>
      <c r="J64" s="20">
        <f>IFERROR(J54/J$55,"")</f>
        <v/>
      </c>
      <c r="K64" s="19">
        <f>APR!M64</f>
        <v/>
      </c>
      <c r="L64" s="19">
        <f>MAY!M64</f>
        <v/>
      </c>
      <c r="M64" s="19">
        <f>JUN!M64</f>
        <v/>
      </c>
      <c r="N64" s="20">
        <f>IFERROR(N54/N$55,"")</f>
        <v/>
      </c>
      <c r="O64" s="19">
        <f>JUL!M64</f>
        <v/>
      </c>
      <c r="P64" s="19">
        <f>AUG!M64</f>
        <v/>
      </c>
      <c r="Q64" s="19">
        <f>SEP!M64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OCT!M65</f>
        <v/>
      </c>
      <c r="D65" s="19">
        <f>NOV!M65</f>
        <v/>
      </c>
      <c r="E65" s="19">
        <f>DEC!M65</f>
        <v/>
      </c>
      <c r="F65" s="20">
        <f>IFERROR(F56/SUM(C5:E5),"")</f>
        <v/>
      </c>
      <c r="G65" s="19">
        <f>JAN!M65</f>
        <v/>
      </c>
      <c r="H65" s="19">
        <f>FEB!M65</f>
        <v/>
      </c>
      <c r="I65" s="19">
        <f>MAR!M65</f>
        <v/>
      </c>
      <c r="J65" s="20">
        <f>IFERROR(J56/SUM(G5:I5),"")</f>
        <v/>
      </c>
      <c r="K65" s="19">
        <f>APR!M65</f>
        <v/>
      </c>
      <c r="L65" s="19">
        <f>MAY!M65</f>
        <v/>
      </c>
      <c r="M65" s="19">
        <f>JUN!M65</f>
        <v/>
      </c>
      <c r="N65" s="20">
        <f>IFERROR(N56/SUM(K5:M5),"")</f>
        <v/>
      </c>
      <c r="O65" s="19">
        <f>JUL!M65</f>
        <v/>
      </c>
      <c r="P65" s="19">
        <f>AUG!M65</f>
        <v/>
      </c>
      <c r="Q65" s="19">
        <f>SEP!M65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OCT!M66</f>
        <v/>
      </c>
      <c r="D66" s="16">
        <f>NOV!M66</f>
        <v/>
      </c>
      <c r="E66" s="16">
        <f>DEC!M66</f>
        <v/>
      </c>
      <c r="F66" s="17">
        <f>IFERROR(F55/F5,"")</f>
        <v/>
      </c>
      <c r="G66" s="16">
        <f>JAN!M66</f>
        <v/>
      </c>
      <c r="H66" s="16">
        <f>FEB!M66</f>
        <v/>
      </c>
      <c r="I66" s="16">
        <f>MAR!M66</f>
        <v/>
      </c>
      <c r="J66" s="17">
        <f>IFERROR(J55/J5,"")</f>
        <v/>
      </c>
      <c r="K66" s="16">
        <f>APR!M66</f>
        <v/>
      </c>
      <c r="L66" s="16">
        <f>MAY!M66</f>
        <v/>
      </c>
      <c r="M66" s="16">
        <f>JUN!M66</f>
        <v/>
      </c>
      <c r="N66" s="17">
        <f>IFERROR(N55/N5,"")</f>
        <v/>
      </c>
      <c r="O66" s="16">
        <f>JUL!M66</f>
        <v/>
      </c>
      <c r="P66" s="16">
        <f>AUG!M66</f>
        <v/>
      </c>
      <c r="Q66" s="16">
        <f>SEP!M66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OCT!M67</f>
        <v/>
      </c>
      <c r="D67" s="16">
        <f>NOV!M67</f>
        <v/>
      </c>
      <c r="E67" s="16">
        <f>DEC!M67</f>
        <v/>
      </c>
      <c r="F67" s="17">
        <f>IFERROR(F55/F56,"")</f>
        <v/>
      </c>
      <c r="G67" s="16">
        <f>JAN!M67</f>
        <v/>
      </c>
      <c r="H67" s="16">
        <f>FEB!M67</f>
        <v/>
      </c>
      <c r="I67" s="16">
        <f>MAR!M67</f>
        <v/>
      </c>
      <c r="J67" s="17">
        <f>IFERROR(J55/J56,"")</f>
        <v/>
      </c>
      <c r="K67" s="16">
        <f>APR!M67</f>
        <v/>
      </c>
      <c r="L67" s="16">
        <f>MAY!M67</f>
        <v/>
      </c>
      <c r="M67" s="16">
        <f>JUN!M67</f>
        <v/>
      </c>
      <c r="N67" s="17">
        <f>IFERROR(N55/N56,"")</f>
        <v/>
      </c>
      <c r="O67" s="16">
        <f>JUL!M67</f>
        <v/>
      </c>
      <c r="P67" s="16">
        <f>AUG!M67</f>
        <v/>
      </c>
      <c r="Q67" s="16">
        <f>SEP!M67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OCT!M68</f>
        <v/>
      </c>
      <c r="D68" s="16">
        <f>NOV!M68</f>
        <v/>
      </c>
      <c r="E68" s="16">
        <f>DEC!M68</f>
        <v/>
      </c>
      <c r="F68" s="17">
        <f>IF(COUNT(F58:F59)=0,"",IFERROR((N(F58)+N(F59))/F5,""))</f>
        <v/>
      </c>
      <c r="G68" s="16">
        <f>JAN!M68</f>
        <v/>
      </c>
      <c r="H68" s="16">
        <f>FEB!M68</f>
        <v/>
      </c>
      <c r="I68" s="16">
        <f>MAR!M68</f>
        <v/>
      </c>
      <c r="J68" s="17">
        <f>IF(COUNT(J58:J59)=0,"",IFERROR((N(J58)+N(J59))/J5,""))</f>
        <v/>
      </c>
      <c r="K68" s="16">
        <f>APR!M68</f>
        <v/>
      </c>
      <c r="L68" s="16">
        <f>MAY!M68</f>
        <v/>
      </c>
      <c r="M68" s="16">
        <f>JUN!M68</f>
        <v/>
      </c>
      <c r="N68" s="17">
        <f>IF(COUNT(N58:N59)=0,"",IFERROR((N(N58)+N(N59))/N5,""))</f>
        <v/>
      </c>
      <c r="O68" s="16">
        <f>JUL!M68</f>
        <v/>
      </c>
      <c r="P68" s="16">
        <f>AUG!M68</f>
        <v/>
      </c>
      <c r="Q68" s="16">
        <f>SEP!M68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OCT!M69</f>
        <v/>
      </c>
      <c r="D69" s="16">
        <f>NOV!M69</f>
        <v/>
      </c>
      <c r="E69" s="16">
        <f>DEC!M69</f>
        <v/>
      </c>
      <c r="F69" s="17">
        <f>IF(COUNT(F58:F59)=0,"",IFERROR((N(F58)+N(F59))/F56,""))</f>
        <v/>
      </c>
      <c r="G69" s="16">
        <f>JAN!M69</f>
        <v/>
      </c>
      <c r="H69" s="16">
        <f>FEB!M69</f>
        <v/>
      </c>
      <c r="I69" s="16">
        <f>MAR!M69</f>
        <v/>
      </c>
      <c r="J69" s="17">
        <f>IF(COUNT(J58:J59)=0,"",IFERROR((N(J58)+N(J59))/J56,""))</f>
        <v/>
      </c>
      <c r="K69" s="16">
        <f>APR!M69</f>
        <v/>
      </c>
      <c r="L69" s="16">
        <f>MAY!M69</f>
        <v/>
      </c>
      <c r="M69" s="16">
        <f>JUN!M69</f>
        <v/>
      </c>
      <c r="N69" s="17">
        <f>IF(COUNT(N58:N59)=0,"",IFERROR((N(N58)+N(N59))/N56,""))</f>
        <v/>
      </c>
      <c r="O69" s="16">
        <f>JUL!M69</f>
        <v/>
      </c>
      <c r="P69" s="16">
        <f>AUG!M69</f>
        <v/>
      </c>
      <c r="Q69" s="16">
        <f>SEP!M69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OCT!M70</f>
        <v/>
      </c>
      <c r="D70" s="14">
        <f>NOV!M70</f>
        <v/>
      </c>
      <c r="E70" s="14">
        <f>DEC!M70</f>
        <v/>
      </c>
      <c r="F70" s="14">
        <f>SUM(C70:E70)</f>
        <v/>
      </c>
      <c r="G70" s="14">
        <f>JAN!M70</f>
        <v/>
      </c>
      <c r="H70" s="14">
        <f>FEB!M70</f>
        <v/>
      </c>
      <c r="I70" s="14">
        <f>MAR!M70</f>
        <v/>
      </c>
      <c r="J70" s="14">
        <f>SUM(G70:I70)</f>
        <v/>
      </c>
      <c r="K70" s="14">
        <f>APR!M70</f>
        <v/>
      </c>
      <c r="L70" s="14">
        <f>MAY!M70</f>
        <v/>
      </c>
      <c r="M70" s="14">
        <f>JUN!M70</f>
        <v/>
      </c>
      <c r="N70" s="14">
        <f>SUM(K70:M70)</f>
        <v/>
      </c>
      <c r="O70" s="14">
        <f>JUL!M70</f>
        <v/>
      </c>
      <c r="P70" s="14">
        <f>AUG!M70</f>
        <v/>
      </c>
      <c r="Q70" s="14">
        <f>SEP!M70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IF('(Calloway_AUA)'!$AB$4="","",'(Calloway_AUA)'!$AB$4)</f>
        <v/>
      </c>
      <c r="D39" s="14">
        <f>IF('(Airport_BRB)'!$AB$4="","",'(Airport_BRB)'!$AB$4)</f>
        <v/>
      </c>
      <c r="E39" s="14">
        <f>IF('(GCG_BRB)'!$AB$4="","",'(GCG_BRB)'!$AB$4)</f>
        <v/>
      </c>
      <c r="F39" s="14">
        <f>IF('(Ground_BRB)'!$AB$4="","",'(Ground_BRB)'!$AB$4)</f>
        <v/>
      </c>
      <c r="G39" s="14">
        <f>IF('(GCG_CUR)'!$AB$4="","",'(GCG_CUR)'!$AB$4)</f>
        <v/>
      </c>
      <c r="H39" s="14">
        <f>IF('(Events_CUR)'!$AB$4="","",'(Events_CUR)'!$AB$4)</f>
        <v/>
      </c>
      <c r="I39" s="14">
        <f>IF('(GCG_SXM_Sky)'!$AB$4="","",'(GCG_SXM_Sky)'!$AB$4)</f>
        <v/>
      </c>
      <c r="J39" s="14">
        <f>IF('(GCG_SXM_Airport)'!$AB$4="","",'(GCG_SXM_Airport)'!$AB$4)</f>
        <v/>
      </c>
      <c r="K39" s="14">
        <f>IF('(Allied_TTO)'!$AB$4="","",'(Allied_TTO)'!$AB$4)</f>
        <v/>
      </c>
      <c r="L39" s="14">
        <f>IF('(Katerserv_TTO)'!$AB$4="","",'(Katerserv_TTO)'!$AB$4)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IF('(Calloway_AUA)'!$AD$4="","",'(Calloway_AUA)'!$AD$4)</f>
        <v/>
      </c>
      <c r="D40" s="14">
        <f>IF('(Airport_BRB)'!$AD$4="","",'(Airport_BRB)'!$AD$4)</f>
        <v/>
      </c>
      <c r="E40" s="14">
        <f>IF('(GCG_BRB)'!$AD$4="","",'(GCG_BRB)'!$AD$4)</f>
        <v/>
      </c>
      <c r="F40" s="14">
        <f>IF('(Ground_BRB)'!$AD$4="","",'(Ground_BRB)'!$AD$4)</f>
        <v/>
      </c>
      <c r="G40" s="14">
        <f>IF('(GCG_CUR)'!$AD$4="","",'(GCG_CUR)'!$AD$4)</f>
        <v/>
      </c>
      <c r="H40" s="14">
        <f>IF('(Events_CUR)'!$AD$4="","",'(Events_CUR)'!$AD$4)</f>
        <v/>
      </c>
      <c r="I40" s="14">
        <f>IF('(GCG_SXM_Sky)'!$AD$4="","",'(GCG_SXM_Sky)'!$AD$4)</f>
        <v/>
      </c>
      <c r="J40" s="14">
        <f>IF('(GCG_SXM_Airport)'!$AD$4="","",'(GCG_SXM_Airport)'!$AD$4)</f>
        <v/>
      </c>
      <c r="K40" s="14">
        <f>IF('(Allied_TTO)'!$AD$4="","",'(Allied_TTO)'!$AD$4)</f>
        <v/>
      </c>
      <c r="L40" s="14">
        <f>IF('(Katerserv_TTO)'!$AD$4="","",'(Katerserv_TTO)'!$AD$4)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IF('(Calloway_AUA)'!$G$4="","",'(Calloway_AUA)'!$G$4)</f>
        <v/>
      </c>
      <c r="D46" s="19">
        <f>IF('(Airport_BRB)'!$G$4="","",'(Airport_BRB)'!$G$4)</f>
        <v/>
      </c>
      <c r="E46" s="19">
        <f>IF('(GCG_BRB)'!$G$4="","",'(GCG_BRB)'!$G$4)</f>
        <v/>
      </c>
      <c r="F46" s="19">
        <f>IF('(Ground_BRB)'!$G$4="","",'(Ground_BRB)'!$G$4)</f>
        <v/>
      </c>
      <c r="G46" s="19">
        <f>IF('(GCG_CUR)'!$G$4="","",'(GCG_CUR)'!$G$4)</f>
        <v/>
      </c>
      <c r="H46" s="19">
        <f>IF('(Events_CUR)'!$G$4="","",'(Events_CUR)'!$G$4)</f>
        <v/>
      </c>
      <c r="I46" s="19">
        <f>IF('(GCG_SXM_Sky)'!$G$4="","",'(GCG_SXM_Sky)'!$G$4)</f>
        <v/>
      </c>
      <c r="J46" s="19">
        <f>IF('(GCG_SXM_Airport)'!$G$4="","",'(GCG_SXM_Airport)'!$G$4)</f>
        <v/>
      </c>
      <c r="K46" s="19">
        <f>IF('(Allied_TTO)'!$G$4="","",'(Allied_TTO)'!$G$4)</f>
        <v/>
      </c>
      <c r="L46" s="19">
        <f>IF('(Katerserv_TTO)'!$G$4="","",'(Katerserv_TTO)'!$G$4)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IF('(Calloway_AUA)'!$O$4="","",'(Calloway_AUA)'!$O$4)</f>
        <v/>
      </c>
      <c r="D47" s="19">
        <f>IF('(Airport_BRB)'!$O$4="","",'(Airport_BRB)'!$O$4)</f>
        <v/>
      </c>
      <c r="E47" s="19">
        <f>IF('(GCG_BRB)'!$O$4="","",'(GCG_BRB)'!$O$4)</f>
        <v/>
      </c>
      <c r="F47" s="19">
        <f>IF('(Ground_BRB)'!$O$4="","",'(Ground_BRB)'!$O$4)</f>
        <v/>
      </c>
      <c r="G47" s="19">
        <f>IF('(GCG_CUR)'!$O$4="","",'(GCG_CUR)'!$O$4)</f>
        <v/>
      </c>
      <c r="H47" s="19">
        <f>IF('(Events_CUR)'!$O$4="","",'(Events_CUR)'!$O$4)</f>
        <v/>
      </c>
      <c r="I47" s="19">
        <f>IF('(GCG_SXM_Sky)'!$O$4="","",'(GCG_SXM_Sky)'!$O$4)</f>
        <v/>
      </c>
      <c r="J47" s="19">
        <f>IF('(GCG_SXM_Airport)'!$O$4="","",'(GCG_SXM_Airport)'!$O$4)</f>
        <v/>
      </c>
      <c r="K47" s="19">
        <f>IF('(Allied_TTO)'!$O$4="","",'(Allied_TTO)'!$O$4)</f>
        <v/>
      </c>
      <c r="L47" s="19">
        <f>IF('(Katerserv_TTO)'!$O$4="","",'(Katerserv_TTO)'!$O$4)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11">
        <f>IF(OCT!J5="","",OCT!J5)</f>
        <v/>
      </c>
      <c r="K31" s="11">
        <f>IF(OCT!K5="","",OCT!K5)</f>
        <v/>
      </c>
      <c r="L31" s="11">
        <f>IF(OCT!L5="","",OCT!L5)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IF('(Calloway_AUA)'!$AB$5="","",'(Calloway_AUA)'!$AB$5)</f>
        <v/>
      </c>
      <c r="D39" s="14">
        <f>IF('(Airport_BRB)'!$AB$5="","",'(Airport_BRB)'!$AB$5)</f>
        <v/>
      </c>
      <c r="E39" s="14">
        <f>IF('(GCG_BRB)'!$AB$5="","",'(GCG_BRB)'!$AB$5)</f>
        <v/>
      </c>
      <c r="F39" s="14">
        <f>IF('(Ground_BRB)'!$AB$5="","",'(Ground_BRB)'!$AB$5)</f>
        <v/>
      </c>
      <c r="G39" s="14">
        <f>IF('(GCG_CUR)'!$AB$5="","",'(GCG_CUR)'!$AB$5)</f>
        <v/>
      </c>
      <c r="H39" s="14">
        <f>IF('(Events_CUR)'!$AB$5="","",'(Events_CUR)'!$AB$5)</f>
        <v/>
      </c>
      <c r="I39" s="14">
        <f>IF('(GCG_SXM_Sky)'!$AB$5="","",'(GCG_SXM_Sky)'!$AB$5)</f>
        <v/>
      </c>
      <c r="J39" s="14">
        <f>IF('(GCG_SXM_Airport)'!$AB$5="","",'(GCG_SXM_Airport)'!$AB$5)</f>
        <v/>
      </c>
      <c r="K39" s="14">
        <f>IF('(Allied_TTO)'!$AB$5="","",'(Allied_TTO)'!$AB$5)</f>
        <v/>
      </c>
      <c r="L39" s="14">
        <f>IF('(Katerserv_TTO)'!$AB$5="","",'(Katerserv_TTO)'!$AB$5)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IF('(Calloway_AUA)'!$AD$5="","",'(Calloway_AUA)'!$AD$5)</f>
        <v/>
      </c>
      <c r="D40" s="14">
        <f>IF('(Airport_BRB)'!$AD$5="","",'(Airport_BRB)'!$AD$5)</f>
        <v/>
      </c>
      <c r="E40" s="14">
        <f>IF('(GCG_BRB)'!$AD$5="","",'(GCG_BRB)'!$AD$5)</f>
        <v/>
      </c>
      <c r="F40" s="14">
        <f>IF('(Ground_BRB)'!$AD$5="","",'(Ground_BRB)'!$AD$5)</f>
        <v/>
      </c>
      <c r="G40" s="14">
        <f>IF('(GCG_CUR)'!$AD$5="","",'(GCG_CUR)'!$AD$5)</f>
        <v/>
      </c>
      <c r="H40" s="14">
        <f>IF('(Events_CUR)'!$AD$5="","",'(Events_CUR)'!$AD$5)</f>
        <v/>
      </c>
      <c r="I40" s="14">
        <f>IF('(GCG_SXM_Sky)'!$AD$5="","",'(GCG_SXM_Sky)'!$AD$5)</f>
        <v/>
      </c>
      <c r="J40" s="14">
        <f>IF('(GCG_SXM_Airport)'!$AD$5="","",'(GCG_SXM_Airport)'!$AD$5)</f>
        <v/>
      </c>
      <c r="K40" s="14">
        <f>IF('(Allied_TTO)'!$AD$5="","",'(Allied_TTO)'!$AD$5)</f>
        <v/>
      </c>
      <c r="L40" s="14">
        <f>IF('(Katerserv_TTO)'!$AD$5="","",'(Katerserv_TTO)'!$AD$5)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IF('(Calloway_AUA)'!$G$5="","",'(Calloway_AUA)'!$G$5)</f>
        <v/>
      </c>
      <c r="D46" s="19">
        <f>IF('(Airport_BRB)'!$G$5="","",'(Airport_BRB)'!$G$5)</f>
        <v/>
      </c>
      <c r="E46" s="19">
        <f>IF('(GCG_BRB)'!$G$5="","",'(GCG_BRB)'!$G$5)</f>
        <v/>
      </c>
      <c r="F46" s="19">
        <f>IF('(Ground_BRB)'!$G$5="","",'(Ground_BRB)'!$G$5)</f>
        <v/>
      </c>
      <c r="G46" s="19">
        <f>IF('(GCG_CUR)'!$G$5="","",'(GCG_CUR)'!$G$5)</f>
        <v/>
      </c>
      <c r="H46" s="19">
        <f>IF('(Events_CUR)'!$G$5="","",'(Events_CUR)'!$G$5)</f>
        <v/>
      </c>
      <c r="I46" s="19">
        <f>IF('(GCG_SXM_Sky)'!$G$5="","",'(GCG_SXM_Sky)'!$G$5)</f>
        <v/>
      </c>
      <c r="J46" s="19">
        <f>IF('(GCG_SXM_Airport)'!$G$5="","",'(GCG_SXM_Airport)'!$G$5)</f>
        <v/>
      </c>
      <c r="K46" s="19">
        <f>IF('(Allied_TTO)'!$G$5="","",'(Allied_TTO)'!$G$5)</f>
        <v/>
      </c>
      <c r="L46" s="19">
        <f>IF('(Katerserv_TTO)'!$G$5="","",'(Katerserv_TTO)'!$G$5)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IF('(Calloway_AUA)'!$O$5="","",'(Calloway_AUA)'!$O$5)</f>
        <v/>
      </c>
      <c r="D47" s="19">
        <f>IF('(Airport_BRB)'!$O$5="","",'(Airport_BRB)'!$O$5)</f>
        <v/>
      </c>
      <c r="E47" s="19">
        <f>IF('(GCG_BRB)'!$O$5="","",'(GCG_BRB)'!$O$5)</f>
        <v/>
      </c>
      <c r="F47" s="19">
        <f>IF('(Ground_BRB)'!$O$5="","",'(Ground_BRB)'!$O$5)</f>
        <v/>
      </c>
      <c r="G47" s="19">
        <f>IF('(GCG_CUR)'!$O$5="","",'(GCG_CUR)'!$O$5)</f>
        <v/>
      </c>
      <c r="H47" s="19">
        <f>IF('(Events_CUR)'!$O$5="","",'(Events_CUR)'!$O$5)</f>
        <v/>
      </c>
      <c r="I47" s="19">
        <f>IF('(GCG_SXM_Sky)'!$O$5="","",'(GCG_SXM_Sky)'!$O$5)</f>
        <v/>
      </c>
      <c r="J47" s="19">
        <f>IF('(GCG_SXM_Airport)'!$O$5="","",'(GCG_SXM_Airport)'!$O$5)</f>
        <v/>
      </c>
      <c r="K47" s="19">
        <f>IF('(Allied_TTO)'!$O$5="","",'(Allied_TTO)'!$O$5)</f>
        <v/>
      </c>
      <c r="L47" s="19">
        <f>IF('(Katerserv_TTO)'!$O$5="","",'(Katerserv_TTO)'!$O$5)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11">
        <f>IF(NOV!J5="","",NOV!J5)</f>
        <v/>
      </c>
      <c r="K31" s="11">
        <f>IF(NOV!K5="","",NOV!K5)</f>
        <v/>
      </c>
      <c r="L31" s="11">
        <f>IF(NOV!L5="","",NOV!L5)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IF('(Calloway_AUA)'!$AB$6="","",'(Calloway_AUA)'!$AB$6)</f>
        <v/>
      </c>
      <c r="D39" s="14">
        <f>IF('(Airport_BRB)'!$AB$6="","",'(Airport_BRB)'!$AB$6)</f>
        <v/>
      </c>
      <c r="E39" s="14">
        <f>IF('(GCG_BRB)'!$AB$6="","",'(GCG_BRB)'!$AB$6)</f>
        <v/>
      </c>
      <c r="F39" s="14">
        <f>IF('(Ground_BRB)'!$AB$6="","",'(Ground_BRB)'!$AB$6)</f>
        <v/>
      </c>
      <c r="G39" s="14">
        <f>IF('(GCG_CUR)'!$AB$6="","",'(GCG_CUR)'!$AB$6)</f>
        <v/>
      </c>
      <c r="H39" s="14">
        <f>IF('(Events_CUR)'!$AB$6="","",'(Events_CUR)'!$AB$6)</f>
        <v/>
      </c>
      <c r="I39" s="14">
        <f>IF('(GCG_SXM_Sky)'!$AB$6="","",'(GCG_SXM_Sky)'!$AB$6)</f>
        <v/>
      </c>
      <c r="J39" s="14">
        <f>IF('(GCG_SXM_Airport)'!$AB$6="","",'(GCG_SXM_Airport)'!$AB$6)</f>
        <v/>
      </c>
      <c r="K39" s="14">
        <f>IF('(Allied_TTO)'!$AB$6="","",'(Allied_TTO)'!$AB$6)</f>
        <v/>
      </c>
      <c r="L39" s="14">
        <f>IF('(Katerserv_TTO)'!$AB$6="","",'(Katerserv_TTO)'!$AB$6)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IF('(Calloway_AUA)'!$AD$6="","",'(Calloway_AUA)'!$AD$6)</f>
        <v/>
      </c>
      <c r="D40" s="14">
        <f>IF('(Airport_BRB)'!$AD$6="","",'(Airport_BRB)'!$AD$6)</f>
        <v/>
      </c>
      <c r="E40" s="14">
        <f>IF('(GCG_BRB)'!$AD$6="","",'(GCG_BRB)'!$AD$6)</f>
        <v/>
      </c>
      <c r="F40" s="14">
        <f>IF('(Ground_BRB)'!$AD$6="","",'(Ground_BRB)'!$AD$6)</f>
        <v/>
      </c>
      <c r="G40" s="14">
        <f>IF('(GCG_CUR)'!$AD$6="","",'(GCG_CUR)'!$AD$6)</f>
        <v/>
      </c>
      <c r="H40" s="14">
        <f>IF('(Events_CUR)'!$AD$6="","",'(Events_CUR)'!$AD$6)</f>
        <v/>
      </c>
      <c r="I40" s="14">
        <f>IF('(GCG_SXM_Sky)'!$AD$6="","",'(GCG_SXM_Sky)'!$AD$6)</f>
        <v/>
      </c>
      <c r="J40" s="14">
        <f>IF('(GCG_SXM_Airport)'!$AD$6="","",'(GCG_SXM_Airport)'!$AD$6)</f>
        <v/>
      </c>
      <c r="K40" s="14">
        <f>IF('(Allied_TTO)'!$AD$6="","",'(Allied_TTO)'!$AD$6)</f>
        <v/>
      </c>
      <c r="L40" s="14">
        <f>IF('(Katerserv_TTO)'!$AD$6="","",'(Katerserv_TTO)'!$AD$6)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IF('(Calloway_AUA)'!$G$6="","",'(Calloway_AUA)'!$G$6)</f>
        <v/>
      </c>
      <c r="D46" s="19">
        <f>IF('(Airport_BRB)'!$G$6="","",'(Airport_BRB)'!$G$6)</f>
        <v/>
      </c>
      <c r="E46" s="19">
        <f>IF('(GCG_BRB)'!$G$6="","",'(GCG_BRB)'!$G$6)</f>
        <v/>
      </c>
      <c r="F46" s="19">
        <f>IF('(Ground_BRB)'!$G$6="","",'(Ground_BRB)'!$G$6)</f>
        <v/>
      </c>
      <c r="G46" s="19">
        <f>IF('(GCG_CUR)'!$G$6="","",'(GCG_CUR)'!$G$6)</f>
        <v/>
      </c>
      <c r="H46" s="19">
        <f>IF('(Events_CUR)'!$G$6="","",'(Events_CUR)'!$G$6)</f>
        <v/>
      </c>
      <c r="I46" s="19">
        <f>IF('(GCG_SXM_Sky)'!$G$6="","",'(GCG_SXM_Sky)'!$G$6)</f>
        <v/>
      </c>
      <c r="J46" s="19">
        <f>IF('(GCG_SXM_Airport)'!$G$6="","",'(GCG_SXM_Airport)'!$G$6)</f>
        <v/>
      </c>
      <c r="K46" s="19">
        <f>IF('(Allied_TTO)'!$G$6="","",'(Allied_TTO)'!$G$6)</f>
        <v/>
      </c>
      <c r="L46" s="19">
        <f>IF('(Katerserv_TTO)'!$G$6="","",'(Katerserv_TTO)'!$G$6)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IF('(Calloway_AUA)'!$O$6="","",'(Calloway_AUA)'!$O$6)</f>
        <v/>
      </c>
      <c r="D47" s="19">
        <f>IF('(Airport_BRB)'!$O$6="","",'(Airport_BRB)'!$O$6)</f>
        <v/>
      </c>
      <c r="E47" s="19">
        <f>IF('(GCG_BRB)'!$O$6="","",'(GCG_BRB)'!$O$6)</f>
        <v/>
      </c>
      <c r="F47" s="19">
        <f>IF('(Ground_BRB)'!$O$6="","",'(Ground_BRB)'!$O$6)</f>
        <v/>
      </c>
      <c r="G47" s="19">
        <f>IF('(GCG_CUR)'!$O$6="","",'(GCG_CUR)'!$O$6)</f>
        <v/>
      </c>
      <c r="H47" s="19">
        <f>IF('(Events_CUR)'!$O$6="","",'(Events_CUR)'!$O$6)</f>
        <v/>
      </c>
      <c r="I47" s="19">
        <f>IF('(GCG_SXM_Sky)'!$O$6="","",'(GCG_SXM_Sky)'!$O$6)</f>
        <v/>
      </c>
      <c r="J47" s="19">
        <f>IF('(GCG_SXM_Airport)'!$O$6="","",'(GCG_SXM_Airport)'!$O$6)</f>
        <v/>
      </c>
      <c r="K47" s="19">
        <f>IF('(Allied_TTO)'!$O$6="","",'(Allied_TTO)'!$O$6)</f>
        <v/>
      </c>
      <c r="L47" s="19">
        <f>IF('(Katerserv_TTO)'!$O$6="","",'(Katerserv_TTO)'!$O$6)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11">
        <f>IF(DEC!J5="","",DEC!J5)</f>
        <v/>
      </c>
      <c r="K31" s="11">
        <f>IF(DEC!K5="","",DEC!K5)</f>
        <v/>
      </c>
      <c r="L31" s="11">
        <f>IF(DEC!L5="","",DEC!L5)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IF('(Calloway_AUA)'!$AB$7="","",'(Calloway_AUA)'!$AB$7)</f>
        <v/>
      </c>
      <c r="D39" s="14">
        <f>IF('(Airport_BRB)'!$AB$7="","",'(Airport_BRB)'!$AB$7)</f>
        <v/>
      </c>
      <c r="E39" s="14">
        <f>IF('(GCG_BRB)'!$AB$7="","",'(GCG_BRB)'!$AB$7)</f>
        <v/>
      </c>
      <c r="F39" s="14">
        <f>IF('(Ground_BRB)'!$AB$7="","",'(Ground_BRB)'!$AB$7)</f>
        <v/>
      </c>
      <c r="G39" s="14">
        <f>IF('(GCG_CUR)'!$AB$7="","",'(GCG_CUR)'!$AB$7)</f>
        <v/>
      </c>
      <c r="H39" s="14">
        <f>IF('(Events_CUR)'!$AB$7="","",'(Events_CUR)'!$AB$7)</f>
        <v/>
      </c>
      <c r="I39" s="14">
        <f>IF('(GCG_SXM_Sky)'!$AB$7="","",'(GCG_SXM_Sky)'!$AB$7)</f>
        <v/>
      </c>
      <c r="J39" s="14">
        <f>IF('(GCG_SXM_Airport)'!$AB$7="","",'(GCG_SXM_Airport)'!$AB$7)</f>
        <v/>
      </c>
      <c r="K39" s="14">
        <f>IF('(Allied_TTO)'!$AB$7="","",'(Allied_TTO)'!$AB$7)</f>
        <v/>
      </c>
      <c r="L39" s="14">
        <f>IF('(Katerserv_TTO)'!$AB$7="","",'(Katerserv_TTO)'!$AB$7)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IF('(Calloway_AUA)'!$AD$7="","",'(Calloway_AUA)'!$AD$7)</f>
        <v/>
      </c>
      <c r="D40" s="14">
        <f>IF('(Airport_BRB)'!$AD$7="","",'(Airport_BRB)'!$AD$7)</f>
        <v/>
      </c>
      <c r="E40" s="14">
        <f>IF('(GCG_BRB)'!$AD$7="","",'(GCG_BRB)'!$AD$7)</f>
        <v/>
      </c>
      <c r="F40" s="14">
        <f>IF('(Ground_BRB)'!$AD$7="","",'(Ground_BRB)'!$AD$7)</f>
        <v/>
      </c>
      <c r="G40" s="14">
        <f>IF('(GCG_CUR)'!$AD$7="","",'(GCG_CUR)'!$AD$7)</f>
        <v/>
      </c>
      <c r="H40" s="14">
        <f>IF('(Events_CUR)'!$AD$7="","",'(Events_CUR)'!$AD$7)</f>
        <v/>
      </c>
      <c r="I40" s="14">
        <f>IF('(GCG_SXM_Sky)'!$AD$7="","",'(GCG_SXM_Sky)'!$AD$7)</f>
        <v/>
      </c>
      <c r="J40" s="14">
        <f>IF('(GCG_SXM_Airport)'!$AD$7="","",'(GCG_SXM_Airport)'!$AD$7)</f>
        <v/>
      </c>
      <c r="K40" s="14">
        <f>IF('(Allied_TTO)'!$AD$7="","",'(Allied_TTO)'!$AD$7)</f>
        <v/>
      </c>
      <c r="L40" s="14">
        <f>IF('(Katerserv_TTO)'!$AD$7="","",'(Katerserv_TTO)'!$AD$7)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IF('(Calloway_AUA)'!$G$7="","",'(Calloway_AUA)'!$G$7)</f>
        <v/>
      </c>
      <c r="D46" s="19">
        <f>IF('(Airport_BRB)'!$G$7="","",'(Airport_BRB)'!$G$7)</f>
        <v/>
      </c>
      <c r="E46" s="19">
        <f>IF('(GCG_BRB)'!$G$7="","",'(GCG_BRB)'!$G$7)</f>
        <v/>
      </c>
      <c r="F46" s="19">
        <f>IF('(Ground_BRB)'!$G$7="","",'(Ground_BRB)'!$G$7)</f>
        <v/>
      </c>
      <c r="G46" s="19">
        <f>IF('(GCG_CUR)'!$G$7="","",'(GCG_CUR)'!$G$7)</f>
        <v/>
      </c>
      <c r="H46" s="19">
        <f>IF('(Events_CUR)'!$G$7="","",'(Events_CUR)'!$G$7)</f>
        <v/>
      </c>
      <c r="I46" s="19">
        <f>IF('(GCG_SXM_Sky)'!$G$7="","",'(GCG_SXM_Sky)'!$G$7)</f>
        <v/>
      </c>
      <c r="J46" s="19">
        <f>IF('(GCG_SXM_Airport)'!$G$7="","",'(GCG_SXM_Airport)'!$G$7)</f>
        <v/>
      </c>
      <c r="K46" s="19">
        <f>IF('(Allied_TTO)'!$G$7="","",'(Allied_TTO)'!$G$7)</f>
        <v/>
      </c>
      <c r="L46" s="19">
        <f>IF('(Katerserv_TTO)'!$G$7="","",'(Katerserv_TTO)'!$G$7)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IF('(Calloway_AUA)'!$O$7="","",'(Calloway_AUA)'!$O$7)</f>
        <v/>
      </c>
      <c r="D47" s="19">
        <f>IF('(Airport_BRB)'!$O$7="","",'(Airport_BRB)'!$O$7)</f>
        <v/>
      </c>
      <c r="E47" s="19">
        <f>IF('(GCG_BRB)'!$O$7="","",'(GCG_BRB)'!$O$7)</f>
        <v/>
      </c>
      <c r="F47" s="19">
        <f>IF('(Ground_BRB)'!$O$7="","",'(Ground_BRB)'!$O$7)</f>
        <v/>
      </c>
      <c r="G47" s="19">
        <f>IF('(GCG_CUR)'!$O$7="","",'(GCG_CUR)'!$O$7)</f>
        <v/>
      </c>
      <c r="H47" s="19">
        <f>IF('(Events_CUR)'!$O$7="","",'(Events_CUR)'!$O$7)</f>
        <v/>
      </c>
      <c r="I47" s="19">
        <f>IF('(GCG_SXM_Sky)'!$O$7="","",'(GCG_SXM_Sky)'!$O$7)</f>
        <v/>
      </c>
      <c r="J47" s="19">
        <f>IF('(GCG_SXM_Airport)'!$O$7="","",'(GCG_SXM_Airport)'!$O$7)</f>
        <v/>
      </c>
      <c r="K47" s="19">
        <f>IF('(Allied_TTO)'!$O$7="","",'(Allied_TTO)'!$O$7)</f>
        <v/>
      </c>
      <c r="L47" s="19">
        <f>IF('(Katerserv_TTO)'!$O$7="","",'(Katerserv_TTO)'!$O$7)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11">
        <f>IF(JAN!J5="","",JAN!J5)</f>
        <v/>
      </c>
      <c r="K31" s="11">
        <f>IF(JAN!K5="","",JAN!K5)</f>
        <v/>
      </c>
      <c r="L31" s="11">
        <f>IF(JAN!L5="","",JAN!L5)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IF('(Calloway_AUA)'!$AB$8="","",'(Calloway_AUA)'!$AB$8)</f>
        <v/>
      </c>
      <c r="D39" s="14">
        <f>IF('(Airport_BRB)'!$AB$8="","",'(Airport_BRB)'!$AB$8)</f>
        <v/>
      </c>
      <c r="E39" s="14">
        <f>IF('(GCG_BRB)'!$AB$8="","",'(GCG_BRB)'!$AB$8)</f>
        <v/>
      </c>
      <c r="F39" s="14">
        <f>IF('(Ground_BRB)'!$AB$8="","",'(Ground_BRB)'!$AB$8)</f>
        <v/>
      </c>
      <c r="G39" s="14">
        <f>IF('(GCG_CUR)'!$AB$8="","",'(GCG_CUR)'!$AB$8)</f>
        <v/>
      </c>
      <c r="H39" s="14">
        <f>IF('(Events_CUR)'!$AB$8="","",'(Events_CUR)'!$AB$8)</f>
        <v/>
      </c>
      <c r="I39" s="14">
        <f>IF('(GCG_SXM_Sky)'!$AB$8="","",'(GCG_SXM_Sky)'!$AB$8)</f>
        <v/>
      </c>
      <c r="J39" s="14">
        <f>IF('(GCG_SXM_Airport)'!$AB$8="","",'(GCG_SXM_Airport)'!$AB$8)</f>
        <v/>
      </c>
      <c r="K39" s="14">
        <f>IF('(Allied_TTO)'!$AB$8="","",'(Allied_TTO)'!$AB$8)</f>
        <v/>
      </c>
      <c r="L39" s="14">
        <f>IF('(Katerserv_TTO)'!$AB$8="","",'(Katerserv_TTO)'!$AB$8)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IF('(Calloway_AUA)'!$AD$8="","",'(Calloway_AUA)'!$AD$8)</f>
        <v/>
      </c>
      <c r="D40" s="14">
        <f>IF('(Airport_BRB)'!$AD$8="","",'(Airport_BRB)'!$AD$8)</f>
        <v/>
      </c>
      <c r="E40" s="14">
        <f>IF('(GCG_BRB)'!$AD$8="","",'(GCG_BRB)'!$AD$8)</f>
        <v/>
      </c>
      <c r="F40" s="14">
        <f>IF('(Ground_BRB)'!$AD$8="","",'(Ground_BRB)'!$AD$8)</f>
        <v/>
      </c>
      <c r="G40" s="14">
        <f>IF('(GCG_CUR)'!$AD$8="","",'(GCG_CUR)'!$AD$8)</f>
        <v/>
      </c>
      <c r="H40" s="14">
        <f>IF('(Events_CUR)'!$AD$8="","",'(Events_CUR)'!$AD$8)</f>
        <v/>
      </c>
      <c r="I40" s="14">
        <f>IF('(GCG_SXM_Sky)'!$AD$8="","",'(GCG_SXM_Sky)'!$AD$8)</f>
        <v/>
      </c>
      <c r="J40" s="14">
        <f>IF('(GCG_SXM_Airport)'!$AD$8="","",'(GCG_SXM_Airport)'!$AD$8)</f>
        <v/>
      </c>
      <c r="K40" s="14">
        <f>IF('(Allied_TTO)'!$AD$8="","",'(Allied_TTO)'!$AD$8)</f>
        <v/>
      </c>
      <c r="L40" s="14">
        <f>IF('(Katerserv_TTO)'!$AD$8="","",'(Katerserv_TTO)'!$AD$8)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IF('(Calloway_AUA)'!$G$8="","",'(Calloway_AUA)'!$G$8)</f>
        <v/>
      </c>
      <c r="D46" s="19">
        <f>IF('(Airport_BRB)'!$G$8="","",'(Airport_BRB)'!$G$8)</f>
        <v/>
      </c>
      <c r="E46" s="19">
        <f>IF('(GCG_BRB)'!$G$8="","",'(GCG_BRB)'!$G$8)</f>
        <v/>
      </c>
      <c r="F46" s="19">
        <f>IF('(Ground_BRB)'!$G$8="","",'(Ground_BRB)'!$G$8)</f>
        <v/>
      </c>
      <c r="G46" s="19">
        <f>IF('(GCG_CUR)'!$G$8="","",'(GCG_CUR)'!$G$8)</f>
        <v/>
      </c>
      <c r="H46" s="19">
        <f>IF('(Events_CUR)'!$G$8="","",'(Events_CUR)'!$G$8)</f>
        <v/>
      </c>
      <c r="I46" s="19">
        <f>IF('(GCG_SXM_Sky)'!$G$8="","",'(GCG_SXM_Sky)'!$G$8)</f>
        <v/>
      </c>
      <c r="J46" s="19">
        <f>IF('(GCG_SXM_Airport)'!$G$8="","",'(GCG_SXM_Airport)'!$G$8)</f>
        <v/>
      </c>
      <c r="K46" s="19">
        <f>IF('(Allied_TTO)'!$G$8="","",'(Allied_TTO)'!$G$8)</f>
        <v/>
      </c>
      <c r="L46" s="19">
        <f>IF('(Katerserv_TTO)'!$G$8="","",'(Katerserv_TTO)'!$G$8)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IF('(Calloway_AUA)'!$O$8="","",'(Calloway_AUA)'!$O$8)</f>
        <v/>
      </c>
      <c r="D47" s="19">
        <f>IF('(Airport_BRB)'!$O$8="","",'(Airport_BRB)'!$O$8)</f>
        <v/>
      </c>
      <c r="E47" s="19">
        <f>IF('(GCG_BRB)'!$O$8="","",'(GCG_BRB)'!$O$8)</f>
        <v/>
      </c>
      <c r="F47" s="19">
        <f>IF('(Ground_BRB)'!$O$8="","",'(Ground_BRB)'!$O$8)</f>
        <v/>
      </c>
      <c r="G47" s="19">
        <f>IF('(GCG_CUR)'!$O$8="","",'(GCG_CUR)'!$O$8)</f>
        <v/>
      </c>
      <c r="H47" s="19">
        <f>IF('(Events_CUR)'!$O$8="","",'(Events_CUR)'!$O$8)</f>
        <v/>
      </c>
      <c r="I47" s="19">
        <f>IF('(GCG_SXM_Sky)'!$O$8="","",'(GCG_SXM_Sky)'!$O$8)</f>
        <v/>
      </c>
      <c r="J47" s="19">
        <f>IF('(GCG_SXM_Airport)'!$O$8="","",'(GCG_SXM_Airport)'!$O$8)</f>
        <v/>
      </c>
      <c r="K47" s="19">
        <f>IF('(Allied_TTO)'!$O$8="","",'(Allied_TTO)'!$O$8)</f>
        <v/>
      </c>
      <c r="L47" s="19">
        <f>IF('(Katerserv_TTO)'!$O$8="","",'(Katerserv_TTO)'!$O$8)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11">
        <f>IF(FEB!J5="","",FEB!J5)</f>
        <v/>
      </c>
      <c r="K31" s="11">
        <f>IF(FEB!K5="","",FEB!K5)</f>
        <v/>
      </c>
      <c r="L31" s="11">
        <f>IF(FEB!L5="","",FEB!L5)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IF('(Calloway_AUA)'!$AB$9="","",'(Calloway_AUA)'!$AB$9)</f>
        <v/>
      </c>
      <c r="D39" s="14">
        <f>IF('(Airport_BRB)'!$AB$9="","",'(Airport_BRB)'!$AB$9)</f>
        <v/>
      </c>
      <c r="E39" s="14">
        <f>IF('(GCG_BRB)'!$AB$9="","",'(GCG_BRB)'!$AB$9)</f>
        <v/>
      </c>
      <c r="F39" s="14">
        <f>IF('(Ground_BRB)'!$AB$9="","",'(Ground_BRB)'!$AB$9)</f>
        <v/>
      </c>
      <c r="G39" s="14">
        <f>IF('(GCG_CUR)'!$AB$9="","",'(GCG_CUR)'!$AB$9)</f>
        <v/>
      </c>
      <c r="H39" s="14">
        <f>IF('(Events_CUR)'!$AB$9="","",'(Events_CUR)'!$AB$9)</f>
        <v/>
      </c>
      <c r="I39" s="14">
        <f>IF('(GCG_SXM_Sky)'!$AB$9="","",'(GCG_SXM_Sky)'!$AB$9)</f>
        <v/>
      </c>
      <c r="J39" s="14">
        <f>IF('(GCG_SXM_Airport)'!$AB$9="","",'(GCG_SXM_Airport)'!$AB$9)</f>
        <v/>
      </c>
      <c r="K39" s="14">
        <f>IF('(Allied_TTO)'!$AB$9="","",'(Allied_TTO)'!$AB$9)</f>
        <v/>
      </c>
      <c r="L39" s="14">
        <f>IF('(Katerserv_TTO)'!$AB$9="","",'(Katerserv_TTO)'!$AB$9)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IF('(Calloway_AUA)'!$AD$9="","",'(Calloway_AUA)'!$AD$9)</f>
        <v/>
      </c>
      <c r="D40" s="14">
        <f>IF('(Airport_BRB)'!$AD$9="","",'(Airport_BRB)'!$AD$9)</f>
        <v/>
      </c>
      <c r="E40" s="14">
        <f>IF('(GCG_BRB)'!$AD$9="","",'(GCG_BRB)'!$AD$9)</f>
        <v/>
      </c>
      <c r="F40" s="14">
        <f>IF('(Ground_BRB)'!$AD$9="","",'(Ground_BRB)'!$AD$9)</f>
        <v/>
      </c>
      <c r="G40" s="14">
        <f>IF('(GCG_CUR)'!$AD$9="","",'(GCG_CUR)'!$AD$9)</f>
        <v/>
      </c>
      <c r="H40" s="14">
        <f>IF('(Events_CUR)'!$AD$9="","",'(Events_CUR)'!$AD$9)</f>
        <v/>
      </c>
      <c r="I40" s="14">
        <f>IF('(GCG_SXM_Sky)'!$AD$9="","",'(GCG_SXM_Sky)'!$AD$9)</f>
        <v/>
      </c>
      <c r="J40" s="14">
        <f>IF('(GCG_SXM_Airport)'!$AD$9="","",'(GCG_SXM_Airport)'!$AD$9)</f>
        <v/>
      </c>
      <c r="K40" s="14">
        <f>IF('(Allied_TTO)'!$AD$9="","",'(Allied_TTO)'!$AD$9)</f>
        <v/>
      </c>
      <c r="L40" s="14">
        <f>IF('(Katerserv_TTO)'!$AD$9="","",'(Katerserv_TTO)'!$AD$9)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IF('(Calloway_AUA)'!$G$9="","",'(Calloway_AUA)'!$G$9)</f>
        <v/>
      </c>
      <c r="D46" s="19">
        <f>IF('(Airport_BRB)'!$G$9="","",'(Airport_BRB)'!$G$9)</f>
        <v/>
      </c>
      <c r="E46" s="19">
        <f>IF('(GCG_BRB)'!$G$9="","",'(GCG_BRB)'!$G$9)</f>
        <v/>
      </c>
      <c r="F46" s="19">
        <f>IF('(Ground_BRB)'!$G$9="","",'(Ground_BRB)'!$G$9)</f>
        <v/>
      </c>
      <c r="G46" s="19">
        <f>IF('(GCG_CUR)'!$G$9="","",'(GCG_CUR)'!$G$9)</f>
        <v/>
      </c>
      <c r="H46" s="19">
        <f>IF('(Events_CUR)'!$G$9="","",'(Events_CUR)'!$G$9)</f>
        <v/>
      </c>
      <c r="I46" s="19">
        <f>IF('(GCG_SXM_Sky)'!$G$9="","",'(GCG_SXM_Sky)'!$G$9)</f>
        <v/>
      </c>
      <c r="J46" s="19">
        <f>IF('(GCG_SXM_Airport)'!$G$9="","",'(GCG_SXM_Airport)'!$G$9)</f>
        <v/>
      </c>
      <c r="K46" s="19">
        <f>IF('(Allied_TTO)'!$G$9="","",'(Allied_TTO)'!$G$9)</f>
        <v/>
      </c>
      <c r="L46" s="19">
        <f>IF('(Katerserv_TTO)'!$G$9="","",'(Katerserv_TTO)'!$G$9)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IF('(Calloway_AUA)'!$O$9="","",'(Calloway_AUA)'!$O$9)</f>
        <v/>
      </c>
      <c r="D47" s="19">
        <f>IF('(Airport_BRB)'!$O$9="","",'(Airport_BRB)'!$O$9)</f>
        <v/>
      </c>
      <c r="E47" s="19">
        <f>IF('(GCG_BRB)'!$O$9="","",'(GCG_BRB)'!$O$9)</f>
        <v/>
      </c>
      <c r="F47" s="19">
        <f>IF('(Ground_BRB)'!$O$9="","",'(Ground_BRB)'!$O$9)</f>
        <v/>
      </c>
      <c r="G47" s="19">
        <f>IF('(GCG_CUR)'!$O$9="","",'(GCG_CUR)'!$O$9)</f>
        <v/>
      </c>
      <c r="H47" s="19">
        <f>IF('(Events_CUR)'!$O$9="","",'(Events_CUR)'!$O$9)</f>
        <v/>
      </c>
      <c r="I47" s="19">
        <f>IF('(GCG_SXM_Sky)'!$O$9="","",'(GCG_SXM_Sky)'!$O$9)</f>
        <v/>
      </c>
      <c r="J47" s="19">
        <f>IF('(GCG_SXM_Airport)'!$O$9="","",'(GCG_SXM_Airport)'!$O$9)</f>
        <v/>
      </c>
      <c r="K47" s="19">
        <f>IF('(Allied_TTO)'!$O$9="","",'(Allied_TTO)'!$O$9)</f>
        <v/>
      </c>
      <c r="L47" s="19">
        <f>IF('(Katerserv_TTO)'!$O$9="","",'(Katerserv_TTO)'!$O$9)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11">
        <f>IF(MAR!J5="","",MAR!J5)</f>
        <v/>
      </c>
      <c r="K31" s="11">
        <f>IF(MAR!K5="","",MAR!K5)</f>
        <v/>
      </c>
      <c r="L31" s="11">
        <f>IF(MAR!L5="","",MAR!L5)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IF('(Calloway_AUA)'!$AB$10="","",'(Calloway_AUA)'!$AB$10)</f>
        <v/>
      </c>
      <c r="D39" s="14">
        <f>IF('(Airport_BRB)'!$AB$10="","",'(Airport_BRB)'!$AB$10)</f>
        <v/>
      </c>
      <c r="E39" s="14">
        <f>IF('(GCG_BRB)'!$AB$10="","",'(GCG_BRB)'!$AB$10)</f>
        <v/>
      </c>
      <c r="F39" s="14">
        <f>IF('(Ground_BRB)'!$AB$10="","",'(Ground_BRB)'!$AB$10)</f>
        <v/>
      </c>
      <c r="G39" s="14">
        <f>IF('(GCG_CUR)'!$AB$10="","",'(GCG_CUR)'!$AB$10)</f>
        <v/>
      </c>
      <c r="H39" s="14">
        <f>IF('(Events_CUR)'!$AB$10="","",'(Events_CUR)'!$AB$10)</f>
        <v/>
      </c>
      <c r="I39" s="14">
        <f>IF('(GCG_SXM_Sky)'!$AB$10="","",'(GCG_SXM_Sky)'!$AB$10)</f>
        <v/>
      </c>
      <c r="J39" s="14">
        <f>IF('(GCG_SXM_Airport)'!$AB$10="","",'(GCG_SXM_Airport)'!$AB$10)</f>
        <v/>
      </c>
      <c r="K39" s="14">
        <f>IF('(Allied_TTO)'!$AB$10="","",'(Allied_TTO)'!$AB$10)</f>
        <v/>
      </c>
      <c r="L39" s="14">
        <f>IF('(Katerserv_TTO)'!$AB$10="","",'(Katerserv_TTO)'!$AB$10)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IF('(Calloway_AUA)'!$AD$10="","",'(Calloway_AUA)'!$AD$10)</f>
        <v/>
      </c>
      <c r="D40" s="14">
        <f>IF('(Airport_BRB)'!$AD$10="","",'(Airport_BRB)'!$AD$10)</f>
        <v/>
      </c>
      <c r="E40" s="14">
        <f>IF('(GCG_BRB)'!$AD$10="","",'(GCG_BRB)'!$AD$10)</f>
        <v/>
      </c>
      <c r="F40" s="14">
        <f>IF('(Ground_BRB)'!$AD$10="","",'(Ground_BRB)'!$AD$10)</f>
        <v/>
      </c>
      <c r="G40" s="14">
        <f>IF('(GCG_CUR)'!$AD$10="","",'(GCG_CUR)'!$AD$10)</f>
        <v/>
      </c>
      <c r="H40" s="14">
        <f>IF('(Events_CUR)'!$AD$10="","",'(Events_CUR)'!$AD$10)</f>
        <v/>
      </c>
      <c r="I40" s="14">
        <f>IF('(GCG_SXM_Sky)'!$AD$10="","",'(GCG_SXM_Sky)'!$AD$10)</f>
        <v/>
      </c>
      <c r="J40" s="14">
        <f>IF('(GCG_SXM_Airport)'!$AD$10="","",'(GCG_SXM_Airport)'!$AD$10)</f>
        <v/>
      </c>
      <c r="K40" s="14">
        <f>IF('(Allied_TTO)'!$AD$10="","",'(Allied_TTO)'!$AD$10)</f>
        <v/>
      </c>
      <c r="L40" s="14">
        <f>IF('(Katerserv_TTO)'!$AD$10="","",'(Katerserv_TTO)'!$AD$10)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IF('(Calloway_AUA)'!$G$10="","",'(Calloway_AUA)'!$G$10)</f>
        <v/>
      </c>
      <c r="D46" s="19">
        <f>IF('(Airport_BRB)'!$G$10="","",'(Airport_BRB)'!$G$10)</f>
        <v/>
      </c>
      <c r="E46" s="19">
        <f>IF('(GCG_BRB)'!$G$10="","",'(GCG_BRB)'!$G$10)</f>
        <v/>
      </c>
      <c r="F46" s="19">
        <f>IF('(Ground_BRB)'!$G$10="","",'(Ground_BRB)'!$G$10)</f>
        <v/>
      </c>
      <c r="G46" s="19">
        <f>IF('(GCG_CUR)'!$G$10="","",'(GCG_CUR)'!$G$10)</f>
        <v/>
      </c>
      <c r="H46" s="19">
        <f>IF('(Events_CUR)'!$G$10="","",'(Events_CUR)'!$G$10)</f>
        <v/>
      </c>
      <c r="I46" s="19">
        <f>IF('(GCG_SXM_Sky)'!$G$10="","",'(GCG_SXM_Sky)'!$G$10)</f>
        <v/>
      </c>
      <c r="J46" s="19">
        <f>IF('(GCG_SXM_Airport)'!$G$10="","",'(GCG_SXM_Airport)'!$G$10)</f>
        <v/>
      </c>
      <c r="K46" s="19">
        <f>IF('(Allied_TTO)'!$G$10="","",'(Allied_TTO)'!$G$10)</f>
        <v/>
      </c>
      <c r="L46" s="19">
        <f>IF('(Katerserv_TTO)'!$G$10="","",'(Katerserv_TTO)'!$G$10)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IF('(Calloway_AUA)'!$O$10="","",'(Calloway_AUA)'!$O$10)</f>
        <v/>
      </c>
      <c r="D47" s="19">
        <f>IF('(Airport_BRB)'!$O$10="","",'(Airport_BRB)'!$O$10)</f>
        <v/>
      </c>
      <c r="E47" s="19">
        <f>IF('(GCG_BRB)'!$O$10="","",'(GCG_BRB)'!$O$10)</f>
        <v/>
      </c>
      <c r="F47" s="19">
        <f>IF('(Ground_BRB)'!$O$10="","",'(Ground_BRB)'!$O$10)</f>
        <v/>
      </c>
      <c r="G47" s="19">
        <f>IF('(GCG_CUR)'!$O$10="","",'(GCG_CUR)'!$O$10)</f>
        <v/>
      </c>
      <c r="H47" s="19">
        <f>IF('(Events_CUR)'!$O$10="","",'(Events_CUR)'!$O$10)</f>
        <v/>
      </c>
      <c r="I47" s="19">
        <f>IF('(GCG_SXM_Sky)'!$O$10="","",'(GCG_SXM_Sky)'!$O$10)</f>
        <v/>
      </c>
      <c r="J47" s="19">
        <f>IF('(GCG_SXM_Airport)'!$O$10="","",'(GCG_SXM_Airport)'!$O$10)</f>
        <v/>
      </c>
      <c r="K47" s="19">
        <f>IF('(Allied_TTO)'!$O$10="","",'(Allied_TTO)'!$O$10)</f>
        <v/>
      </c>
      <c r="L47" s="19">
        <f>IF('(Katerserv_TTO)'!$O$10="","",'(Katerserv_TTO)'!$O$10)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11">
        <f>IF(APR!J5="","",APR!J5)</f>
        <v/>
      </c>
      <c r="K31" s="11">
        <f>IF(APR!K5="","",APR!K5)</f>
        <v/>
      </c>
      <c r="L31" s="11">
        <f>IF(APR!L5="","",APR!L5)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IF('(Calloway_AUA)'!$AB$11="","",'(Calloway_AUA)'!$AB$11)</f>
        <v/>
      </c>
      <c r="D39" s="14">
        <f>IF('(Airport_BRB)'!$AB$11="","",'(Airport_BRB)'!$AB$11)</f>
        <v/>
      </c>
      <c r="E39" s="14">
        <f>IF('(GCG_BRB)'!$AB$11="","",'(GCG_BRB)'!$AB$11)</f>
        <v/>
      </c>
      <c r="F39" s="14">
        <f>IF('(Ground_BRB)'!$AB$11="","",'(Ground_BRB)'!$AB$11)</f>
        <v/>
      </c>
      <c r="G39" s="14">
        <f>IF('(GCG_CUR)'!$AB$11="","",'(GCG_CUR)'!$AB$11)</f>
        <v/>
      </c>
      <c r="H39" s="14">
        <f>IF('(Events_CUR)'!$AB$11="","",'(Events_CUR)'!$AB$11)</f>
        <v/>
      </c>
      <c r="I39" s="14">
        <f>IF('(GCG_SXM_Sky)'!$AB$11="","",'(GCG_SXM_Sky)'!$AB$11)</f>
        <v/>
      </c>
      <c r="J39" s="14">
        <f>IF('(GCG_SXM_Airport)'!$AB$11="","",'(GCG_SXM_Airport)'!$AB$11)</f>
        <v/>
      </c>
      <c r="K39" s="14">
        <f>IF('(Allied_TTO)'!$AB$11="","",'(Allied_TTO)'!$AB$11)</f>
        <v/>
      </c>
      <c r="L39" s="14">
        <f>IF('(Katerserv_TTO)'!$AB$11="","",'(Katerserv_TTO)'!$AB$11)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IF('(Calloway_AUA)'!$AD$11="","",'(Calloway_AUA)'!$AD$11)</f>
        <v/>
      </c>
      <c r="D40" s="14">
        <f>IF('(Airport_BRB)'!$AD$11="","",'(Airport_BRB)'!$AD$11)</f>
        <v/>
      </c>
      <c r="E40" s="14">
        <f>IF('(GCG_BRB)'!$AD$11="","",'(GCG_BRB)'!$AD$11)</f>
        <v/>
      </c>
      <c r="F40" s="14">
        <f>IF('(Ground_BRB)'!$AD$11="","",'(Ground_BRB)'!$AD$11)</f>
        <v/>
      </c>
      <c r="G40" s="14">
        <f>IF('(GCG_CUR)'!$AD$11="","",'(GCG_CUR)'!$AD$11)</f>
        <v/>
      </c>
      <c r="H40" s="14">
        <f>IF('(Events_CUR)'!$AD$11="","",'(Events_CUR)'!$AD$11)</f>
        <v/>
      </c>
      <c r="I40" s="14">
        <f>IF('(GCG_SXM_Sky)'!$AD$11="","",'(GCG_SXM_Sky)'!$AD$11)</f>
        <v/>
      </c>
      <c r="J40" s="14">
        <f>IF('(GCG_SXM_Airport)'!$AD$11="","",'(GCG_SXM_Airport)'!$AD$11)</f>
        <v/>
      </c>
      <c r="K40" s="14">
        <f>IF('(Allied_TTO)'!$AD$11="","",'(Allied_TTO)'!$AD$11)</f>
        <v/>
      </c>
      <c r="L40" s="14">
        <f>IF('(Katerserv_TTO)'!$AD$11="","",'(Katerserv_TTO)'!$AD$11)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IF('(Calloway_AUA)'!$G$11="","",'(Calloway_AUA)'!$G$11)</f>
        <v/>
      </c>
      <c r="D46" s="19">
        <f>IF('(Airport_BRB)'!$G$11="","",'(Airport_BRB)'!$G$11)</f>
        <v/>
      </c>
      <c r="E46" s="19">
        <f>IF('(GCG_BRB)'!$G$11="","",'(GCG_BRB)'!$G$11)</f>
        <v/>
      </c>
      <c r="F46" s="19">
        <f>IF('(Ground_BRB)'!$G$11="","",'(Ground_BRB)'!$G$11)</f>
        <v/>
      </c>
      <c r="G46" s="19">
        <f>IF('(GCG_CUR)'!$G$11="","",'(GCG_CUR)'!$G$11)</f>
        <v/>
      </c>
      <c r="H46" s="19">
        <f>IF('(Events_CUR)'!$G$11="","",'(Events_CUR)'!$G$11)</f>
        <v/>
      </c>
      <c r="I46" s="19">
        <f>IF('(GCG_SXM_Sky)'!$G$11="","",'(GCG_SXM_Sky)'!$G$11)</f>
        <v/>
      </c>
      <c r="J46" s="19">
        <f>IF('(GCG_SXM_Airport)'!$G$11="","",'(GCG_SXM_Airport)'!$G$11)</f>
        <v/>
      </c>
      <c r="K46" s="19">
        <f>IF('(Allied_TTO)'!$G$11="","",'(Allied_TTO)'!$G$11)</f>
        <v/>
      </c>
      <c r="L46" s="19">
        <f>IF('(Katerserv_TTO)'!$G$11="","",'(Katerserv_TTO)'!$G$11)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IF('(Calloway_AUA)'!$O$11="","",'(Calloway_AUA)'!$O$11)</f>
        <v/>
      </c>
      <c r="D47" s="19">
        <f>IF('(Airport_BRB)'!$O$11="","",'(Airport_BRB)'!$O$11)</f>
        <v/>
      </c>
      <c r="E47" s="19">
        <f>IF('(GCG_BRB)'!$O$11="","",'(GCG_BRB)'!$O$11)</f>
        <v/>
      </c>
      <c r="F47" s="19">
        <f>IF('(Ground_BRB)'!$O$11="","",'(Ground_BRB)'!$O$11)</f>
        <v/>
      </c>
      <c r="G47" s="19">
        <f>IF('(GCG_CUR)'!$O$11="","",'(GCG_CUR)'!$O$11)</f>
        <v/>
      </c>
      <c r="H47" s="19">
        <f>IF('(Events_CUR)'!$O$11="","",'(Events_CUR)'!$O$11)</f>
        <v/>
      </c>
      <c r="I47" s="19">
        <f>IF('(GCG_SXM_Sky)'!$O$11="","",'(GCG_SXM_Sky)'!$O$11)</f>
        <v/>
      </c>
      <c r="J47" s="19">
        <f>IF('(GCG_SXM_Airport)'!$O$11="","",'(GCG_SXM_Airport)'!$O$11)</f>
        <v/>
      </c>
      <c r="K47" s="19">
        <f>IF('(Allied_TTO)'!$O$11="","",'(Allied_TTO)'!$O$11)</f>
        <v/>
      </c>
      <c r="L47" s="19">
        <f>IF('(Katerserv_TTO)'!$O$11="","",'(Katerserv_TTO)'!$O$11)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11">
        <f>IF(MAY!J5="","",MAY!J5)</f>
        <v/>
      </c>
      <c r="K31" s="11">
        <f>IF(MAY!K5="","",MAY!K5)</f>
        <v/>
      </c>
      <c r="L31" s="11">
        <f>IF(MAY!L5="","",MAY!L5)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IF('(Calloway_AUA)'!$AB$12="","",'(Calloway_AUA)'!$AB$12)</f>
        <v/>
      </c>
      <c r="D39" s="14">
        <f>IF('(Airport_BRB)'!$AB$12="","",'(Airport_BRB)'!$AB$12)</f>
        <v/>
      </c>
      <c r="E39" s="14">
        <f>IF('(GCG_BRB)'!$AB$12="","",'(GCG_BRB)'!$AB$12)</f>
        <v/>
      </c>
      <c r="F39" s="14">
        <f>IF('(Ground_BRB)'!$AB$12="","",'(Ground_BRB)'!$AB$12)</f>
        <v/>
      </c>
      <c r="G39" s="14">
        <f>IF('(GCG_CUR)'!$AB$12="","",'(GCG_CUR)'!$AB$12)</f>
        <v/>
      </c>
      <c r="H39" s="14">
        <f>IF('(Events_CUR)'!$AB$12="","",'(Events_CUR)'!$AB$12)</f>
        <v/>
      </c>
      <c r="I39" s="14">
        <f>IF('(GCG_SXM_Sky)'!$AB$12="","",'(GCG_SXM_Sky)'!$AB$12)</f>
        <v/>
      </c>
      <c r="J39" s="14">
        <f>IF('(GCG_SXM_Airport)'!$AB$12="","",'(GCG_SXM_Airport)'!$AB$12)</f>
        <v/>
      </c>
      <c r="K39" s="14">
        <f>IF('(Allied_TTO)'!$AB$12="","",'(Allied_TTO)'!$AB$12)</f>
        <v/>
      </c>
      <c r="L39" s="14">
        <f>IF('(Katerserv_TTO)'!$AB$12="","",'(Katerserv_TTO)'!$AB$12)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IF('(Calloway_AUA)'!$AD$12="","",'(Calloway_AUA)'!$AD$12)</f>
        <v/>
      </c>
      <c r="D40" s="14">
        <f>IF('(Airport_BRB)'!$AD$12="","",'(Airport_BRB)'!$AD$12)</f>
        <v/>
      </c>
      <c r="E40" s="14">
        <f>IF('(GCG_BRB)'!$AD$12="","",'(GCG_BRB)'!$AD$12)</f>
        <v/>
      </c>
      <c r="F40" s="14">
        <f>IF('(Ground_BRB)'!$AD$12="","",'(Ground_BRB)'!$AD$12)</f>
        <v/>
      </c>
      <c r="G40" s="14">
        <f>IF('(GCG_CUR)'!$AD$12="","",'(GCG_CUR)'!$AD$12)</f>
        <v/>
      </c>
      <c r="H40" s="14">
        <f>IF('(Events_CUR)'!$AD$12="","",'(Events_CUR)'!$AD$12)</f>
        <v/>
      </c>
      <c r="I40" s="14">
        <f>IF('(GCG_SXM_Sky)'!$AD$12="","",'(GCG_SXM_Sky)'!$AD$12)</f>
        <v/>
      </c>
      <c r="J40" s="14">
        <f>IF('(GCG_SXM_Airport)'!$AD$12="","",'(GCG_SXM_Airport)'!$AD$12)</f>
        <v/>
      </c>
      <c r="K40" s="14">
        <f>IF('(Allied_TTO)'!$AD$12="","",'(Allied_TTO)'!$AD$12)</f>
        <v/>
      </c>
      <c r="L40" s="14">
        <f>IF('(Katerserv_TTO)'!$AD$12="","",'(Katerserv_TTO)'!$AD$12)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IF('(Calloway_AUA)'!$G$12="","",'(Calloway_AUA)'!$G$12)</f>
        <v/>
      </c>
      <c r="D46" s="19">
        <f>IF('(Airport_BRB)'!$G$12="","",'(Airport_BRB)'!$G$12)</f>
        <v/>
      </c>
      <c r="E46" s="19">
        <f>IF('(GCG_BRB)'!$G$12="","",'(GCG_BRB)'!$G$12)</f>
        <v/>
      </c>
      <c r="F46" s="19">
        <f>IF('(Ground_BRB)'!$G$12="","",'(Ground_BRB)'!$G$12)</f>
        <v/>
      </c>
      <c r="G46" s="19">
        <f>IF('(GCG_CUR)'!$G$12="","",'(GCG_CUR)'!$G$12)</f>
        <v/>
      </c>
      <c r="H46" s="19">
        <f>IF('(Events_CUR)'!$G$12="","",'(Events_CUR)'!$G$12)</f>
        <v/>
      </c>
      <c r="I46" s="19">
        <f>IF('(GCG_SXM_Sky)'!$G$12="","",'(GCG_SXM_Sky)'!$G$12)</f>
        <v/>
      </c>
      <c r="J46" s="19">
        <f>IF('(GCG_SXM_Airport)'!$G$12="","",'(GCG_SXM_Airport)'!$G$12)</f>
        <v/>
      </c>
      <c r="K46" s="19">
        <f>IF('(Allied_TTO)'!$G$12="","",'(Allied_TTO)'!$G$12)</f>
        <v/>
      </c>
      <c r="L46" s="19">
        <f>IF('(Katerserv_TTO)'!$G$12="","",'(Katerserv_TTO)'!$G$12)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IF('(Calloway_AUA)'!$O$12="","",'(Calloway_AUA)'!$O$12)</f>
        <v/>
      </c>
      <c r="D47" s="19">
        <f>IF('(Airport_BRB)'!$O$12="","",'(Airport_BRB)'!$O$12)</f>
        <v/>
      </c>
      <c r="E47" s="19">
        <f>IF('(GCG_BRB)'!$O$12="","",'(GCG_BRB)'!$O$12)</f>
        <v/>
      </c>
      <c r="F47" s="19">
        <f>IF('(Ground_BRB)'!$O$12="","",'(Ground_BRB)'!$O$12)</f>
        <v/>
      </c>
      <c r="G47" s="19">
        <f>IF('(GCG_CUR)'!$O$12="","",'(GCG_CUR)'!$O$12)</f>
        <v/>
      </c>
      <c r="H47" s="19">
        <f>IF('(Events_CUR)'!$O$12="","",'(Events_CUR)'!$O$12)</f>
        <v/>
      </c>
      <c r="I47" s="19">
        <f>IF('(GCG_SXM_Sky)'!$O$12="","",'(GCG_SXM_Sky)'!$O$12)</f>
        <v/>
      </c>
      <c r="J47" s="19">
        <f>IF('(GCG_SXM_Airport)'!$O$12="","",'(GCG_SXM_Airport)'!$O$12)</f>
        <v/>
      </c>
      <c r="K47" s="19">
        <f>IF('(Allied_TTO)'!$O$12="","",'(Allied_TTO)'!$O$12)</f>
        <v/>
      </c>
      <c r="L47" s="19">
        <f>IF('(Katerserv_TTO)'!$O$12="","",'(Katerserv_TTO)'!$O$12)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11">
        <f>IF(JUN!J5="","",JUN!J5)</f>
        <v/>
      </c>
      <c r="K31" s="11">
        <f>IF(JUN!K5="","",JUN!K5)</f>
        <v/>
      </c>
      <c r="L31" s="11">
        <f>IF(JUN!L5="","",JUN!L5)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IF('(Calloway_AUA)'!$AB$13="","",'(Calloway_AUA)'!$AB$13)</f>
        <v/>
      </c>
      <c r="D39" s="14">
        <f>IF('(Airport_BRB)'!$AB$13="","",'(Airport_BRB)'!$AB$13)</f>
        <v/>
      </c>
      <c r="E39" s="14">
        <f>IF('(GCG_BRB)'!$AB$13="","",'(GCG_BRB)'!$AB$13)</f>
        <v/>
      </c>
      <c r="F39" s="14">
        <f>IF('(Ground_BRB)'!$AB$13="","",'(Ground_BRB)'!$AB$13)</f>
        <v/>
      </c>
      <c r="G39" s="14">
        <f>IF('(GCG_CUR)'!$AB$13="","",'(GCG_CUR)'!$AB$13)</f>
        <v/>
      </c>
      <c r="H39" s="14">
        <f>IF('(Events_CUR)'!$AB$13="","",'(Events_CUR)'!$AB$13)</f>
        <v/>
      </c>
      <c r="I39" s="14">
        <f>IF('(GCG_SXM_Sky)'!$AB$13="","",'(GCG_SXM_Sky)'!$AB$13)</f>
        <v/>
      </c>
      <c r="J39" s="14">
        <f>IF('(GCG_SXM_Airport)'!$AB$13="","",'(GCG_SXM_Airport)'!$AB$13)</f>
        <v/>
      </c>
      <c r="K39" s="14">
        <f>IF('(Allied_TTO)'!$AB$13="","",'(Allied_TTO)'!$AB$13)</f>
        <v/>
      </c>
      <c r="L39" s="14">
        <f>IF('(Katerserv_TTO)'!$AB$13="","",'(Katerserv_TTO)'!$AB$13)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IF('(Calloway_AUA)'!$AD$13="","",'(Calloway_AUA)'!$AD$13)</f>
        <v/>
      </c>
      <c r="D40" s="14">
        <f>IF('(Airport_BRB)'!$AD$13="","",'(Airport_BRB)'!$AD$13)</f>
        <v/>
      </c>
      <c r="E40" s="14">
        <f>IF('(GCG_BRB)'!$AD$13="","",'(GCG_BRB)'!$AD$13)</f>
        <v/>
      </c>
      <c r="F40" s="14">
        <f>IF('(Ground_BRB)'!$AD$13="","",'(Ground_BRB)'!$AD$13)</f>
        <v/>
      </c>
      <c r="G40" s="14">
        <f>IF('(GCG_CUR)'!$AD$13="","",'(GCG_CUR)'!$AD$13)</f>
        <v/>
      </c>
      <c r="H40" s="14">
        <f>IF('(Events_CUR)'!$AD$13="","",'(Events_CUR)'!$AD$13)</f>
        <v/>
      </c>
      <c r="I40" s="14">
        <f>IF('(GCG_SXM_Sky)'!$AD$13="","",'(GCG_SXM_Sky)'!$AD$13)</f>
        <v/>
      </c>
      <c r="J40" s="14">
        <f>IF('(GCG_SXM_Airport)'!$AD$13="","",'(GCG_SXM_Airport)'!$AD$13)</f>
        <v/>
      </c>
      <c r="K40" s="14">
        <f>IF('(Allied_TTO)'!$AD$13="","",'(Allied_TTO)'!$AD$13)</f>
        <v/>
      </c>
      <c r="L40" s="14">
        <f>IF('(Katerserv_TTO)'!$AD$13="","",'(Katerserv_TTO)'!$AD$13)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IF('(Calloway_AUA)'!$G$13="","",'(Calloway_AUA)'!$G$13)</f>
        <v/>
      </c>
      <c r="D46" s="19">
        <f>IF('(Airport_BRB)'!$G$13="","",'(Airport_BRB)'!$G$13)</f>
        <v/>
      </c>
      <c r="E46" s="19">
        <f>IF('(GCG_BRB)'!$G$13="","",'(GCG_BRB)'!$G$13)</f>
        <v/>
      </c>
      <c r="F46" s="19">
        <f>IF('(Ground_BRB)'!$G$13="","",'(Ground_BRB)'!$G$13)</f>
        <v/>
      </c>
      <c r="G46" s="19">
        <f>IF('(GCG_CUR)'!$G$13="","",'(GCG_CUR)'!$G$13)</f>
        <v/>
      </c>
      <c r="H46" s="19">
        <f>IF('(Events_CUR)'!$G$13="","",'(Events_CUR)'!$G$13)</f>
        <v/>
      </c>
      <c r="I46" s="19">
        <f>IF('(GCG_SXM_Sky)'!$G$13="","",'(GCG_SXM_Sky)'!$G$13)</f>
        <v/>
      </c>
      <c r="J46" s="19">
        <f>IF('(GCG_SXM_Airport)'!$G$13="","",'(GCG_SXM_Airport)'!$G$13)</f>
        <v/>
      </c>
      <c r="K46" s="19">
        <f>IF('(Allied_TTO)'!$G$13="","",'(Allied_TTO)'!$G$13)</f>
        <v/>
      </c>
      <c r="L46" s="19">
        <f>IF('(Katerserv_TTO)'!$G$13="","",'(Katerserv_TTO)'!$G$13)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IF('(Calloway_AUA)'!$O$13="","",'(Calloway_AUA)'!$O$13)</f>
        <v/>
      </c>
      <c r="D47" s="19">
        <f>IF('(Airport_BRB)'!$O$13="","",'(Airport_BRB)'!$O$13)</f>
        <v/>
      </c>
      <c r="E47" s="19">
        <f>IF('(GCG_BRB)'!$O$13="","",'(GCG_BRB)'!$O$13)</f>
        <v/>
      </c>
      <c r="F47" s="19">
        <f>IF('(Ground_BRB)'!$O$13="","",'(Ground_BRB)'!$O$13)</f>
        <v/>
      </c>
      <c r="G47" s="19">
        <f>IF('(GCG_CUR)'!$O$13="","",'(GCG_CUR)'!$O$13)</f>
        <v/>
      </c>
      <c r="H47" s="19">
        <f>IF('(Events_CUR)'!$O$13="","",'(Events_CUR)'!$O$13)</f>
        <v/>
      </c>
      <c r="I47" s="19">
        <f>IF('(GCG_SXM_Sky)'!$O$13="","",'(GCG_SXM_Sky)'!$O$13)</f>
        <v/>
      </c>
      <c r="J47" s="19">
        <f>IF('(GCG_SXM_Airport)'!$O$13="","",'(GCG_SXM_Airport)'!$O$13)</f>
        <v/>
      </c>
      <c r="K47" s="19">
        <f>IF('(Allied_TTO)'!$O$13="","",'(Allied_TTO)'!$O$13)</f>
        <v/>
      </c>
      <c r="L47" s="19">
        <f>IF('(Katerserv_TTO)'!$O$13="","",'(Katerserv_TTO)'!$O$13)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11">
        <f>IF(JUL!J5="","",JUL!J5)</f>
        <v/>
      </c>
      <c r="K31" s="11">
        <f>IF(JUL!K5="","",JUL!K5)</f>
        <v/>
      </c>
      <c r="L31" s="11">
        <f>IF(JUL!L5="","",JUL!L5)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IF('(Calloway_AUA)'!$AB$14="","",'(Calloway_AUA)'!$AB$14)</f>
        <v/>
      </c>
      <c r="D39" s="14">
        <f>IF('(Airport_BRB)'!$AB$14="","",'(Airport_BRB)'!$AB$14)</f>
        <v/>
      </c>
      <c r="E39" s="14">
        <f>IF('(GCG_BRB)'!$AB$14="","",'(GCG_BRB)'!$AB$14)</f>
        <v/>
      </c>
      <c r="F39" s="14">
        <f>IF('(Ground_BRB)'!$AB$14="","",'(Ground_BRB)'!$AB$14)</f>
        <v/>
      </c>
      <c r="G39" s="14">
        <f>IF('(GCG_CUR)'!$AB$14="","",'(GCG_CUR)'!$AB$14)</f>
        <v/>
      </c>
      <c r="H39" s="14">
        <f>IF('(Events_CUR)'!$AB$14="","",'(Events_CUR)'!$AB$14)</f>
        <v/>
      </c>
      <c r="I39" s="14">
        <f>IF('(GCG_SXM_Sky)'!$AB$14="","",'(GCG_SXM_Sky)'!$AB$14)</f>
        <v/>
      </c>
      <c r="J39" s="14">
        <f>IF('(GCG_SXM_Airport)'!$AB$14="","",'(GCG_SXM_Airport)'!$AB$14)</f>
        <v/>
      </c>
      <c r="K39" s="14">
        <f>IF('(Allied_TTO)'!$AB$14="","",'(Allied_TTO)'!$AB$14)</f>
        <v/>
      </c>
      <c r="L39" s="14">
        <f>IF('(Katerserv_TTO)'!$AB$14="","",'(Katerserv_TTO)'!$AB$14)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IF('(Calloway_AUA)'!$AD$14="","",'(Calloway_AUA)'!$AD$14)</f>
        <v/>
      </c>
      <c r="D40" s="14">
        <f>IF('(Airport_BRB)'!$AD$14="","",'(Airport_BRB)'!$AD$14)</f>
        <v/>
      </c>
      <c r="E40" s="14">
        <f>IF('(GCG_BRB)'!$AD$14="","",'(GCG_BRB)'!$AD$14)</f>
        <v/>
      </c>
      <c r="F40" s="14">
        <f>IF('(Ground_BRB)'!$AD$14="","",'(Ground_BRB)'!$AD$14)</f>
        <v/>
      </c>
      <c r="G40" s="14">
        <f>IF('(GCG_CUR)'!$AD$14="","",'(GCG_CUR)'!$AD$14)</f>
        <v/>
      </c>
      <c r="H40" s="14">
        <f>IF('(Events_CUR)'!$AD$14="","",'(Events_CUR)'!$AD$14)</f>
        <v/>
      </c>
      <c r="I40" s="14">
        <f>IF('(GCG_SXM_Sky)'!$AD$14="","",'(GCG_SXM_Sky)'!$AD$14)</f>
        <v/>
      </c>
      <c r="J40" s="14">
        <f>IF('(GCG_SXM_Airport)'!$AD$14="","",'(GCG_SXM_Airport)'!$AD$14)</f>
        <v/>
      </c>
      <c r="K40" s="14">
        <f>IF('(Allied_TTO)'!$AD$14="","",'(Allied_TTO)'!$AD$14)</f>
        <v/>
      </c>
      <c r="L40" s="14">
        <f>IF('(Katerserv_TTO)'!$AD$14="","",'(Katerserv_TTO)'!$AD$14)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IF('(Calloway_AUA)'!$G$14="","",'(Calloway_AUA)'!$G$14)</f>
        <v/>
      </c>
      <c r="D46" s="19">
        <f>IF('(Airport_BRB)'!$G$14="","",'(Airport_BRB)'!$G$14)</f>
        <v/>
      </c>
      <c r="E46" s="19">
        <f>IF('(GCG_BRB)'!$G$14="","",'(GCG_BRB)'!$G$14)</f>
        <v/>
      </c>
      <c r="F46" s="19">
        <f>IF('(Ground_BRB)'!$G$14="","",'(Ground_BRB)'!$G$14)</f>
        <v/>
      </c>
      <c r="G46" s="19">
        <f>IF('(GCG_CUR)'!$G$14="","",'(GCG_CUR)'!$G$14)</f>
        <v/>
      </c>
      <c r="H46" s="19">
        <f>IF('(Events_CUR)'!$G$14="","",'(Events_CUR)'!$G$14)</f>
        <v/>
      </c>
      <c r="I46" s="19">
        <f>IF('(GCG_SXM_Sky)'!$G$14="","",'(GCG_SXM_Sky)'!$G$14)</f>
        <v/>
      </c>
      <c r="J46" s="19">
        <f>IF('(GCG_SXM_Airport)'!$G$14="","",'(GCG_SXM_Airport)'!$G$14)</f>
        <v/>
      </c>
      <c r="K46" s="19">
        <f>IF('(Allied_TTO)'!$G$14="","",'(Allied_TTO)'!$G$14)</f>
        <v/>
      </c>
      <c r="L46" s="19">
        <f>IF('(Katerserv_TTO)'!$G$14="","",'(Katerserv_TTO)'!$G$14)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IF('(Calloway_AUA)'!$O$14="","",'(Calloway_AUA)'!$O$14)</f>
        <v/>
      </c>
      <c r="D47" s="19">
        <f>IF('(Airport_BRB)'!$O$14="","",'(Airport_BRB)'!$O$14)</f>
        <v/>
      </c>
      <c r="E47" s="19">
        <f>IF('(GCG_BRB)'!$O$14="","",'(GCG_BRB)'!$O$14)</f>
        <v/>
      </c>
      <c r="F47" s="19">
        <f>IF('(Ground_BRB)'!$O$14="","",'(Ground_BRB)'!$O$14)</f>
        <v/>
      </c>
      <c r="G47" s="19">
        <f>IF('(GCG_CUR)'!$O$14="","",'(GCG_CUR)'!$O$14)</f>
        <v/>
      </c>
      <c r="H47" s="19">
        <f>IF('(Events_CUR)'!$O$14="","",'(Events_CUR)'!$O$14)</f>
        <v/>
      </c>
      <c r="I47" s="19">
        <f>IF('(GCG_SXM_Sky)'!$O$14="","",'(GCG_SXM_Sky)'!$O$14)</f>
        <v/>
      </c>
      <c r="J47" s="19">
        <f>IF('(GCG_SXM_Airport)'!$O$14="","",'(GCG_SXM_Airport)'!$O$14)</f>
        <v/>
      </c>
      <c r="K47" s="19">
        <f>IF('(Allied_TTO)'!$O$14="","",'(Allied_TTO)'!$O$14)</f>
        <v/>
      </c>
      <c r="L47" s="19">
        <f>IF('(Katerserv_TTO)'!$O$14="","",'(Katerserv_TTO)'!$O$14)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7265625" customWidth="1" min="13" max="13"/>
    <col width="21" customWidth="1" min="14" max="14"/>
    <col width="11.81640625" customWidth="1" min="15" max="15"/>
  </cols>
  <sheetData>
    <row r="1" ht="30" customHeight="1">
      <c r="A1" s="1" t="n"/>
      <c r="B1" s="2" t="inlineStr">
        <is>
          <t>GCG SOUTH CARIBBEAN</t>
        </is>
      </c>
      <c r="C1" s="26" t="inlineStr">
        <is>
          <t>1015</t>
        </is>
      </c>
      <c r="D1" s="26" t="inlineStr">
        <is>
          <t>1004</t>
        </is>
      </c>
      <c r="E1" s="26" t="inlineStr">
        <is>
          <t>1063</t>
        </is>
      </c>
      <c r="F1" s="26" t="inlineStr">
        <is>
          <t>1160</t>
        </is>
      </c>
      <c r="G1" s="26" t="inlineStr">
        <is>
          <t>1073</t>
        </is>
      </c>
      <c r="H1" s="26" t="inlineStr">
        <is>
          <t>1042</t>
        </is>
      </c>
      <c r="I1" s="26" t="inlineStr">
        <is>
          <t>1084</t>
        </is>
      </c>
      <c r="J1" s="26" t="inlineStr">
        <is>
          <t>1049</t>
        </is>
      </c>
      <c r="K1" s="26" t="inlineStr">
        <is>
          <t>1005</t>
        </is>
      </c>
      <c r="L1" s="26" t="inlineStr">
        <is>
          <t>1115</t>
        </is>
      </c>
      <c r="M1" s="3" t="n"/>
      <c r="N1" s="3" t="n"/>
      <c r="O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Calloway Aruba</t>
        </is>
      </c>
      <c r="D2" s="27" t="inlineStr">
        <is>
          <t>Airport Rest. Barbados</t>
        </is>
      </c>
      <c r="E2" s="27" t="inlineStr">
        <is>
          <t>GCG Barbados</t>
        </is>
      </c>
      <c r="F2" s="27" t="inlineStr">
        <is>
          <t>GCG Aviation Ground Barbados</t>
        </is>
      </c>
      <c r="G2" s="27" t="inlineStr">
        <is>
          <t>GCG Curacao</t>
        </is>
      </c>
      <c r="H2" s="27" t="inlineStr">
        <is>
          <t>GCG Events Curacao</t>
        </is>
      </c>
      <c r="I2" s="27" t="inlineStr">
        <is>
          <t>GCG Sint Maarten Sky Dining</t>
        </is>
      </c>
      <c r="J2" s="27" t="inlineStr">
        <is>
          <t>GCG Sint Maarten Airport Dining</t>
        </is>
      </c>
      <c r="K2" s="27" t="inlineStr">
        <is>
          <t>Allied Caterers Trinidad</t>
        </is>
      </c>
      <c r="L2" s="27" t="inlineStr">
        <is>
          <t>Katerserv Trinidad</t>
        </is>
      </c>
      <c r="M2" s="28" t="inlineStr">
        <is>
          <t>TOTAL</t>
        </is>
      </c>
      <c r="N2" s="4" t="inlineStr">
        <is>
          <t>Total by Division</t>
        </is>
      </c>
      <c r="O2" s="29">
        <f>N(O11)&lt;&gt;0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>
        <f>IF(COUNT(C3:L3)=0,"",SUM(C3:L3))</f>
        <v/>
      </c>
      <c r="N3" s="4" t="inlineStr">
        <is>
          <t>∑</t>
        </is>
      </c>
      <c r="O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1">
        <f>IF(COUNT(C4:L4)=0,"",SUM(C4:L4))</f>
        <v/>
      </c>
      <c r="N4" s="4" t="inlineStr">
        <is>
          <t>∑</t>
        </is>
      </c>
      <c r="O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31">
        <f>IF(COUNT(M3:M4)=0,"",SUM(M3:M4))</f>
        <v/>
      </c>
      <c r="N5" s="4" t="inlineStr">
        <is>
          <t>ϝ</t>
        </is>
      </c>
      <c r="O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1">
        <f>IF(COUNT(C6:L6)=0,"",SUM(C6:L6))</f>
        <v/>
      </c>
      <c r="N6" s="4" t="inlineStr">
        <is>
          <t>∑</t>
        </is>
      </c>
      <c r="O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1">
        <f>IF(COUNT(C7:L7)=0,"",SUM(C7:L7))</f>
        <v/>
      </c>
      <c r="N7" s="4" t="inlineStr">
        <is>
          <t>∑</t>
        </is>
      </c>
      <c r="O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IF(COUNT(C8:L8)=0,"",SUM(C8:L8))</f>
        <v/>
      </c>
      <c r="N8" s="4" t="inlineStr">
        <is>
          <t>∑</t>
        </is>
      </c>
      <c r="O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>
        <f>IF(COUNT(C9:L9)=0,"",SUM(C9:L9))</f>
        <v/>
      </c>
      <c r="N9" s="4" t="inlineStr">
        <is>
          <t>∑</t>
        </is>
      </c>
      <c r="O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>
        <f>IFERROR(AVERAGE(C10:L10),"")</f>
        <v/>
      </c>
      <c r="N10" s="4" t="inlineStr">
        <is>
          <t>Avg</t>
        </is>
      </c>
      <c r="O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34">
        <f>IF(COUNT(M6:M9)=0,"",N(M6)+N(M7)*0.75+N(M8)*0.5+N(M9)*0.25)</f>
        <v/>
      </c>
      <c r="N11" s="4" t="inlineStr">
        <is>
          <t>FTE</t>
        </is>
      </c>
      <c r="O11" s="35">
        <f>IF(COUNT(M5:M9)=0,"",N(M6)+N(M7)+N(M8)+N(M9)-N(M5))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IF(COUNT(C12:L12)=0,"",SUM(C12:L12))</f>
        <v/>
      </c>
      <c r="N12" s="4" t="inlineStr">
        <is>
          <t>∑</t>
        </is>
      </c>
      <c r="O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>
        <f>IF(COUNT(C13:L13)=0,"",SUM(C13:L13))</f>
        <v/>
      </c>
      <c r="N13" s="4" t="inlineStr">
        <is>
          <t>∑</t>
        </is>
      </c>
      <c r="O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34">
        <f>IF(COUNT(C14:L14)=0,"",SUM(C14:L14))</f>
        <v/>
      </c>
      <c r="N14" s="4" t="inlineStr">
        <is>
          <t>FTE</t>
        </is>
      </c>
      <c r="O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31">
        <f>IF(COUNT(M5,M12)=0,"",SUM(M5,M12))</f>
        <v/>
      </c>
      <c r="N15" s="4" t="inlineStr">
        <is>
          <t>ϝ</t>
        </is>
      </c>
      <c r="O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34">
        <f>IF(COUNT(M11,M14)=0,"",SUM(M11,M14))</f>
        <v/>
      </c>
      <c r="N16" s="4" t="inlineStr">
        <is>
          <t>FTE</t>
        </is>
      </c>
      <c r="O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36">
        <f>IFERROR(M12/M15,"")</f>
        <v/>
      </c>
      <c r="N17" s="4" t="inlineStr">
        <is>
          <t>ϝ</t>
        </is>
      </c>
      <c r="O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IF(COUNT(C18:L18)=0,"",SUM(C18:L18))</f>
        <v/>
      </c>
      <c r="N18" s="4" t="inlineStr">
        <is>
          <t>∑</t>
        </is>
      </c>
      <c r="O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>
        <f>IF(COUNT(C19:L19)=0,"",SUM(C19:L19))</f>
        <v/>
      </c>
      <c r="N19" s="4" t="inlineStr">
        <is>
          <t>∑</t>
        </is>
      </c>
      <c r="O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IF(COUNT(C20:L20)=0,"",SUM(C20:L20))</f>
        <v/>
      </c>
      <c r="N20" s="4" t="inlineStr">
        <is>
          <t>∑</t>
        </is>
      </c>
      <c r="O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31">
        <f>IF(COUNT(M19:M20)=0,"",SUM(M19:M20))</f>
        <v/>
      </c>
      <c r="N21" s="4" t="inlineStr">
        <is>
          <t>ϝ</t>
        </is>
      </c>
      <c r="O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IF(COUNT(C22:L22)=0,"",SUM(C22:L22))</f>
        <v/>
      </c>
      <c r="N22" s="4" t="inlineStr">
        <is>
          <t>∑</t>
        </is>
      </c>
      <c r="O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1">
        <f>IF(COUNT(C23:L23)=0,"",SUM(C23:L23))</f>
        <v/>
      </c>
      <c r="N23" s="4" t="inlineStr">
        <is>
          <t>∑</t>
        </is>
      </c>
      <c r="O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31">
        <f>IF(COUNT(M22:M23)=0,"",SUM(M22:M23))</f>
        <v/>
      </c>
      <c r="N24" s="4" t="inlineStr">
        <is>
          <t>ϝ</t>
        </is>
      </c>
      <c r="O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36">
        <f>IF(COUNT(M31,M32)&lt;2,"",IF((M32+M31)=0,"",N(M22)/((M32+M31)/2)))</f>
        <v/>
      </c>
      <c r="N25" s="4" t="inlineStr">
        <is>
          <t>ϝ</t>
        </is>
      </c>
      <c r="O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36">
        <f>IF(COUNT(M31,M32)&lt;2,"",IF((M32+M31)=0,"",N(M23)/((M32+M31)/2)))</f>
        <v/>
      </c>
      <c r="N26" s="4" t="inlineStr">
        <is>
          <t>ϝ</t>
        </is>
      </c>
      <c r="O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1">
        <f>IF(COUNT(C27:L27)=0,"",SUM(C27:L27))</f>
        <v/>
      </c>
      <c r="N27" s="4" t="inlineStr">
        <is>
          <t>∑</t>
        </is>
      </c>
      <c r="O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IF(COUNT(C28:L28)=0,"",SUM(C28:L28))</f>
        <v/>
      </c>
      <c r="N28" s="4" t="inlineStr">
        <is>
          <t>∑</t>
        </is>
      </c>
      <c r="O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36">
        <f>IF(COUNT(M31,M32)&lt;2,"",IF((M32+M31)=0,"",N(M27)/((M32+M31)/2)))</f>
        <v/>
      </c>
      <c r="N29" s="4" t="inlineStr">
        <is>
          <t>ϝ</t>
        </is>
      </c>
      <c r="O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36">
        <f>IF(COUNT(M31,M32)&lt;2,"",IF((M32+M31)=0,"",N(M28)/((M32+M31)/2)))</f>
        <v/>
      </c>
      <c r="N30" s="4" t="inlineStr">
        <is>
          <t>ϝ</t>
        </is>
      </c>
      <c r="O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11">
        <f>IF(AUG!J5="","",AUG!J5)</f>
        <v/>
      </c>
      <c r="K31" s="11">
        <f>IF(AUG!K5="","",AUG!K5)</f>
        <v/>
      </c>
      <c r="L31" s="11">
        <f>IF(AUG!L5="","",AUG!L5)</f>
        <v/>
      </c>
      <c r="M31" s="31">
        <f>IF(COUNT(C31:L31)=0,"",SUM(C31:L31))</f>
        <v/>
      </c>
      <c r="N31" s="4" t="inlineStr">
        <is>
          <t>∑</t>
        </is>
      </c>
      <c r="O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31">
        <f>IF(COUNT(C32:L32)=0,"",SUM(C32:L32))</f>
        <v/>
      </c>
      <c r="N32" s="4" t="inlineStr">
        <is>
          <t>∑</t>
        </is>
      </c>
      <c r="O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36">
        <f>IF(COUNT(M31,M32)&lt;2,"",IF((M32+M31)=0,"",N(M24)/((M32+M31)/2)))</f>
        <v/>
      </c>
      <c r="N33" s="4" t="inlineStr">
        <is>
          <t>ϝ</t>
        </is>
      </c>
      <c r="O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IF(COUNT(C34:L34)=0,"",SUM(C34:L34))</f>
        <v/>
      </c>
      <c r="N34" s="4" t="inlineStr">
        <is>
          <t>∑</t>
        </is>
      </c>
      <c r="O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>
        <f>IF(COUNT(C35:L35)=0,"",SUM(C35:L35))</f>
        <v/>
      </c>
      <c r="N35" s="4" t="inlineStr">
        <is>
          <t>∑</t>
        </is>
      </c>
      <c r="O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31">
        <f>IF(COUNT(M34:M35)=0,"",SUM(M34:M35))</f>
        <v/>
      </c>
      <c r="N36" s="4" t="inlineStr">
        <is>
          <t>ϝ</t>
        </is>
      </c>
      <c r="O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31">
        <f>IF(COUNT(M5,M36)=0,"",N(M5)+N(M36))</f>
        <v/>
      </c>
      <c r="N37" s="4" t="inlineStr">
        <is>
          <t>ϝ</t>
        </is>
      </c>
      <c r="O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36">
        <f>IFERROR(M36/M37,"")</f>
        <v/>
      </c>
      <c r="N38" s="4" t="inlineStr">
        <is>
          <t>ϝ</t>
        </is>
      </c>
      <c r="O38" s="3" t="n"/>
    </row>
    <row r="39" ht="15.5" customHeight="1">
      <c r="A39" s="3" t="n"/>
      <c r="B39" s="10" t="inlineStr">
        <is>
          <t>Permanent TimeToHire (Days) YTD</t>
        </is>
      </c>
      <c r="C39" s="14">
        <f>IF('(Calloway_AUA)'!$AB$15="","",'(Calloway_AUA)'!$AB$15)</f>
        <v/>
      </c>
      <c r="D39" s="14">
        <f>IF('(Airport_BRB)'!$AB$15="","",'(Airport_BRB)'!$AB$15)</f>
        <v/>
      </c>
      <c r="E39" s="14">
        <f>IF('(GCG_BRB)'!$AB$15="","",'(GCG_BRB)'!$AB$15)</f>
        <v/>
      </c>
      <c r="F39" s="14">
        <f>IF('(Ground_BRB)'!$AB$15="","",'(Ground_BRB)'!$AB$15)</f>
        <v/>
      </c>
      <c r="G39" s="14">
        <f>IF('(GCG_CUR)'!$AB$15="","",'(GCG_CUR)'!$AB$15)</f>
        <v/>
      </c>
      <c r="H39" s="14">
        <f>IF('(Events_CUR)'!$AB$15="","",'(Events_CUR)'!$AB$15)</f>
        <v/>
      </c>
      <c r="I39" s="14">
        <f>IF('(GCG_SXM_Sky)'!$AB$15="","",'(GCG_SXM_Sky)'!$AB$15)</f>
        <v/>
      </c>
      <c r="J39" s="14">
        <f>IF('(GCG_SXM_Airport)'!$AB$15="","",'(GCG_SXM_Airport)'!$AB$15)</f>
        <v/>
      </c>
      <c r="K39" s="14">
        <f>IF('(Allied_TTO)'!$AB$15="","",'(Allied_TTO)'!$AB$15)</f>
        <v/>
      </c>
      <c r="L39" s="14">
        <f>IF('(Katerserv_TTO)'!$AB$15="","",'(Katerserv_TTO)'!$AB$15)</f>
        <v/>
      </c>
      <c r="M39" s="33">
        <f>IFERROR(AVERAGE(C39:L39),"")</f>
        <v/>
      </c>
      <c r="N39" s="4" t="inlineStr">
        <is>
          <t>Avg</t>
        </is>
      </c>
      <c r="O39" s="3" t="n"/>
    </row>
    <row r="40" ht="15.5" customHeight="1">
      <c r="A40" s="3" t="n"/>
      <c r="B40" s="10" t="inlineStr">
        <is>
          <t>Temporary TimeToHire (Days) YTD</t>
        </is>
      </c>
      <c r="C40" s="14">
        <f>IF('(Calloway_AUA)'!$AD$15="","",'(Calloway_AUA)'!$AD$15)</f>
        <v/>
      </c>
      <c r="D40" s="14">
        <f>IF('(Airport_BRB)'!$AD$15="","",'(Airport_BRB)'!$AD$15)</f>
        <v/>
      </c>
      <c r="E40" s="14">
        <f>IF('(GCG_BRB)'!$AD$15="","",'(GCG_BRB)'!$AD$15)</f>
        <v/>
      </c>
      <c r="F40" s="14">
        <f>IF('(Ground_BRB)'!$AD$15="","",'(Ground_BRB)'!$AD$15)</f>
        <v/>
      </c>
      <c r="G40" s="14">
        <f>IF('(GCG_CUR)'!$AD$15="","",'(GCG_CUR)'!$AD$15)</f>
        <v/>
      </c>
      <c r="H40" s="14">
        <f>IF('(Events_CUR)'!$AD$15="","",'(Events_CUR)'!$AD$15)</f>
        <v/>
      </c>
      <c r="I40" s="14">
        <f>IF('(GCG_SXM_Sky)'!$AD$15="","",'(GCG_SXM_Sky)'!$AD$15)</f>
        <v/>
      </c>
      <c r="J40" s="14">
        <f>IF('(GCG_SXM_Airport)'!$AD$15="","",'(GCG_SXM_Airport)'!$AD$15)</f>
        <v/>
      </c>
      <c r="K40" s="14">
        <f>IF('(Allied_TTO)'!$AD$15="","",'(Allied_TTO)'!$AD$15)</f>
        <v/>
      </c>
      <c r="L40" s="14">
        <f>IF('(Katerserv_TTO)'!$AD$15="","",'(Katerserv_TTO)'!$AD$15)</f>
        <v/>
      </c>
      <c r="M40" s="33">
        <f>IFERROR(AVERAGE(C40:L40),"")</f>
        <v/>
      </c>
      <c r="N40" s="4" t="inlineStr">
        <is>
          <t>Avg</t>
        </is>
      </c>
      <c r="O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8">
        <f>IFERROR(AVERAGE(C41:L41),"")</f>
        <v/>
      </c>
      <c r="N41" s="4" t="inlineStr">
        <is>
          <t>Avg</t>
        </is>
      </c>
      <c r="O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IF(COUNT(C42:L42)=0,"",SUM(C42:L42))</f>
        <v/>
      </c>
      <c r="N42" s="4" t="inlineStr">
        <is>
          <t>∑</t>
        </is>
      </c>
      <c r="O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>
        <f>IF(COUNT(C43:L43)=0,"",SUM(C43:L43))</f>
        <v/>
      </c>
      <c r="N43" s="4" t="inlineStr">
        <is>
          <t>∑</t>
        </is>
      </c>
      <c r="O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>
        <f>IF(COUNT(C44:L44)=0,"",SUM(C44:L44))</f>
        <v/>
      </c>
      <c r="N44" s="4" t="inlineStr">
        <is>
          <t>∑</t>
        </is>
      </c>
      <c r="O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33">
        <f>IF(COUNT(M43:M44)=0,"",SUM(M43:M44))</f>
        <v/>
      </c>
      <c r="N45" s="4" t="inlineStr">
        <is>
          <t>ϝ</t>
        </is>
      </c>
      <c r="O45" s="3" t="n"/>
    </row>
    <row r="46" ht="15.5" customHeight="1">
      <c r="A46" s="3" t="n"/>
      <c r="B46" s="13" t="inlineStr">
        <is>
          <t>Absent Rate Non-Certified (%)</t>
        </is>
      </c>
      <c r="C46" s="19">
        <f>IF('(Calloway_AUA)'!$G$15="","",'(Calloway_AUA)'!$G$15)</f>
        <v/>
      </c>
      <c r="D46" s="19">
        <f>IF('(Airport_BRB)'!$G$15="","",'(Airport_BRB)'!$G$15)</f>
        <v/>
      </c>
      <c r="E46" s="19">
        <f>IF('(GCG_BRB)'!$G$15="","",'(GCG_BRB)'!$G$15)</f>
        <v/>
      </c>
      <c r="F46" s="19">
        <f>IF('(Ground_BRB)'!$G$15="","",'(Ground_BRB)'!$G$15)</f>
        <v/>
      </c>
      <c r="G46" s="19">
        <f>IF('(GCG_CUR)'!$G$15="","",'(GCG_CUR)'!$G$15)</f>
        <v/>
      </c>
      <c r="H46" s="19">
        <f>IF('(Events_CUR)'!$G$15="","",'(Events_CUR)'!$G$15)</f>
        <v/>
      </c>
      <c r="I46" s="19">
        <f>IF('(GCG_SXM_Sky)'!$G$15="","",'(GCG_SXM_Sky)'!$G$15)</f>
        <v/>
      </c>
      <c r="J46" s="19">
        <f>IF('(GCG_SXM_Airport)'!$G$15="","",'(GCG_SXM_Airport)'!$G$15)</f>
        <v/>
      </c>
      <c r="K46" s="19">
        <f>IF('(Allied_TTO)'!$G$15="","",'(Allied_TTO)'!$G$15)</f>
        <v/>
      </c>
      <c r="L46" s="19">
        <f>IF('(Katerserv_TTO)'!$G$15="","",'(Katerserv_TTO)'!$G$15)</f>
        <v/>
      </c>
      <c r="M46" s="36">
        <f t="array" ref="M46">IF(COUNT(C46:L46)=0,"",IFERROR(SUMPRODUCT(IFERROR(C46:L46*((C3:L3)+(C4:L4)),0))/SUMPRODUCT(IFERROR(ISNUMBER(C46:L46)*((C3:L3)+(C4:L4)),0)),""))</f>
        <v/>
      </c>
      <c r="N46" s="4" t="inlineStr">
        <is>
          <t>Weighted</t>
        </is>
      </c>
      <c r="O46" s="3" t="n"/>
    </row>
    <row r="47" ht="15.5" customHeight="1">
      <c r="A47" s="3" t="n"/>
      <c r="B47" s="13" t="inlineStr">
        <is>
          <t>Absent Rate Certified (%)</t>
        </is>
      </c>
      <c r="C47" s="19">
        <f>IF('(Calloway_AUA)'!$O$15="","",'(Calloway_AUA)'!$O$15)</f>
        <v/>
      </c>
      <c r="D47" s="19">
        <f>IF('(Airport_BRB)'!$O$15="","",'(Airport_BRB)'!$O$15)</f>
        <v/>
      </c>
      <c r="E47" s="19">
        <f>IF('(GCG_BRB)'!$O$15="","",'(GCG_BRB)'!$O$15)</f>
        <v/>
      </c>
      <c r="F47" s="19">
        <f>IF('(Ground_BRB)'!$O$15="","",'(Ground_BRB)'!$O$15)</f>
        <v/>
      </c>
      <c r="G47" s="19">
        <f>IF('(GCG_CUR)'!$O$15="","",'(GCG_CUR)'!$O$15)</f>
        <v/>
      </c>
      <c r="H47" s="19">
        <f>IF('(Events_CUR)'!$O$15="","",'(Events_CUR)'!$O$15)</f>
        <v/>
      </c>
      <c r="I47" s="19">
        <f>IF('(GCG_SXM_Sky)'!$O$15="","",'(GCG_SXM_Sky)'!$O$15)</f>
        <v/>
      </c>
      <c r="J47" s="19">
        <f>IF('(GCG_SXM_Airport)'!$O$15="","",'(GCG_SXM_Airport)'!$O$15)</f>
        <v/>
      </c>
      <c r="K47" s="19">
        <f>IF('(Allied_TTO)'!$O$15="","",'(Allied_TTO)'!$O$15)</f>
        <v/>
      </c>
      <c r="L47" s="19">
        <f>IF('(Katerserv_TTO)'!$O$15="","",'(Katerserv_TTO)'!$O$15)</f>
        <v/>
      </c>
      <c r="M47" s="36">
        <f t="array" ref="M47">IF(COUNT(C47:L47)=0,"",IFERROR(SUMPRODUCT(IFERROR(C47:L47*((C3:L3)+(C4:L4)),0))/SUMPRODUCT(IFERROR(ISNUMBER(C47:L47)*((C3:L3)+(C4:L4)),0)),""))</f>
        <v/>
      </c>
      <c r="N47" s="4" t="inlineStr">
        <is>
          <t>Weighted</t>
        </is>
      </c>
      <c r="O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36">
        <f>IF(COUNT(M46:M47)=0,"",SUM(M46:M47))</f>
        <v/>
      </c>
      <c r="N48" s="4" t="inlineStr">
        <is>
          <t>Weighted</t>
        </is>
      </c>
      <c r="O48" s="3" t="n"/>
    </row>
    <row r="49" ht="15.5" customHeight="1">
      <c r="A49" s="3" t="n"/>
      <c r="B49" s="18" t="inlineStr">
        <is>
          <t>Weight factor</t>
        </is>
      </c>
      <c r="C49" s="19">
        <f>IFERROR(C5/$M5,"")</f>
        <v/>
      </c>
      <c r="D49" s="19">
        <f>IFERROR(D5/$M5,"")</f>
        <v/>
      </c>
      <c r="E49" s="19">
        <f>IFERROR(E5/$M5,"")</f>
        <v/>
      </c>
      <c r="F49" s="19">
        <f>IFERROR(F5/$M5,"")</f>
        <v/>
      </c>
      <c r="G49" s="19">
        <f>IFERROR(G5/$M5,"")</f>
        <v/>
      </c>
      <c r="H49" s="19">
        <f>IFERROR(H5/$M5,"")</f>
        <v/>
      </c>
      <c r="I49" s="19">
        <f>IFERROR(I5/$M5,"")</f>
        <v/>
      </c>
      <c r="J49" s="19">
        <f>IFERROR(J5/$M5,"")</f>
        <v/>
      </c>
      <c r="K49" s="19">
        <f>IFERROR(K5/$M5,"")</f>
        <v/>
      </c>
      <c r="L49" s="19">
        <f>IFERROR(L5/$M5,"")</f>
        <v/>
      </c>
      <c r="M49" s="36">
        <f>IF(COUNT(C49:L49)=0,"",SUM(C49:L49))</f>
        <v/>
      </c>
      <c r="N49" s="4" t="inlineStr">
        <is>
          <t>Weight Factor</t>
        </is>
      </c>
      <c r="O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>
        <f>IF(COUNT(C50:L50)=0,"",SUM(C50:L50))</f>
        <v/>
      </c>
      <c r="N50" s="4" t="inlineStr">
        <is>
          <t>∑</t>
        </is>
      </c>
      <c r="O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>
        <f>IF(COUNT(C51:L51)=0,"",SUM(C51:L51))</f>
        <v/>
      </c>
      <c r="N51" s="4" t="inlineStr">
        <is>
          <t>∑</t>
        </is>
      </c>
      <c r="O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>
        <f>IF(COUNT(C52:L52)=0,"",SUM(C52:L52))</f>
        <v/>
      </c>
      <c r="N52" s="4" t="inlineStr">
        <is>
          <t>∑</t>
        </is>
      </c>
      <c r="O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>
        <f>IF(COUNT(C53:L53)=0,"",SUM(C53:L53))</f>
        <v/>
      </c>
      <c r="N53" s="4" t="inlineStr">
        <is>
          <t>∑</t>
        </is>
      </c>
      <c r="O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3">
        <f>IF(COUNT(C54:L54)=0,"",SUM(C54:L54))</f>
        <v/>
      </c>
      <c r="N54" s="4" t="inlineStr">
        <is>
          <t>∑</t>
        </is>
      </c>
      <c r="O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33">
        <f>IF(COUNT(M50:M54)=0,"",SUM(M50:M54))</f>
        <v/>
      </c>
      <c r="N55" s="4" t="inlineStr">
        <is>
          <t>ϝ</t>
        </is>
      </c>
      <c r="O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3">
        <f>IF(COUNT(C56:L56)=0,"",SUM(C56:L56))</f>
        <v/>
      </c>
      <c r="N56" s="4" t="inlineStr">
        <is>
          <t>∑</t>
        </is>
      </c>
      <c r="O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3">
        <f>IF(COUNT(C57:L57)=0,"",SUM(C57:L57))</f>
        <v/>
      </c>
      <c r="N57" s="4" t="inlineStr">
        <is>
          <t>∑</t>
        </is>
      </c>
      <c r="O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3">
        <f>IF(COUNT(C58:L58)=0,"",SUM(C58:L58))</f>
        <v/>
      </c>
      <c r="N58" s="4" t="inlineStr">
        <is>
          <t>∑</t>
        </is>
      </c>
      <c r="O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3">
        <f>IF(COUNT(C59:L59)=0,"",SUM(C59:L59))</f>
        <v/>
      </c>
      <c r="N59" s="4" t="inlineStr">
        <is>
          <t>∑</t>
        </is>
      </c>
      <c r="O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36">
        <f>IFERROR(M50/M$55,"")</f>
        <v/>
      </c>
      <c r="N60" s="4" t="inlineStr">
        <is>
          <t>ϝ</t>
        </is>
      </c>
      <c r="O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36">
        <f>IFERROR(M51/M$55,"")</f>
        <v/>
      </c>
      <c r="N61" s="4" t="inlineStr">
        <is>
          <t>ϝ</t>
        </is>
      </c>
      <c r="O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36">
        <f>IFERROR(M52/M$55,"")</f>
        <v/>
      </c>
      <c r="N62" s="4" t="inlineStr">
        <is>
          <t>ϝ</t>
        </is>
      </c>
      <c r="O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36">
        <f>IFERROR(M53/M$55,"")</f>
        <v/>
      </c>
      <c r="N63" s="4" t="inlineStr">
        <is>
          <t>ϝ</t>
        </is>
      </c>
      <c r="O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36">
        <f>IFERROR(M54/M$55,"")</f>
        <v/>
      </c>
      <c r="N64" s="4" t="inlineStr">
        <is>
          <t>ϝ</t>
        </is>
      </c>
      <c r="O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36">
        <f>IFERROR(M56/M5,"")</f>
        <v/>
      </c>
      <c r="N65" s="4" t="inlineStr">
        <is>
          <t>ϝ</t>
        </is>
      </c>
      <c r="O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34">
        <f>IFERROR(M55/M5,"")</f>
        <v/>
      </c>
      <c r="N66" s="4" t="inlineStr">
        <is>
          <t>ϝ</t>
        </is>
      </c>
      <c r="O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34">
        <f>IFERROR(M55/M56,"")</f>
        <v/>
      </c>
      <c r="N67" s="4" t="inlineStr">
        <is>
          <t>ϝ</t>
        </is>
      </c>
      <c r="O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34">
        <f>IF(COUNT(M58:M59)=0,"",IFERROR((N(M58)+N(M59))/M5,""))</f>
        <v/>
      </c>
      <c r="N68" s="4" t="inlineStr">
        <is>
          <t>ϝ</t>
        </is>
      </c>
      <c r="O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34">
        <f>IF(COUNT(M58:M59)=0,"",IFERROR((N(M58)+N(M59))/M56,""))</f>
        <v/>
      </c>
      <c r="N69" s="4" t="inlineStr">
        <is>
          <t>ϝ</t>
        </is>
      </c>
      <c r="O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33">
        <f>SUM(C70:L70)</f>
        <v/>
      </c>
      <c r="N70" s="39" t="inlineStr">
        <is>
          <t>∑</t>
        </is>
      </c>
      <c r="O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Calloway Aruba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Airport Rest. Barbados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Barbados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8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Aviation Ground Barbados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IF($C4="","",SUMPRODUCT(($E$21:$E$80&gt;=$Z$4)*($E$21:$E$80&lt;=EOMONTH($Z4,0)),$G$21:$G$80))</f>
        <v/>
      </c>
      <c r="AB4" s="56">
        <f>IF(N(AA4)=0,"",SUMPRODUCT(($E$21:$E$80&gt;=$Z$4)*($E$21:$E$80&lt;=EOMONTH($Z4,0)),$F$21:$F$80,$G$21:$G$80)/AA4)</f>
        <v/>
      </c>
      <c r="AC4" s="59">
        <f>IF($C4="","",SUMPRODUCT(($L$21:$L$80&gt;=$Z$4)*($L$21:$L$80&lt;=EOMONTH($Z4,0)),$N$21:$N$80))</f>
        <v/>
      </c>
      <c r="AD4" s="56">
        <f>IF(N(AC4)=0,"",SUMPRODUCT(($L$21:$L$80&gt;=$Z$4)*($L$21:$L$80&lt;=EOMONTH($Z4,0)),$M$21:$M$80,$N$21:$N$80)/AC4)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IF($C5="","",SUMPRODUCT(($E$21:$E$80&gt;=$Z$4)*($E$21:$E$80&lt;=EOMONTH($Z5,0)),$G$21:$G$80))</f>
        <v/>
      </c>
      <c r="AB5" s="56">
        <f>IF(N(AA5)=0,"",SUMPRODUCT(($E$21:$E$80&gt;=$Z$4)*($E$21:$E$80&lt;=EOMONTH($Z5,0)),$F$21:$F$80,$G$21:$G$80)/AA5)</f>
        <v/>
      </c>
      <c r="AC5" s="59">
        <f>IF($C5="","",SUMPRODUCT(($L$21:$L$80&gt;=$Z$4)*($L$21:$L$80&lt;=EOMONTH($Z5,0)),$N$21:$N$80))</f>
        <v/>
      </c>
      <c r="AD5" s="56">
        <f>IF(N(AC5)=0,"",SUMPRODUCT(($L$21:$L$80&gt;=$Z$4)*($L$21:$L$80&lt;=EOMONTH($Z5,0)),$M$21:$M$80,$N$21:$N$80)/AC5)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IF($C6="","",SUMPRODUCT(($E$21:$E$80&gt;=$Z$4)*($E$21:$E$80&lt;=EOMONTH($Z6,0)),$G$21:$G$80))</f>
        <v/>
      </c>
      <c r="AB6" s="56">
        <f>IF(N(AA6)=0,"",SUMPRODUCT(($E$21:$E$80&gt;=$Z$4)*($E$21:$E$80&lt;=EOMONTH($Z6,0)),$F$21:$F$80,$G$21:$G$80)/AA6)</f>
        <v/>
      </c>
      <c r="AC6" s="59">
        <f>IF($C6="","",SUMPRODUCT(($L$21:$L$80&gt;=$Z$4)*($L$21:$L$80&lt;=EOMONTH($Z6,0)),$N$21:$N$80))</f>
        <v/>
      </c>
      <c r="AD6" s="56">
        <f>IF(N(AC6)=0,"",SUMPRODUCT(($L$21:$L$80&gt;=$Z$4)*($L$21:$L$80&lt;=EOMONTH($Z6,0)),$M$21:$M$80,$N$21:$N$80)/AC6)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IF($C7="","",SUMPRODUCT(($E$21:$E$80&gt;=$Z$4)*($E$21:$E$80&lt;=EOMONTH($Z7,0)),$G$21:$G$80))</f>
        <v/>
      </c>
      <c r="AB7" s="56">
        <f>IF(N(AA7)=0,"",SUMPRODUCT(($E$21:$E$80&gt;=$Z$4)*($E$21:$E$80&lt;=EOMONTH($Z7,0)),$F$21:$F$80,$G$21:$G$80)/AA7)</f>
        <v/>
      </c>
      <c r="AC7" s="59">
        <f>IF($C7="","",SUMPRODUCT(($L$21:$L$80&gt;=$Z$4)*($L$21:$L$80&lt;=EOMONTH($Z7,0)),$N$21:$N$80))</f>
        <v/>
      </c>
      <c r="AD7" s="56">
        <f>IF(N(AC7)=0,"",SUMPRODUCT(($L$21:$L$80&gt;=$Z$4)*($L$21:$L$80&lt;=EOMONTH($Z7,0)),$M$21:$M$80,$N$21:$N$80)/AC7)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IF($C8="","",SUMPRODUCT(($E$21:$E$80&gt;=$Z$4)*($E$21:$E$80&lt;=EOMONTH($Z8,0)),$G$21:$G$80))</f>
        <v/>
      </c>
      <c r="AB8" s="56">
        <f>IF(N(AA8)=0,"",SUMPRODUCT(($E$21:$E$80&gt;=$Z$4)*($E$21:$E$80&lt;=EOMONTH($Z8,0)),$F$21:$F$80,$G$21:$G$80)/AA8)</f>
        <v/>
      </c>
      <c r="AC8" s="59">
        <f>IF($C8="","",SUMPRODUCT(($L$21:$L$80&gt;=$Z$4)*($L$21:$L$80&lt;=EOMONTH($Z8,0)),$N$21:$N$80))</f>
        <v/>
      </c>
      <c r="AD8" s="56">
        <f>IF(N(AC8)=0,"",SUMPRODUCT(($L$21:$L$80&gt;=$Z$4)*($L$21:$L$80&lt;=EOMONTH($Z8,0)),$M$21:$M$80,$N$21:$N$80)/AC8)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IF($C9="","",SUMPRODUCT(($E$21:$E$80&gt;=$Z$4)*($E$21:$E$80&lt;=EOMONTH($Z9,0)),$G$21:$G$80))</f>
        <v/>
      </c>
      <c r="AB9" s="56">
        <f>IF(N(AA9)=0,"",SUMPRODUCT(($E$21:$E$80&gt;=$Z$4)*($E$21:$E$80&lt;=EOMONTH($Z9,0)),$F$21:$F$80,$G$21:$G$80)/AA9)</f>
        <v/>
      </c>
      <c r="AC9" s="59">
        <f>IF($C9="","",SUMPRODUCT(($L$21:$L$80&gt;=$Z$4)*($L$21:$L$80&lt;=EOMONTH($Z9,0)),$N$21:$N$80))</f>
        <v/>
      </c>
      <c r="AD9" s="56">
        <f>IF(N(AC9)=0,"",SUMPRODUCT(($L$21:$L$80&gt;=$Z$4)*($L$21:$L$80&lt;=EOMONTH($Z9,0)),$M$21:$M$80,$N$21:$N$80)/AC9)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IF($C10="","",SUMPRODUCT(($E$21:$E$80&gt;=$Z$4)*($E$21:$E$80&lt;=EOMONTH($Z10,0)),$G$21:$G$80))</f>
        <v/>
      </c>
      <c r="AB10" s="56">
        <f>IF(N(AA10)=0,"",SUMPRODUCT(($E$21:$E$80&gt;=$Z$4)*($E$21:$E$80&lt;=EOMONTH($Z10,0)),$F$21:$F$80,$G$21:$G$80)/AA10)</f>
        <v/>
      </c>
      <c r="AC10" s="59">
        <f>IF($C10="","",SUMPRODUCT(($L$21:$L$80&gt;=$Z$4)*($L$21:$L$80&lt;=EOMONTH($Z10,0)),$N$21:$N$80))</f>
        <v/>
      </c>
      <c r="AD10" s="56">
        <f>IF(N(AC10)=0,"",SUMPRODUCT(($L$21:$L$80&gt;=$Z$4)*($L$21:$L$80&lt;=EOMONTH($Z10,0)),$M$21:$M$80,$N$21:$N$80)/AC10)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IF($C11="","",SUMPRODUCT(($E$21:$E$80&gt;=$Z$4)*($E$21:$E$80&lt;=EOMONTH($Z11,0)),$G$21:$G$80))</f>
        <v/>
      </c>
      <c r="AB11" s="56">
        <f>IF(N(AA11)=0,"",SUMPRODUCT(($E$21:$E$80&gt;=$Z$4)*($E$21:$E$80&lt;=EOMONTH($Z11,0)),$F$21:$F$80,$G$21:$G$80)/AA11)</f>
        <v/>
      </c>
      <c r="AC11" s="59">
        <f>IF($C11="","",SUMPRODUCT(($L$21:$L$80&gt;=$Z$4)*($L$21:$L$80&lt;=EOMONTH($Z11,0)),$N$21:$N$80))</f>
        <v/>
      </c>
      <c r="AD11" s="56">
        <f>IF(N(AC11)=0,"",SUMPRODUCT(($L$21:$L$80&gt;=$Z$4)*($L$21:$L$80&lt;=EOMONTH($Z11,0)),$M$21:$M$80,$N$21:$N$80)/AC11)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IF($C12="","",SUMPRODUCT(($E$21:$E$80&gt;=$Z$4)*($E$21:$E$80&lt;=EOMONTH($Z12,0)),$G$21:$G$80))</f>
        <v/>
      </c>
      <c r="AB12" s="56">
        <f>IF(N(AA12)=0,"",SUMPRODUCT(($E$21:$E$80&gt;=$Z$4)*($E$21:$E$80&lt;=EOMONTH($Z12,0)),$F$21:$F$80,$G$21:$G$80)/AA12)</f>
        <v/>
      </c>
      <c r="AC12" s="59">
        <f>IF($C12="","",SUMPRODUCT(($L$21:$L$80&gt;=$Z$4)*($L$21:$L$80&lt;=EOMONTH($Z12,0)),$N$21:$N$80))</f>
        <v/>
      </c>
      <c r="AD12" s="56">
        <f>IF(N(AC12)=0,"",SUMPRODUCT(($L$21:$L$80&gt;=$Z$4)*($L$21:$L$80&lt;=EOMONTH($Z12,0)),$M$21:$M$80,$N$21:$N$80)/AC12)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IF($C13="","",SUMPRODUCT(($E$21:$E$80&gt;=$Z$4)*($E$21:$E$80&lt;=EOMONTH($Z13,0)),$G$21:$G$80))</f>
        <v/>
      </c>
      <c r="AB13" s="56">
        <f>IF(N(AA13)=0,"",SUMPRODUCT(($E$21:$E$80&gt;=$Z$4)*($E$21:$E$80&lt;=EOMONTH($Z13,0)),$F$21:$F$80,$G$21:$G$80)/AA13)</f>
        <v/>
      </c>
      <c r="AC13" s="59">
        <f>IF($C13="","",SUMPRODUCT(($L$21:$L$80&gt;=$Z$4)*($L$21:$L$80&lt;=EOMONTH($Z13,0)),$N$21:$N$80))</f>
        <v/>
      </c>
      <c r="AD13" s="56">
        <f>IF(N(AC13)=0,"",SUMPRODUCT(($L$21:$L$80&gt;=$Z$4)*($L$21:$L$80&lt;=EOMONTH($Z13,0)),$M$21:$M$80,$N$21:$N$80)/AC13)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IF($C14="","",SUMPRODUCT(($E$21:$E$80&gt;=$Z$4)*($E$21:$E$80&lt;=EOMONTH($Z14,0)),$G$21:$G$80))</f>
        <v/>
      </c>
      <c r="AB14" s="56">
        <f>IF(N(AA14)=0,"",SUMPRODUCT(($E$21:$E$80&gt;=$Z$4)*($E$21:$E$80&lt;=EOMONTH($Z14,0)),$F$21:$F$80,$G$21:$G$80)/AA14)</f>
        <v/>
      </c>
      <c r="AC14" s="59">
        <f>IF($C14="","",SUMPRODUCT(($L$21:$L$80&gt;=$Z$4)*($L$21:$L$80&lt;=EOMONTH($Z14,0)),$N$21:$N$80))</f>
        <v/>
      </c>
      <c r="AD14" s="56">
        <f>IF(N(AC14)=0,"",SUMPRODUCT(($L$21:$L$80&gt;=$Z$4)*($L$21:$L$80&lt;=EOMONTH($Z14,0)),$M$21:$M$80,$N$21:$N$80)/AC14)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IF($C15="","",SUMPRODUCT(($E$21:$E$80&gt;=$Z$4)*($E$21:$E$80&lt;=EOMONTH($Z15,0)),$G$21:$G$80))</f>
        <v/>
      </c>
      <c r="AB15" s="56">
        <f>IF(N(AA15)=0,"",SUMPRODUCT(($E$21:$E$80&gt;=$Z$4)*($E$21:$E$80&lt;=EOMONTH($Z15,0)),$F$21:$F$80,$G$21:$G$80)/AA15)</f>
        <v/>
      </c>
      <c r="AC15" s="59">
        <f>IF($C15="","",SUMPRODUCT(($L$21:$L$80&gt;=$Z$4)*($L$21:$L$80&lt;=EOMONTH($Z15,0)),$N$21:$N$80))</f>
        <v/>
      </c>
      <c r="AD15" s="56">
        <f>IF(N(AC15)=0,"",SUMPRODUCT(($L$21:$L$80&gt;=$Z$4)*($L$21:$L$80&lt;=EOMONTH($Z15,0)),$M$21:$M$80,$N$21:$N$80)/AC15)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SUMPRODUCT(($E$21:$E$80&gt;=$Z$4)*($E$21:$E$80&lt;=EOMONTH($Z$15,0)),$G$21:$G$80)</f>
        <v/>
      </c>
      <c r="AB16" s="62">
        <f>IF(N(AA16)=0,"",SUMPRODUCT(($E$21:$E$80&gt;=$Z$4)*($E$21:$E$80&lt;=EOMONTH($Z$15,0)),$F$21:$F$80,$G$21:$G$80)/AA16)</f>
        <v/>
      </c>
      <c r="AC16" s="65">
        <f>SUMPRODUCT(($L$21:$L$80&gt;=$Z$4)*($L$21:$L$80&lt;=EOMONTH($Z$15,0)),$N$21:$N$80)</f>
        <v/>
      </c>
      <c r="AD16" s="62">
        <f>IF(N(AC16)=0,"",SUMPRODUCT(($L$21:$L$80&gt;=$Z$4)*($L$21:$L$80&lt;=EOMONTH($Z$15,0)),$M$21:$M$80,$N$21:$N$80)/AC16)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60" t="n"/>
      <c r="B81" s="61" t="inlineStr">
        <is>
          <t>Total</t>
        </is>
      </c>
      <c r="C81" s="65">
        <f>SUM(C21:C80)</f>
        <v/>
      </c>
      <c r="D81" s="60" t="n"/>
      <c r="E81" s="60" t="n"/>
      <c r="F81" s="62">
        <f>IF(N(G81)=0,"",SUMPRODUCT(F21:F80,G21:G80)/G81)</f>
        <v/>
      </c>
      <c r="G81" s="65">
        <f>SUM(G21:G80)</f>
        <v/>
      </c>
      <c r="H81" s="60" t="n"/>
      <c r="I81" s="61" t="inlineStr">
        <is>
          <t>Total</t>
        </is>
      </c>
      <c r="J81" s="65">
        <f>SUM(J21:J80)</f>
        <v/>
      </c>
      <c r="K81" s="60" t="n"/>
      <c r="L81" s="60" t="n"/>
      <c r="M81" s="62">
        <f>IF(N(N81)=0,"",SUMPRODUCT(M21:M80,N21:N80)/N81)</f>
        <v/>
      </c>
      <c r="N81" s="65">
        <f>SUM(N21:N80)</f>
        <v/>
      </c>
    </row>
    <row r="82">
      <c r="B8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80" showDropDown="0" showInputMessage="0" showErrorMessage="1" allowBlank="1" error="No. of Posts must be a whole number &gt;= 1." type="whole" operator="greaterThanOrEqual">
      <formula1>1</formula1>
    </dataValidation>
    <dataValidation sqref="K21:L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8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Curacao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Events Curacao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IF(OCT!$H$5="","",OCT!$H$5)</f>
        <v/>
      </c>
      <c r="D4" s="55" t="n"/>
      <c r="E4" s="56">
        <f>IF(OCT!$H$43="","",OCT!$H$43)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IF(OCT!$H$44="","",OCT!$H$44)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IF(NOV!$H$5="","",NOV!$H$5)</f>
        <v/>
      </c>
      <c r="D5" s="55" t="n"/>
      <c r="E5" s="56">
        <f>IF(NOV!$H$43="","",NOV!$H$43)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IF(NOV!$H$44="","",NOV!$H$44)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IF(DEC!$H$5="","",DEC!$H$5)</f>
        <v/>
      </c>
      <c r="D6" s="55" t="n"/>
      <c r="E6" s="56">
        <f>IF(DEC!$H$43="","",DEC!$H$43)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IF(DEC!$H$44="","",DEC!$H$44)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IF(JAN!$H$5="","",JAN!$H$5)</f>
        <v/>
      </c>
      <c r="D7" s="55" t="n"/>
      <c r="E7" s="56">
        <f>IF(JAN!$H$43="","",JAN!$H$43)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IF(JAN!$H$44="","",JAN!$H$44)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IF(FEB!$H$5="","",FEB!$H$5)</f>
        <v/>
      </c>
      <c r="D8" s="55" t="n"/>
      <c r="E8" s="56">
        <f>IF(FEB!$H$43="","",FEB!$H$43)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IF(FEB!$H$44="","",FEB!$H$44)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IF(MAR!$H$5="","",MAR!$H$5)</f>
        <v/>
      </c>
      <c r="D9" s="55" t="n"/>
      <c r="E9" s="56">
        <f>IF(MAR!$H$43="","",MAR!$H$43)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IF(MAR!$H$44="","",MAR!$H$44)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IF(APR!$H$5="","",APR!$H$5)</f>
        <v/>
      </c>
      <c r="D10" s="55" t="n"/>
      <c r="E10" s="56">
        <f>IF(APR!$H$43="","",APR!$H$43)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IF(APR!$H$44="","",APR!$H$44)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IF(MAY!$H$5="","",MAY!$H$5)</f>
        <v/>
      </c>
      <c r="D11" s="55" t="n"/>
      <c r="E11" s="56">
        <f>IF(MAY!$H$43="","",MAY!$H$43)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IF(MAY!$H$44="","",MAY!$H$44)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IF(JUN!$H$5="","",JUN!$H$5)</f>
        <v/>
      </c>
      <c r="D12" s="55" t="n"/>
      <c r="E12" s="56">
        <f>IF(JUN!$H$43="","",JUN!$H$43)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IF(JUN!$H$44="","",JUN!$H$44)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IF(JUL!$H$5="","",JUL!$H$5)</f>
        <v/>
      </c>
      <c r="D13" s="55" t="n"/>
      <c r="E13" s="56">
        <f>IF(JUL!$H$43="","",JUL!$H$43)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IF(JUL!$H$44="","",JUL!$H$44)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IF(AUG!$H$5="","",AUG!$H$5)</f>
        <v/>
      </c>
      <c r="D14" s="55" t="n"/>
      <c r="E14" s="56">
        <f>IF(AUG!$H$43="","",AUG!$H$43)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IF(AUG!$H$44="","",AUG!$H$44)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IF(SEP!$H$5="","",SEP!$H$5)</f>
        <v/>
      </c>
      <c r="D15" s="55" t="n"/>
      <c r="E15" s="56">
        <f>IF(SEP!$H$43="","",SEP!$H$43)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IF(SEP!$H$44="","",SEP!$H$44)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4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Sint Maarten Sky Dining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IF(OCT!$I$5="","",OCT!$I$5)</f>
        <v/>
      </c>
      <c r="D4" s="55" t="n"/>
      <c r="E4" s="56">
        <f>IF(OCT!$I$43="","",OCT!$I$43)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IF(OCT!$I$44="","",OCT!$I$44)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IF($C4="","",SUMPRODUCT(($E$21:$E$140&gt;=$Z$4)*($E$21:$E$140&lt;=EOMONTH($Z4,0)),$G$21:$G$140))</f>
        <v/>
      </c>
      <c r="AB4" s="56">
        <f>IF(N(AA4)=0,"",SUMPRODUCT(($E$21:$E$140&gt;=$Z$4)*($E$21:$E$140&lt;=EOMONTH($Z4,0)),$F$21:$F$140,$G$21:$G$140)/AA4)</f>
        <v/>
      </c>
      <c r="AC4" s="59">
        <f>IF($C4="","",SUMPRODUCT(($L$21:$L$140&gt;=$Z$4)*($L$21:$L$140&lt;=EOMONTH($Z4,0)),$N$21:$N$140))</f>
        <v/>
      </c>
      <c r="AD4" s="56">
        <f>IF(N(AC4)=0,"",SUMPRODUCT(($L$21:$L$140&gt;=$Z$4)*($L$21:$L$140&lt;=EOMONTH($Z4,0)),$M$21:$M$140,$N$21:$N$140)/AC4)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IF(NOV!$I$5="","",NOV!$I$5)</f>
        <v/>
      </c>
      <c r="D5" s="55" t="n"/>
      <c r="E5" s="56">
        <f>IF(NOV!$I$43="","",NOV!$I$43)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IF(NOV!$I$44="","",NOV!$I$44)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IF($C5="","",SUMPRODUCT(($E$21:$E$140&gt;=$Z$4)*($E$21:$E$140&lt;=EOMONTH($Z5,0)),$G$21:$G$140))</f>
        <v/>
      </c>
      <c r="AB5" s="56">
        <f>IF(N(AA5)=0,"",SUMPRODUCT(($E$21:$E$140&gt;=$Z$4)*($E$21:$E$140&lt;=EOMONTH($Z5,0)),$F$21:$F$140,$G$21:$G$140)/AA5)</f>
        <v/>
      </c>
      <c r="AC5" s="59">
        <f>IF($C5="","",SUMPRODUCT(($L$21:$L$140&gt;=$Z$4)*($L$21:$L$140&lt;=EOMONTH($Z5,0)),$N$21:$N$140))</f>
        <v/>
      </c>
      <c r="AD5" s="56">
        <f>IF(N(AC5)=0,"",SUMPRODUCT(($L$21:$L$140&gt;=$Z$4)*($L$21:$L$140&lt;=EOMONTH($Z5,0)),$M$21:$M$140,$N$21:$N$140)/AC5)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IF(DEC!$I$5="","",DEC!$I$5)</f>
        <v/>
      </c>
      <c r="D6" s="55" t="n"/>
      <c r="E6" s="56">
        <f>IF(DEC!$I$43="","",DEC!$I$43)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IF(DEC!$I$44="","",DEC!$I$44)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IF($C6="","",SUMPRODUCT(($E$21:$E$140&gt;=$Z$4)*($E$21:$E$140&lt;=EOMONTH($Z6,0)),$G$21:$G$140))</f>
        <v/>
      </c>
      <c r="AB6" s="56">
        <f>IF(N(AA6)=0,"",SUMPRODUCT(($E$21:$E$140&gt;=$Z$4)*($E$21:$E$140&lt;=EOMONTH($Z6,0)),$F$21:$F$140,$G$21:$G$140)/AA6)</f>
        <v/>
      </c>
      <c r="AC6" s="59">
        <f>IF($C6="","",SUMPRODUCT(($L$21:$L$140&gt;=$Z$4)*($L$21:$L$140&lt;=EOMONTH($Z6,0)),$N$21:$N$140))</f>
        <v/>
      </c>
      <c r="AD6" s="56">
        <f>IF(N(AC6)=0,"",SUMPRODUCT(($L$21:$L$140&gt;=$Z$4)*($L$21:$L$140&lt;=EOMONTH($Z6,0)),$M$21:$M$140,$N$21:$N$140)/AC6)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IF(JAN!$I$5="","",JAN!$I$5)</f>
        <v/>
      </c>
      <c r="D7" s="55" t="n"/>
      <c r="E7" s="56">
        <f>IF(JAN!$I$43="","",JAN!$I$43)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IF(JAN!$I$44="","",JAN!$I$44)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IF($C7="","",SUMPRODUCT(($E$21:$E$140&gt;=$Z$4)*($E$21:$E$140&lt;=EOMONTH($Z7,0)),$G$21:$G$140))</f>
        <v/>
      </c>
      <c r="AB7" s="56">
        <f>IF(N(AA7)=0,"",SUMPRODUCT(($E$21:$E$140&gt;=$Z$4)*($E$21:$E$140&lt;=EOMONTH($Z7,0)),$F$21:$F$140,$G$21:$G$140)/AA7)</f>
        <v/>
      </c>
      <c r="AC7" s="59">
        <f>IF($C7="","",SUMPRODUCT(($L$21:$L$140&gt;=$Z$4)*($L$21:$L$140&lt;=EOMONTH($Z7,0)),$N$21:$N$140))</f>
        <v/>
      </c>
      <c r="AD7" s="56">
        <f>IF(N(AC7)=0,"",SUMPRODUCT(($L$21:$L$140&gt;=$Z$4)*($L$21:$L$140&lt;=EOMONTH($Z7,0)),$M$21:$M$140,$N$21:$N$140)/AC7)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IF(FEB!$I$5="","",FEB!$I$5)</f>
        <v/>
      </c>
      <c r="D8" s="55" t="n"/>
      <c r="E8" s="56">
        <f>IF(FEB!$I$43="","",FEB!$I$43)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IF(FEB!$I$44="","",FEB!$I$44)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IF($C8="","",SUMPRODUCT(($E$21:$E$140&gt;=$Z$4)*($E$21:$E$140&lt;=EOMONTH($Z8,0)),$G$21:$G$140))</f>
        <v/>
      </c>
      <c r="AB8" s="56">
        <f>IF(N(AA8)=0,"",SUMPRODUCT(($E$21:$E$140&gt;=$Z$4)*($E$21:$E$140&lt;=EOMONTH($Z8,0)),$F$21:$F$140,$G$21:$G$140)/AA8)</f>
        <v/>
      </c>
      <c r="AC8" s="59">
        <f>IF($C8="","",SUMPRODUCT(($L$21:$L$140&gt;=$Z$4)*($L$21:$L$140&lt;=EOMONTH($Z8,0)),$N$21:$N$140))</f>
        <v/>
      </c>
      <c r="AD8" s="56">
        <f>IF(N(AC8)=0,"",SUMPRODUCT(($L$21:$L$140&gt;=$Z$4)*($L$21:$L$140&lt;=EOMONTH($Z8,0)),$M$21:$M$140,$N$21:$N$140)/AC8)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IF(MAR!$I$5="","",MAR!$I$5)</f>
        <v/>
      </c>
      <c r="D9" s="55" t="n"/>
      <c r="E9" s="56">
        <f>IF(MAR!$I$43="","",MAR!$I$43)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IF(MAR!$I$44="","",MAR!$I$44)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IF($C9="","",SUMPRODUCT(($E$21:$E$140&gt;=$Z$4)*($E$21:$E$140&lt;=EOMONTH($Z9,0)),$G$21:$G$140))</f>
        <v/>
      </c>
      <c r="AB9" s="56">
        <f>IF(N(AA9)=0,"",SUMPRODUCT(($E$21:$E$140&gt;=$Z$4)*($E$21:$E$140&lt;=EOMONTH($Z9,0)),$F$21:$F$140,$G$21:$G$140)/AA9)</f>
        <v/>
      </c>
      <c r="AC9" s="59">
        <f>IF($C9="","",SUMPRODUCT(($L$21:$L$140&gt;=$Z$4)*($L$21:$L$140&lt;=EOMONTH($Z9,0)),$N$21:$N$140))</f>
        <v/>
      </c>
      <c r="AD9" s="56">
        <f>IF(N(AC9)=0,"",SUMPRODUCT(($L$21:$L$140&gt;=$Z$4)*($L$21:$L$140&lt;=EOMONTH($Z9,0)),$M$21:$M$140,$N$21:$N$140)/AC9)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IF(APR!$I$5="","",APR!$I$5)</f>
        <v/>
      </c>
      <c r="D10" s="55" t="n"/>
      <c r="E10" s="56">
        <f>IF(APR!$I$43="","",APR!$I$43)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IF(APR!$I$44="","",APR!$I$44)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IF($C10="","",SUMPRODUCT(($E$21:$E$140&gt;=$Z$4)*($E$21:$E$140&lt;=EOMONTH($Z10,0)),$G$21:$G$140))</f>
        <v/>
      </c>
      <c r="AB10" s="56">
        <f>IF(N(AA10)=0,"",SUMPRODUCT(($E$21:$E$140&gt;=$Z$4)*($E$21:$E$140&lt;=EOMONTH($Z10,0)),$F$21:$F$140,$G$21:$G$140)/AA10)</f>
        <v/>
      </c>
      <c r="AC10" s="59">
        <f>IF($C10="","",SUMPRODUCT(($L$21:$L$140&gt;=$Z$4)*($L$21:$L$140&lt;=EOMONTH($Z10,0)),$N$21:$N$140))</f>
        <v/>
      </c>
      <c r="AD10" s="56">
        <f>IF(N(AC10)=0,"",SUMPRODUCT(($L$21:$L$140&gt;=$Z$4)*($L$21:$L$140&lt;=EOMONTH($Z10,0)),$M$21:$M$140,$N$21:$N$140)/AC10)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IF(MAY!$I$5="","",MAY!$I$5)</f>
        <v/>
      </c>
      <c r="D11" s="55" t="n"/>
      <c r="E11" s="56">
        <f>IF(MAY!$I$43="","",MAY!$I$43)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IF(MAY!$I$44="","",MAY!$I$44)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IF($C11="","",SUMPRODUCT(($E$21:$E$140&gt;=$Z$4)*($E$21:$E$140&lt;=EOMONTH($Z11,0)),$G$21:$G$140))</f>
        <v/>
      </c>
      <c r="AB11" s="56">
        <f>IF(N(AA11)=0,"",SUMPRODUCT(($E$21:$E$140&gt;=$Z$4)*($E$21:$E$140&lt;=EOMONTH($Z11,0)),$F$21:$F$140,$G$21:$G$140)/AA11)</f>
        <v/>
      </c>
      <c r="AC11" s="59">
        <f>IF($C11="","",SUMPRODUCT(($L$21:$L$140&gt;=$Z$4)*($L$21:$L$140&lt;=EOMONTH($Z11,0)),$N$21:$N$140))</f>
        <v/>
      </c>
      <c r="AD11" s="56">
        <f>IF(N(AC11)=0,"",SUMPRODUCT(($L$21:$L$140&gt;=$Z$4)*($L$21:$L$140&lt;=EOMONTH($Z11,0)),$M$21:$M$140,$N$21:$N$140)/AC11)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IF(JUN!$I$5="","",JUN!$I$5)</f>
        <v/>
      </c>
      <c r="D12" s="55" t="n"/>
      <c r="E12" s="56">
        <f>IF(JUN!$I$43="","",JUN!$I$43)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IF(JUN!$I$44="","",JUN!$I$44)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IF($C12="","",SUMPRODUCT(($E$21:$E$140&gt;=$Z$4)*($E$21:$E$140&lt;=EOMONTH($Z12,0)),$G$21:$G$140))</f>
        <v/>
      </c>
      <c r="AB12" s="56">
        <f>IF(N(AA12)=0,"",SUMPRODUCT(($E$21:$E$140&gt;=$Z$4)*($E$21:$E$140&lt;=EOMONTH($Z12,0)),$F$21:$F$140,$G$21:$G$140)/AA12)</f>
        <v/>
      </c>
      <c r="AC12" s="59">
        <f>IF($C12="","",SUMPRODUCT(($L$21:$L$140&gt;=$Z$4)*($L$21:$L$140&lt;=EOMONTH($Z12,0)),$N$21:$N$140))</f>
        <v/>
      </c>
      <c r="AD12" s="56">
        <f>IF(N(AC12)=0,"",SUMPRODUCT(($L$21:$L$140&gt;=$Z$4)*($L$21:$L$140&lt;=EOMONTH($Z12,0)),$M$21:$M$140,$N$21:$N$140)/AC12)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IF(JUL!$I$5="","",JUL!$I$5)</f>
        <v/>
      </c>
      <c r="D13" s="55" t="n"/>
      <c r="E13" s="56">
        <f>IF(JUL!$I$43="","",JUL!$I$43)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IF(JUL!$I$44="","",JUL!$I$44)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IF($C13="","",SUMPRODUCT(($E$21:$E$140&gt;=$Z$4)*($E$21:$E$140&lt;=EOMONTH($Z13,0)),$G$21:$G$140))</f>
        <v/>
      </c>
      <c r="AB13" s="56">
        <f>IF(N(AA13)=0,"",SUMPRODUCT(($E$21:$E$140&gt;=$Z$4)*($E$21:$E$140&lt;=EOMONTH($Z13,0)),$F$21:$F$140,$G$21:$G$140)/AA13)</f>
        <v/>
      </c>
      <c r="AC13" s="59">
        <f>IF($C13="","",SUMPRODUCT(($L$21:$L$140&gt;=$Z$4)*($L$21:$L$140&lt;=EOMONTH($Z13,0)),$N$21:$N$140))</f>
        <v/>
      </c>
      <c r="AD13" s="56">
        <f>IF(N(AC13)=0,"",SUMPRODUCT(($L$21:$L$140&gt;=$Z$4)*($L$21:$L$140&lt;=EOMONTH($Z13,0)),$M$21:$M$140,$N$21:$N$140)/AC13)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IF(AUG!$I$5="","",AUG!$I$5)</f>
        <v/>
      </c>
      <c r="D14" s="55" t="n"/>
      <c r="E14" s="56">
        <f>IF(AUG!$I$43="","",AUG!$I$43)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IF(AUG!$I$44="","",AUG!$I$44)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IF($C14="","",SUMPRODUCT(($E$21:$E$140&gt;=$Z$4)*($E$21:$E$140&lt;=EOMONTH($Z14,0)),$G$21:$G$140))</f>
        <v/>
      </c>
      <c r="AB14" s="56">
        <f>IF(N(AA14)=0,"",SUMPRODUCT(($E$21:$E$140&gt;=$Z$4)*($E$21:$E$140&lt;=EOMONTH($Z14,0)),$F$21:$F$140,$G$21:$G$140)/AA14)</f>
        <v/>
      </c>
      <c r="AC14" s="59">
        <f>IF($C14="","",SUMPRODUCT(($L$21:$L$140&gt;=$Z$4)*($L$21:$L$140&lt;=EOMONTH($Z14,0)),$N$21:$N$140))</f>
        <v/>
      </c>
      <c r="AD14" s="56">
        <f>IF(N(AC14)=0,"",SUMPRODUCT(($L$21:$L$140&gt;=$Z$4)*($L$21:$L$140&lt;=EOMONTH($Z14,0)),$M$21:$M$140,$N$21:$N$140)/AC14)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IF(SEP!$I$5="","",SEP!$I$5)</f>
        <v/>
      </c>
      <c r="D15" s="55" t="n"/>
      <c r="E15" s="56">
        <f>IF(SEP!$I$43="","",SEP!$I$43)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IF(SEP!$I$44="","",SEP!$I$44)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IF($C15="","",SUMPRODUCT(($E$21:$E$140&gt;=$Z$4)*($E$21:$E$140&lt;=EOMONTH($Z15,0)),$G$21:$G$140))</f>
        <v/>
      </c>
      <c r="AB15" s="56">
        <f>IF(N(AA15)=0,"",SUMPRODUCT(($E$21:$E$140&gt;=$Z$4)*($E$21:$E$140&lt;=EOMONTH($Z15,0)),$F$21:$F$140,$G$21:$G$140)/AA15)</f>
        <v/>
      </c>
      <c r="AC15" s="59">
        <f>IF($C15="","",SUMPRODUCT(($L$21:$L$140&gt;=$Z$4)*($L$21:$L$140&lt;=EOMONTH($Z15,0)),$N$21:$N$140))</f>
        <v/>
      </c>
      <c r="AD15" s="56">
        <f>IF(N(AC15)=0,"",SUMPRODUCT(($L$21:$L$140&gt;=$Z$4)*($L$21:$L$140&lt;=EOMONTH($Z15,0)),$M$21:$M$140,$N$21:$N$140)/AC15)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SUMPRODUCT(($E$21:$E$140&gt;=$Z$4)*($E$21:$E$140&lt;=EOMONTH($Z$15,0)),$G$21:$G$140)</f>
        <v/>
      </c>
      <c r="AB16" s="62">
        <f>IF(N(AA16)=0,"",SUMPRODUCT(($E$21:$E$140&gt;=$Z$4)*($E$21:$E$140&lt;=EOMONTH($Z$15,0)),$F$21:$F$140,$G$21:$G$140)/AA16)</f>
        <v/>
      </c>
      <c r="AC16" s="65">
        <f>SUMPRODUCT(($L$21:$L$140&gt;=$Z$4)*($L$21:$L$140&lt;=EOMONTH($Z$15,0)),$N$21:$N$140)</f>
        <v/>
      </c>
      <c r="AD16" s="62">
        <f>IF(N(AC16)=0,"",SUMPRODUCT(($L$21:$L$140&gt;=$Z$4)*($L$21:$L$140&lt;=EOMONTH($Z$15,0)),$M$21:$M$140,$N$21:$N$140)/AC16)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60" t="n"/>
      <c r="B141" s="61" t="inlineStr">
        <is>
          <t>Total</t>
        </is>
      </c>
      <c r="C141" s="65">
        <f>SUM(C21:C140)</f>
        <v/>
      </c>
      <c r="D141" s="60" t="n"/>
      <c r="E141" s="60" t="n"/>
      <c r="F141" s="62">
        <f>IF(N(G141)=0,"",SUMPRODUCT(F21:F140,G21:G140)/G141)</f>
        <v/>
      </c>
      <c r="G141" s="65">
        <f>SUM(G21:G140)</f>
        <v/>
      </c>
      <c r="H141" s="60" t="n"/>
      <c r="I141" s="61" t="inlineStr">
        <is>
          <t>Total</t>
        </is>
      </c>
      <c r="J141" s="65">
        <f>SUM(J21:J140)</f>
        <v/>
      </c>
      <c r="K141" s="60" t="n"/>
      <c r="L141" s="60" t="n"/>
      <c r="M141" s="62">
        <f>IF(N(N141)=0,"",SUMPRODUCT(M21:M140,N21:N140)/N141)</f>
        <v/>
      </c>
      <c r="N141" s="65">
        <f>SUM(N21:N140)</f>
        <v/>
      </c>
    </row>
    <row r="142">
      <c r="B14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40" showDropDown="0" showInputMessage="0" showErrorMessage="1" allowBlank="1" error="No. of Posts must be a whole number &gt;= 1." type="whole" operator="greaterThanOrEqual">
      <formula1>1</formula1>
    </dataValidation>
    <dataValidation sqref="K21:L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4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4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Sint Maarten Airport Dining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IF(OCT!$J$5="","",OCT!$J$5)</f>
        <v/>
      </c>
      <c r="D4" s="55" t="n"/>
      <c r="E4" s="56">
        <f>IF(OCT!$J$43="","",OCT!$J$43)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IF(OCT!$J$44="","",OCT!$J$44)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IF($C4="","",SUMPRODUCT(($E$21:$E$140&gt;=$Z$4)*($E$21:$E$140&lt;=EOMONTH($Z4,0)),$G$21:$G$140))</f>
        <v/>
      </c>
      <c r="AB4" s="56">
        <f>IF(N(AA4)=0,"",SUMPRODUCT(($E$21:$E$140&gt;=$Z$4)*($E$21:$E$140&lt;=EOMONTH($Z4,0)),$F$21:$F$140,$G$21:$G$140)/AA4)</f>
        <v/>
      </c>
      <c r="AC4" s="59">
        <f>IF($C4="","",SUMPRODUCT(($L$21:$L$140&gt;=$Z$4)*($L$21:$L$140&lt;=EOMONTH($Z4,0)),$N$21:$N$140))</f>
        <v/>
      </c>
      <c r="AD4" s="56">
        <f>IF(N(AC4)=0,"",SUMPRODUCT(($L$21:$L$140&gt;=$Z$4)*($L$21:$L$140&lt;=EOMONTH($Z4,0)),$M$21:$M$140,$N$21:$N$140)/AC4)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IF(NOV!$J$5="","",NOV!$J$5)</f>
        <v/>
      </c>
      <c r="D5" s="55" t="n"/>
      <c r="E5" s="56">
        <f>IF(NOV!$J$43="","",NOV!$J$43)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IF(NOV!$J$44="","",NOV!$J$44)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IF($C5="","",SUMPRODUCT(($E$21:$E$140&gt;=$Z$4)*($E$21:$E$140&lt;=EOMONTH($Z5,0)),$G$21:$G$140))</f>
        <v/>
      </c>
      <c r="AB5" s="56">
        <f>IF(N(AA5)=0,"",SUMPRODUCT(($E$21:$E$140&gt;=$Z$4)*($E$21:$E$140&lt;=EOMONTH($Z5,0)),$F$21:$F$140,$G$21:$G$140)/AA5)</f>
        <v/>
      </c>
      <c r="AC5" s="59">
        <f>IF($C5="","",SUMPRODUCT(($L$21:$L$140&gt;=$Z$4)*($L$21:$L$140&lt;=EOMONTH($Z5,0)),$N$21:$N$140))</f>
        <v/>
      </c>
      <c r="AD5" s="56">
        <f>IF(N(AC5)=0,"",SUMPRODUCT(($L$21:$L$140&gt;=$Z$4)*($L$21:$L$140&lt;=EOMONTH($Z5,0)),$M$21:$M$140,$N$21:$N$140)/AC5)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IF(DEC!$J$5="","",DEC!$J$5)</f>
        <v/>
      </c>
      <c r="D6" s="55" t="n"/>
      <c r="E6" s="56">
        <f>IF(DEC!$J$43="","",DEC!$J$43)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IF(DEC!$J$44="","",DEC!$J$44)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IF($C6="","",SUMPRODUCT(($E$21:$E$140&gt;=$Z$4)*($E$21:$E$140&lt;=EOMONTH($Z6,0)),$G$21:$G$140))</f>
        <v/>
      </c>
      <c r="AB6" s="56">
        <f>IF(N(AA6)=0,"",SUMPRODUCT(($E$21:$E$140&gt;=$Z$4)*($E$21:$E$140&lt;=EOMONTH($Z6,0)),$F$21:$F$140,$G$21:$G$140)/AA6)</f>
        <v/>
      </c>
      <c r="AC6" s="59">
        <f>IF($C6="","",SUMPRODUCT(($L$21:$L$140&gt;=$Z$4)*($L$21:$L$140&lt;=EOMONTH($Z6,0)),$N$21:$N$140))</f>
        <v/>
      </c>
      <c r="AD6" s="56">
        <f>IF(N(AC6)=0,"",SUMPRODUCT(($L$21:$L$140&gt;=$Z$4)*($L$21:$L$140&lt;=EOMONTH($Z6,0)),$M$21:$M$140,$N$21:$N$140)/AC6)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IF(JAN!$J$5="","",JAN!$J$5)</f>
        <v/>
      </c>
      <c r="D7" s="55" t="n"/>
      <c r="E7" s="56">
        <f>IF(JAN!$J$43="","",JAN!$J$43)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IF(JAN!$J$44="","",JAN!$J$44)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IF($C7="","",SUMPRODUCT(($E$21:$E$140&gt;=$Z$4)*($E$21:$E$140&lt;=EOMONTH($Z7,0)),$G$21:$G$140))</f>
        <v/>
      </c>
      <c r="AB7" s="56">
        <f>IF(N(AA7)=0,"",SUMPRODUCT(($E$21:$E$140&gt;=$Z$4)*($E$21:$E$140&lt;=EOMONTH($Z7,0)),$F$21:$F$140,$G$21:$G$140)/AA7)</f>
        <v/>
      </c>
      <c r="AC7" s="59">
        <f>IF($C7="","",SUMPRODUCT(($L$21:$L$140&gt;=$Z$4)*($L$21:$L$140&lt;=EOMONTH($Z7,0)),$N$21:$N$140))</f>
        <v/>
      </c>
      <c r="AD7" s="56">
        <f>IF(N(AC7)=0,"",SUMPRODUCT(($L$21:$L$140&gt;=$Z$4)*($L$21:$L$140&lt;=EOMONTH($Z7,0)),$M$21:$M$140,$N$21:$N$140)/AC7)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IF(FEB!$J$5="","",FEB!$J$5)</f>
        <v/>
      </c>
      <c r="D8" s="55" t="n"/>
      <c r="E8" s="56">
        <f>IF(FEB!$J$43="","",FEB!$J$43)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IF(FEB!$J$44="","",FEB!$J$44)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IF($C8="","",SUMPRODUCT(($E$21:$E$140&gt;=$Z$4)*($E$21:$E$140&lt;=EOMONTH($Z8,0)),$G$21:$G$140))</f>
        <v/>
      </c>
      <c r="AB8" s="56">
        <f>IF(N(AA8)=0,"",SUMPRODUCT(($E$21:$E$140&gt;=$Z$4)*($E$21:$E$140&lt;=EOMONTH($Z8,0)),$F$21:$F$140,$G$21:$G$140)/AA8)</f>
        <v/>
      </c>
      <c r="AC8" s="59">
        <f>IF($C8="","",SUMPRODUCT(($L$21:$L$140&gt;=$Z$4)*($L$21:$L$140&lt;=EOMONTH($Z8,0)),$N$21:$N$140))</f>
        <v/>
      </c>
      <c r="AD8" s="56">
        <f>IF(N(AC8)=0,"",SUMPRODUCT(($L$21:$L$140&gt;=$Z$4)*($L$21:$L$140&lt;=EOMONTH($Z8,0)),$M$21:$M$140,$N$21:$N$140)/AC8)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IF(MAR!$J$5="","",MAR!$J$5)</f>
        <v/>
      </c>
      <c r="D9" s="55" t="n"/>
      <c r="E9" s="56">
        <f>IF(MAR!$J$43="","",MAR!$J$43)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IF(MAR!$J$44="","",MAR!$J$44)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IF($C9="","",SUMPRODUCT(($E$21:$E$140&gt;=$Z$4)*($E$21:$E$140&lt;=EOMONTH($Z9,0)),$G$21:$G$140))</f>
        <v/>
      </c>
      <c r="AB9" s="56">
        <f>IF(N(AA9)=0,"",SUMPRODUCT(($E$21:$E$140&gt;=$Z$4)*($E$21:$E$140&lt;=EOMONTH($Z9,0)),$F$21:$F$140,$G$21:$G$140)/AA9)</f>
        <v/>
      </c>
      <c r="AC9" s="59">
        <f>IF($C9="","",SUMPRODUCT(($L$21:$L$140&gt;=$Z$4)*($L$21:$L$140&lt;=EOMONTH($Z9,0)),$N$21:$N$140))</f>
        <v/>
      </c>
      <c r="AD9" s="56">
        <f>IF(N(AC9)=0,"",SUMPRODUCT(($L$21:$L$140&gt;=$Z$4)*($L$21:$L$140&lt;=EOMONTH($Z9,0)),$M$21:$M$140,$N$21:$N$140)/AC9)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IF(APR!$J$5="","",APR!$J$5)</f>
        <v/>
      </c>
      <c r="D10" s="55" t="n"/>
      <c r="E10" s="56">
        <f>IF(APR!$J$43="","",APR!$J$43)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IF(APR!$J$44="","",APR!$J$44)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IF($C10="","",SUMPRODUCT(($E$21:$E$140&gt;=$Z$4)*($E$21:$E$140&lt;=EOMONTH($Z10,0)),$G$21:$G$140))</f>
        <v/>
      </c>
      <c r="AB10" s="56">
        <f>IF(N(AA10)=0,"",SUMPRODUCT(($E$21:$E$140&gt;=$Z$4)*($E$21:$E$140&lt;=EOMONTH($Z10,0)),$F$21:$F$140,$G$21:$G$140)/AA10)</f>
        <v/>
      </c>
      <c r="AC10" s="59">
        <f>IF($C10="","",SUMPRODUCT(($L$21:$L$140&gt;=$Z$4)*($L$21:$L$140&lt;=EOMONTH($Z10,0)),$N$21:$N$140))</f>
        <v/>
      </c>
      <c r="AD10" s="56">
        <f>IF(N(AC10)=0,"",SUMPRODUCT(($L$21:$L$140&gt;=$Z$4)*($L$21:$L$140&lt;=EOMONTH($Z10,0)),$M$21:$M$140,$N$21:$N$140)/AC10)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IF(MAY!$J$5="","",MAY!$J$5)</f>
        <v/>
      </c>
      <c r="D11" s="55" t="n"/>
      <c r="E11" s="56">
        <f>IF(MAY!$J$43="","",MAY!$J$43)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IF(MAY!$J$44="","",MAY!$J$44)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IF($C11="","",SUMPRODUCT(($E$21:$E$140&gt;=$Z$4)*($E$21:$E$140&lt;=EOMONTH($Z11,0)),$G$21:$G$140))</f>
        <v/>
      </c>
      <c r="AB11" s="56">
        <f>IF(N(AA11)=0,"",SUMPRODUCT(($E$21:$E$140&gt;=$Z$4)*($E$21:$E$140&lt;=EOMONTH($Z11,0)),$F$21:$F$140,$G$21:$G$140)/AA11)</f>
        <v/>
      </c>
      <c r="AC11" s="59">
        <f>IF($C11="","",SUMPRODUCT(($L$21:$L$140&gt;=$Z$4)*($L$21:$L$140&lt;=EOMONTH($Z11,0)),$N$21:$N$140))</f>
        <v/>
      </c>
      <c r="AD11" s="56">
        <f>IF(N(AC11)=0,"",SUMPRODUCT(($L$21:$L$140&gt;=$Z$4)*($L$21:$L$140&lt;=EOMONTH($Z11,0)),$M$21:$M$140,$N$21:$N$140)/AC11)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IF(JUN!$J$5="","",JUN!$J$5)</f>
        <v/>
      </c>
      <c r="D12" s="55" t="n"/>
      <c r="E12" s="56">
        <f>IF(JUN!$J$43="","",JUN!$J$43)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IF(JUN!$J$44="","",JUN!$J$44)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IF($C12="","",SUMPRODUCT(($E$21:$E$140&gt;=$Z$4)*($E$21:$E$140&lt;=EOMONTH($Z12,0)),$G$21:$G$140))</f>
        <v/>
      </c>
      <c r="AB12" s="56">
        <f>IF(N(AA12)=0,"",SUMPRODUCT(($E$21:$E$140&gt;=$Z$4)*($E$21:$E$140&lt;=EOMONTH($Z12,0)),$F$21:$F$140,$G$21:$G$140)/AA12)</f>
        <v/>
      </c>
      <c r="AC12" s="59">
        <f>IF($C12="","",SUMPRODUCT(($L$21:$L$140&gt;=$Z$4)*($L$21:$L$140&lt;=EOMONTH($Z12,0)),$N$21:$N$140))</f>
        <v/>
      </c>
      <c r="AD12" s="56">
        <f>IF(N(AC12)=0,"",SUMPRODUCT(($L$21:$L$140&gt;=$Z$4)*($L$21:$L$140&lt;=EOMONTH($Z12,0)),$M$21:$M$140,$N$21:$N$140)/AC12)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IF(JUL!$J$5="","",JUL!$J$5)</f>
        <v/>
      </c>
      <c r="D13" s="55" t="n"/>
      <c r="E13" s="56">
        <f>IF(JUL!$J$43="","",JUL!$J$43)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IF(JUL!$J$44="","",JUL!$J$44)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IF($C13="","",SUMPRODUCT(($E$21:$E$140&gt;=$Z$4)*($E$21:$E$140&lt;=EOMONTH($Z13,0)),$G$21:$G$140))</f>
        <v/>
      </c>
      <c r="AB13" s="56">
        <f>IF(N(AA13)=0,"",SUMPRODUCT(($E$21:$E$140&gt;=$Z$4)*($E$21:$E$140&lt;=EOMONTH($Z13,0)),$F$21:$F$140,$G$21:$G$140)/AA13)</f>
        <v/>
      </c>
      <c r="AC13" s="59">
        <f>IF($C13="","",SUMPRODUCT(($L$21:$L$140&gt;=$Z$4)*($L$21:$L$140&lt;=EOMONTH($Z13,0)),$N$21:$N$140))</f>
        <v/>
      </c>
      <c r="AD13" s="56">
        <f>IF(N(AC13)=0,"",SUMPRODUCT(($L$21:$L$140&gt;=$Z$4)*($L$21:$L$140&lt;=EOMONTH($Z13,0)),$M$21:$M$140,$N$21:$N$140)/AC13)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IF(AUG!$J$5="","",AUG!$J$5)</f>
        <v/>
      </c>
      <c r="D14" s="55" t="n"/>
      <c r="E14" s="56">
        <f>IF(AUG!$J$43="","",AUG!$J$43)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IF(AUG!$J$44="","",AUG!$J$44)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IF($C14="","",SUMPRODUCT(($E$21:$E$140&gt;=$Z$4)*($E$21:$E$140&lt;=EOMONTH($Z14,0)),$G$21:$G$140))</f>
        <v/>
      </c>
      <c r="AB14" s="56">
        <f>IF(N(AA14)=0,"",SUMPRODUCT(($E$21:$E$140&gt;=$Z$4)*($E$21:$E$140&lt;=EOMONTH($Z14,0)),$F$21:$F$140,$G$21:$G$140)/AA14)</f>
        <v/>
      </c>
      <c r="AC14" s="59">
        <f>IF($C14="","",SUMPRODUCT(($L$21:$L$140&gt;=$Z$4)*($L$21:$L$140&lt;=EOMONTH($Z14,0)),$N$21:$N$140))</f>
        <v/>
      </c>
      <c r="AD14" s="56">
        <f>IF(N(AC14)=0,"",SUMPRODUCT(($L$21:$L$140&gt;=$Z$4)*($L$21:$L$140&lt;=EOMONTH($Z14,0)),$M$21:$M$140,$N$21:$N$140)/AC14)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IF(SEP!$J$5="","",SEP!$J$5)</f>
        <v/>
      </c>
      <c r="D15" s="55" t="n"/>
      <c r="E15" s="56">
        <f>IF(SEP!$J$43="","",SEP!$J$43)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IF(SEP!$J$44="","",SEP!$J$44)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IF($C15="","",SUMPRODUCT(($E$21:$E$140&gt;=$Z$4)*($E$21:$E$140&lt;=EOMONTH($Z15,0)),$G$21:$G$140))</f>
        <v/>
      </c>
      <c r="AB15" s="56">
        <f>IF(N(AA15)=0,"",SUMPRODUCT(($E$21:$E$140&gt;=$Z$4)*($E$21:$E$140&lt;=EOMONTH($Z15,0)),$F$21:$F$140,$G$21:$G$140)/AA15)</f>
        <v/>
      </c>
      <c r="AC15" s="59">
        <f>IF($C15="","",SUMPRODUCT(($L$21:$L$140&gt;=$Z$4)*($L$21:$L$140&lt;=EOMONTH($Z15,0)),$N$21:$N$140))</f>
        <v/>
      </c>
      <c r="AD15" s="56">
        <f>IF(N(AC15)=0,"",SUMPRODUCT(($L$21:$L$140&gt;=$Z$4)*($L$21:$L$140&lt;=EOMONTH($Z15,0)),$M$21:$M$140,$N$21:$N$140)/AC15)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SUMPRODUCT(($E$21:$E$140&gt;=$Z$4)*($E$21:$E$140&lt;=EOMONTH($Z$15,0)),$G$21:$G$140)</f>
        <v/>
      </c>
      <c r="AB16" s="62">
        <f>IF(N(AA16)=0,"",SUMPRODUCT(($E$21:$E$140&gt;=$Z$4)*($E$21:$E$140&lt;=EOMONTH($Z$15,0)),$F$21:$F$140,$G$21:$G$140)/AA16)</f>
        <v/>
      </c>
      <c r="AC16" s="65">
        <f>SUMPRODUCT(($L$21:$L$140&gt;=$Z$4)*($L$21:$L$140&lt;=EOMONTH($Z$15,0)),$N$21:$N$140)</f>
        <v/>
      </c>
      <c r="AD16" s="62">
        <f>IF(N(AC16)=0,"",SUMPRODUCT(($L$21:$L$140&gt;=$Z$4)*($L$21:$L$140&lt;=EOMONTH($Z$15,0)),$M$21:$M$140,$N$21:$N$140)/AC16)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60" t="n"/>
      <c r="B141" s="61" t="inlineStr">
        <is>
          <t>Total</t>
        </is>
      </c>
      <c r="C141" s="65">
        <f>SUM(C21:C140)</f>
        <v/>
      </c>
      <c r="D141" s="60" t="n"/>
      <c r="E141" s="60" t="n"/>
      <c r="F141" s="62">
        <f>IF(N(G141)=0,"",SUMPRODUCT(F21:F140,G21:G140)/G141)</f>
        <v/>
      </c>
      <c r="G141" s="65">
        <f>SUM(G21:G140)</f>
        <v/>
      </c>
      <c r="H141" s="60" t="n"/>
      <c r="I141" s="61" t="inlineStr">
        <is>
          <t>Total</t>
        </is>
      </c>
      <c r="J141" s="65">
        <f>SUM(J21:J140)</f>
        <v/>
      </c>
      <c r="K141" s="60" t="n"/>
      <c r="L141" s="60" t="n"/>
      <c r="M141" s="62">
        <f>IF(N(N141)=0,"",SUMPRODUCT(M21:M140,N21:N140)/N141)</f>
        <v/>
      </c>
      <c r="N141" s="65">
        <f>SUM(N21:N140)</f>
        <v/>
      </c>
    </row>
    <row r="142">
      <c r="B14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40" showDropDown="0" showInputMessage="0" showErrorMessage="1" allowBlank="1" error="No. of Posts must be a whole number &gt;= 1." type="whole" operator="greaterThanOrEqual">
      <formula1>1</formula1>
    </dataValidation>
    <dataValidation sqref="K21:L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4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33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Allied Caterers Trinidad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IF(OCT!$K$5="","",OCT!$K$5)</f>
        <v/>
      </c>
      <c r="D4" s="55" t="n"/>
      <c r="E4" s="56">
        <f>IF(OCT!$K$43="","",OCT!$K$43)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IF(OCT!$K$44="","",OCT!$K$44)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IF($C4="","",SUMPRODUCT(($E$21:$E$330&gt;=$Z$4)*($E$21:$E$330&lt;=EOMONTH($Z4,0)),$G$21:$G$330))</f>
        <v/>
      </c>
      <c r="AB4" s="56">
        <f>IF(N(AA4)=0,"",SUMPRODUCT(($E$21:$E$330&gt;=$Z$4)*($E$21:$E$330&lt;=EOMONTH($Z4,0)),$F$21:$F$330,$G$21:$G$330)/AA4)</f>
        <v/>
      </c>
      <c r="AC4" s="59">
        <f>IF($C4="","",SUMPRODUCT(($L$21:$L$330&gt;=$Z$4)*($L$21:$L$330&lt;=EOMONTH($Z4,0)),$N$21:$N$330))</f>
        <v/>
      </c>
      <c r="AD4" s="56">
        <f>IF(N(AC4)=0,"",SUMPRODUCT(($L$21:$L$330&gt;=$Z$4)*($L$21:$L$330&lt;=EOMONTH($Z4,0)),$M$21:$M$330,$N$21:$N$330)/AC4)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IF(NOV!$K$5="","",NOV!$K$5)</f>
        <v/>
      </c>
      <c r="D5" s="55" t="n"/>
      <c r="E5" s="56">
        <f>IF(NOV!$K$43="","",NOV!$K$43)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IF(NOV!$K$44="","",NOV!$K$44)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IF($C5="","",SUMPRODUCT(($E$21:$E$330&gt;=$Z$4)*($E$21:$E$330&lt;=EOMONTH($Z5,0)),$G$21:$G$330))</f>
        <v/>
      </c>
      <c r="AB5" s="56">
        <f>IF(N(AA5)=0,"",SUMPRODUCT(($E$21:$E$330&gt;=$Z$4)*($E$21:$E$330&lt;=EOMONTH($Z5,0)),$F$21:$F$330,$G$21:$G$330)/AA5)</f>
        <v/>
      </c>
      <c r="AC5" s="59">
        <f>IF($C5="","",SUMPRODUCT(($L$21:$L$330&gt;=$Z$4)*($L$21:$L$330&lt;=EOMONTH($Z5,0)),$N$21:$N$330))</f>
        <v/>
      </c>
      <c r="AD5" s="56">
        <f>IF(N(AC5)=0,"",SUMPRODUCT(($L$21:$L$330&gt;=$Z$4)*($L$21:$L$330&lt;=EOMONTH($Z5,0)),$M$21:$M$330,$N$21:$N$330)/AC5)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IF(DEC!$K$5="","",DEC!$K$5)</f>
        <v/>
      </c>
      <c r="D6" s="55" t="n"/>
      <c r="E6" s="56">
        <f>IF(DEC!$K$43="","",DEC!$K$43)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IF(DEC!$K$44="","",DEC!$K$44)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IF($C6="","",SUMPRODUCT(($E$21:$E$330&gt;=$Z$4)*($E$21:$E$330&lt;=EOMONTH($Z6,0)),$G$21:$G$330))</f>
        <v/>
      </c>
      <c r="AB6" s="56">
        <f>IF(N(AA6)=0,"",SUMPRODUCT(($E$21:$E$330&gt;=$Z$4)*($E$21:$E$330&lt;=EOMONTH($Z6,0)),$F$21:$F$330,$G$21:$G$330)/AA6)</f>
        <v/>
      </c>
      <c r="AC6" s="59">
        <f>IF($C6="","",SUMPRODUCT(($L$21:$L$330&gt;=$Z$4)*($L$21:$L$330&lt;=EOMONTH($Z6,0)),$N$21:$N$330))</f>
        <v/>
      </c>
      <c r="AD6" s="56">
        <f>IF(N(AC6)=0,"",SUMPRODUCT(($L$21:$L$330&gt;=$Z$4)*($L$21:$L$330&lt;=EOMONTH($Z6,0)),$M$21:$M$330,$N$21:$N$330)/AC6)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IF(JAN!$K$5="","",JAN!$K$5)</f>
        <v/>
      </c>
      <c r="D7" s="55" t="n"/>
      <c r="E7" s="56">
        <f>IF(JAN!$K$43="","",JAN!$K$43)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IF(JAN!$K$44="","",JAN!$K$44)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IF($C7="","",SUMPRODUCT(($E$21:$E$330&gt;=$Z$4)*($E$21:$E$330&lt;=EOMONTH($Z7,0)),$G$21:$G$330))</f>
        <v/>
      </c>
      <c r="AB7" s="56">
        <f>IF(N(AA7)=0,"",SUMPRODUCT(($E$21:$E$330&gt;=$Z$4)*($E$21:$E$330&lt;=EOMONTH($Z7,0)),$F$21:$F$330,$G$21:$G$330)/AA7)</f>
        <v/>
      </c>
      <c r="AC7" s="59">
        <f>IF($C7="","",SUMPRODUCT(($L$21:$L$330&gt;=$Z$4)*($L$21:$L$330&lt;=EOMONTH($Z7,0)),$N$21:$N$330))</f>
        <v/>
      </c>
      <c r="AD7" s="56">
        <f>IF(N(AC7)=0,"",SUMPRODUCT(($L$21:$L$330&gt;=$Z$4)*($L$21:$L$330&lt;=EOMONTH($Z7,0)),$M$21:$M$330,$N$21:$N$330)/AC7)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IF(FEB!$K$5="","",FEB!$K$5)</f>
        <v/>
      </c>
      <c r="D8" s="55" t="n"/>
      <c r="E8" s="56">
        <f>IF(FEB!$K$43="","",FEB!$K$43)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IF(FEB!$K$44="","",FEB!$K$44)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IF($C8="","",SUMPRODUCT(($E$21:$E$330&gt;=$Z$4)*($E$21:$E$330&lt;=EOMONTH($Z8,0)),$G$21:$G$330))</f>
        <v/>
      </c>
      <c r="AB8" s="56">
        <f>IF(N(AA8)=0,"",SUMPRODUCT(($E$21:$E$330&gt;=$Z$4)*($E$21:$E$330&lt;=EOMONTH($Z8,0)),$F$21:$F$330,$G$21:$G$330)/AA8)</f>
        <v/>
      </c>
      <c r="AC8" s="59">
        <f>IF($C8="","",SUMPRODUCT(($L$21:$L$330&gt;=$Z$4)*($L$21:$L$330&lt;=EOMONTH($Z8,0)),$N$21:$N$330))</f>
        <v/>
      </c>
      <c r="AD8" s="56">
        <f>IF(N(AC8)=0,"",SUMPRODUCT(($L$21:$L$330&gt;=$Z$4)*($L$21:$L$330&lt;=EOMONTH($Z8,0)),$M$21:$M$330,$N$21:$N$330)/AC8)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IF(MAR!$K$5="","",MAR!$K$5)</f>
        <v/>
      </c>
      <c r="D9" s="55" t="n"/>
      <c r="E9" s="56">
        <f>IF(MAR!$K$43="","",MAR!$K$43)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IF(MAR!$K$44="","",MAR!$K$44)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IF($C9="","",SUMPRODUCT(($E$21:$E$330&gt;=$Z$4)*($E$21:$E$330&lt;=EOMONTH($Z9,0)),$G$21:$G$330))</f>
        <v/>
      </c>
      <c r="AB9" s="56">
        <f>IF(N(AA9)=0,"",SUMPRODUCT(($E$21:$E$330&gt;=$Z$4)*($E$21:$E$330&lt;=EOMONTH($Z9,0)),$F$21:$F$330,$G$21:$G$330)/AA9)</f>
        <v/>
      </c>
      <c r="AC9" s="59">
        <f>IF($C9="","",SUMPRODUCT(($L$21:$L$330&gt;=$Z$4)*($L$21:$L$330&lt;=EOMONTH($Z9,0)),$N$21:$N$330))</f>
        <v/>
      </c>
      <c r="AD9" s="56">
        <f>IF(N(AC9)=0,"",SUMPRODUCT(($L$21:$L$330&gt;=$Z$4)*($L$21:$L$330&lt;=EOMONTH($Z9,0)),$M$21:$M$330,$N$21:$N$330)/AC9)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IF(APR!$K$5="","",APR!$K$5)</f>
        <v/>
      </c>
      <c r="D10" s="55" t="n"/>
      <c r="E10" s="56">
        <f>IF(APR!$K$43="","",APR!$K$43)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IF(APR!$K$44="","",APR!$K$44)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IF($C10="","",SUMPRODUCT(($E$21:$E$330&gt;=$Z$4)*($E$21:$E$330&lt;=EOMONTH($Z10,0)),$G$21:$G$330))</f>
        <v/>
      </c>
      <c r="AB10" s="56">
        <f>IF(N(AA10)=0,"",SUMPRODUCT(($E$21:$E$330&gt;=$Z$4)*($E$21:$E$330&lt;=EOMONTH($Z10,0)),$F$21:$F$330,$G$21:$G$330)/AA10)</f>
        <v/>
      </c>
      <c r="AC10" s="59">
        <f>IF($C10="","",SUMPRODUCT(($L$21:$L$330&gt;=$Z$4)*($L$21:$L$330&lt;=EOMONTH($Z10,0)),$N$21:$N$330))</f>
        <v/>
      </c>
      <c r="AD10" s="56">
        <f>IF(N(AC10)=0,"",SUMPRODUCT(($L$21:$L$330&gt;=$Z$4)*($L$21:$L$330&lt;=EOMONTH($Z10,0)),$M$21:$M$330,$N$21:$N$330)/AC10)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IF(MAY!$K$5="","",MAY!$K$5)</f>
        <v/>
      </c>
      <c r="D11" s="55" t="n"/>
      <c r="E11" s="56">
        <f>IF(MAY!$K$43="","",MAY!$K$43)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IF(MAY!$K$44="","",MAY!$K$44)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IF($C11="","",SUMPRODUCT(($E$21:$E$330&gt;=$Z$4)*($E$21:$E$330&lt;=EOMONTH($Z11,0)),$G$21:$G$330))</f>
        <v/>
      </c>
      <c r="AB11" s="56">
        <f>IF(N(AA11)=0,"",SUMPRODUCT(($E$21:$E$330&gt;=$Z$4)*($E$21:$E$330&lt;=EOMONTH($Z11,0)),$F$21:$F$330,$G$21:$G$330)/AA11)</f>
        <v/>
      </c>
      <c r="AC11" s="59">
        <f>IF($C11="","",SUMPRODUCT(($L$21:$L$330&gt;=$Z$4)*($L$21:$L$330&lt;=EOMONTH($Z11,0)),$N$21:$N$330))</f>
        <v/>
      </c>
      <c r="AD11" s="56">
        <f>IF(N(AC11)=0,"",SUMPRODUCT(($L$21:$L$330&gt;=$Z$4)*($L$21:$L$330&lt;=EOMONTH($Z11,0)),$M$21:$M$330,$N$21:$N$330)/AC11)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IF(JUN!$K$5="","",JUN!$K$5)</f>
        <v/>
      </c>
      <c r="D12" s="55" t="n"/>
      <c r="E12" s="56">
        <f>IF(JUN!$K$43="","",JUN!$K$43)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IF(JUN!$K$44="","",JUN!$K$44)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IF($C12="","",SUMPRODUCT(($E$21:$E$330&gt;=$Z$4)*($E$21:$E$330&lt;=EOMONTH($Z12,0)),$G$21:$G$330))</f>
        <v/>
      </c>
      <c r="AB12" s="56">
        <f>IF(N(AA12)=0,"",SUMPRODUCT(($E$21:$E$330&gt;=$Z$4)*($E$21:$E$330&lt;=EOMONTH($Z12,0)),$F$21:$F$330,$G$21:$G$330)/AA12)</f>
        <v/>
      </c>
      <c r="AC12" s="59">
        <f>IF($C12="","",SUMPRODUCT(($L$21:$L$330&gt;=$Z$4)*($L$21:$L$330&lt;=EOMONTH($Z12,0)),$N$21:$N$330))</f>
        <v/>
      </c>
      <c r="AD12" s="56">
        <f>IF(N(AC12)=0,"",SUMPRODUCT(($L$21:$L$330&gt;=$Z$4)*($L$21:$L$330&lt;=EOMONTH($Z12,0)),$M$21:$M$330,$N$21:$N$330)/AC12)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IF(JUL!$K$5="","",JUL!$K$5)</f>
        <v/>
      </c>
      <c r="D13" s="55" t="n"/>
      <c r="E13" s="56">
        <f>IF(JUL!$K$43="","",JUL!$K$43)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IF(JUL!$K$44="","",JUL!$K$44)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IF($C13="","",SUMPRODUCT(($E$21:$E$330&gt;=$Z$4)*($E$21:$E$330&lt;=EOMONTH($Z13,0)),$G$21:$G$330))</f>
        <v/>
      </c>
      <c r="AB13" s="56">
        <f>IF(N(AA13)=0,"",SUMPRODUCT(($E$21:$E$330&gt;=$Z$4)*($E$21:$E$330&lt;=EOMONTH($Z13,0)),$F$21:$F$330,$G$21:$G$330)/AA13)</f>
        <v/>
      </c>
      <c r="AC13" s="59">
        <f>IF($C13="","",SUMPRODUCT(($L$21:$L$330&gt;=$Z$4)*($L$21:$L$330&lt;=EOMONTH($Z13,0)),$N$21:$N$330))</f>
        <v/>
      </c>
      <c r="AD13" s="56">
        <f>IF(N(AC13)=0,"",SUMPRODUCT(($L$21:$L$330&gt;=$Z$4)*($L$21:$L$330&lt;=EOMONTH($Z13,0)),$M$21:$M$330,$N$21:$N$330)/AC13)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IF(AUG!$K$5="","",AUG!$K$5)</f>
        <v/>
      </c>
      <c r="D14" s="55" t="n"/>
      <c r="E14" s="56">
        <f>IF(AUG!$K$43="","",AUG!$K$43)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IF(AUG!$K$44="","",AUG!$K$44)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IF($C14="","",SUMPRODUCT(($E$21:$E$330&gt;=$Z$4)*($E$21:$E$330&lt;=EOMONTH($Z14,0)),$G$21:$G$330))</f>
        <v/>
      </c>
      <c r="AB14" s="56">
        <f>IF(N(AA14)=0,"",SUMPRODUCT(($E$21:$E$330&gt;=$Z$4)*($E$21:$E$330&lt;=EOMONTH($Z14,0)),$F$21:$F$330,$G$21:$G$330)/AA14)</f>
        <v/>
      </c>
      <c r="AC14" s="59">
        <f>IF($C14="","",SUMPRODUCT(($L$21:$L$330&gt;=$Z$4)*($L$21:$L$330&lt;=EOMONTH($Z14,0)),$N$21:$N$330))</f>
        <v/>
      </c>
      <c r="AD14" s="56">
        <f>IF(N(AC14)=0,"",SUMPRODUCT(($L$21:$L$330&gt;=$Z$4)*($L$21:$L$330&lt;=EOMONTH($Z14,0)),$M$21:$M$330,$N$21:$N$330)/AC14)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IF(SEP!$K$5="","",SEP!$K$5)</f>
        <v/>
      </c>
      <c r="D15" s="55" t="n"/>
      <c r="E15" s="56">
        <f>IF(SEP!$K$43="","",SEP!$K$43)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IF(SEP!$K$44="","",SEP!$K$44)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IF($C15="","",SUMPRODUCT(($E$21:$E$330&gt;=$Z$4)*($E$21:$E$330&lt;=EOMONTH($Z15,0)),$G$21:$G$330))</f>
        <v/>
      </c>
      <c r="AB15" s="56">
        <f>IF(N(AA15)=0,"",SUMPRODUCT(($E$21:$E$330&gt;=$Z$4)*($E$21:$E$330&lt;=EOMONTH($Z15,0)),$F$21:$F$330,$G$21:$G$330)/AA15)</f>
        <v/>
      </c>
      <c r="AC15" s="59">
        <f>IF($C15="","",SUMPRODUCT(($L$21:$L$330&gt;=$Z$4)*($L$21:$L$330&lt;=EOMONTH($Z15,0)),$N$21:$N$330))</f>
        <v/>
      </c>
      <c r="AD15" s="56">
        <f>IF(N(AC15)=0,"",SUMPRODUCT(($L$21:$L$330&gt;=$Z$4)*($L$21:$L$330&lt;=EOMONTH($Z15,0)),$M$21:$M$330,$N$21:$N$330)/AC15)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SUMPRODUCT(($E$21:$E$330&gt;=$Z$4)*($E$21:$E$330&lt;=EOMONTH($Z$15,0)),$G$21:$G$330)</f>
        <v/>
      </c>
      <c r="AB16" s="62">
        <f>IF(N(AA16)=0,"",SUMPRODUCT(($E$21:$E$330&gt;=$Z$4)*($E$21:$E$330&lt;=EOMONTH($Z$15,0)),$F$21:$F$330,$G$21:$G$330)/AA16)</f>
        <v/>
      </c>
      <c r="AC16" s="65">
        <f>SUMPRODUCT(($L$21:$L$330&gt;=$Z$4)*($L$21:$L$330&lt;=EOMONTH($Z$15,0)),$N$21:$N$330)</f>
        <v/>
      </c>
      <c r="AD16" s="62">
        <f>IF(N(AC16)=0,"",SUMPRODUCT(($L$21:$L$330&gt;=$Z$4)*($L$21:$L$330&lt;=EOMONTH($Z$15,0)),$M$21:$M$330,$N$21:$N$330)/AC16)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53" t="n">
        <v>301</v>
      </c>
      <c r="B321" s="67" t="n"/>
      <c r="C321" s="55" t="n"/>
      <c r="D321" s="68" t="n"/>
      <c r="E321" s="68" t="n"/>
      <c r="F321" s="59">
        <f>IF(OR(E321="",D321=""),"",MAX(E321-D321,0))</f>
        <v/>
      </c>
      <c r="G321" s="59">
        <f>IF(F321="","",IF(N(C321)=0,1,C321))</f>
        <v/>
      </c>
      <c r="H321" s="53" t="n">
        <v>301</v>
      </c>
      <c r="I321" s="67" t="n"/>
      <c r="J321" s="55" t="n"/>
      <c r="K321" s="68" t="n"/>
      <c r="L321" s="68" t="n"/>
      <c r="M321" s="59">
        <f>IF(OR(L321="",K321=""),"",MAX(L321-K321,0))</f>
        <v/>
      </c>
      <c r="N321" s="59">
        <f>IF(M321="","",IF(N(J321)=0,1,J321))</f>
        <v/>
      </c>
    </row>
    <row r="322">
      <c r="A322" s="53" t="n">
        <v>302</v>
      </c>
      <c r="B322" s="67" t="n"/>
      <c r="C322" s="55" t="n"/>
      <c r="D322" s="68" t="n"/>
      <c r="E322" s="68" t="n"/>
      <c r="F322" s="59">
        <f>IF(OR(E322="",D322=""),"",MAX(E322-D322,0))</f>
        <v/>
      </c>
      <c r="G322" s="59">
        <f>IF(F322="","",IF(N(C322)=0,1,C322))</f>
        <v/>
      </c>
      <c r="H322" s="53" t="n">
        <v>302</v>
      </c>
      <c r="I322" s="67" t="n"/>
      <c r="J322" s="55" t="n"/>
      <c r="K322" s="68" t="n"/>
      <c r="L322" s="68" t="n"/>
      <c r="M322" s="59">
        <f>IF(OR(L322="",K322=""),"",MAX(L322-K322,0))</f>
        <v/>
      </c>
      <c r="N322" s="59">
        <f>IF(M322="","",IF(N(J322)=0,1,J322))</f>
        <v/>
      </c>
    </row>
    <row r="323">
      <c r="A323" s="53" t="n">
        <v>303</v>
      </c>
      <c r="B323" s="67" t="n"/>
      <c r="C323" s="55" t="n"/>
      <c r="D323" s="68" t="n"/>
      <c r="E323" s="68" t="n"/>
      <c r="F323" s="59">
        <f>IF(OR(E323="",D323=""),"",MAX(E323-D323,0))</f>
        <v/>
      </c>
      <c r="G323" s="59">
        <f>IF(F323="","",IF(N(C323)=0,1,C323))</f>
        <v/>
      </c>
      <c r="H323" s="53" t="n">
        <v>303</v>
      </c>
      <c r="I323" s="67" t="n"/>
      <c r="J323" s="55" t="n"/>
      <c r="K323" s="68" t="n"/>
      <c r="L323" s="68" t="n"/>
      <c r="M323" s="59">
        <f>IF(OR(L323="",K323=""),"",MAX(L323-K323,0))</f>
        <v/>
      </c>
      <c r="N323" s="59">
        <f>IF(M323="","",IF(N(J323)=0,1,J323))</f>
        <v/>
      </c>
    </row>
    <row r="324">
      <c r="A324" s="53" t="n">
        <v>304</v>
      </c>
      <c r="B324" s="67" t="n"/>
      <c r="C324" s="55" t="n"/>
      <c r="D324" s="68" t="n"/>
      <c r="E324" s="68" t="n"/>
      <c r="F324" s="59">
        <f>IF(OR(E324="",D324=""),"",MAX(E324-D324,0))</f>
        <v/>
      </c>
      <c r="G324" s="59">
        <f>IF(F324="","",IF(N(C324)=0,1,C324))</f>
        <v/>
      </c>
      <c r="H324" s="53" t="n">
        <v>304</v>
      </c>
      <c r="I324" s="67" t="n"/>
      <c r="J324" s="55" t="n"/>
      <c r="K324" s="68" t="n"/>
      <c r="L324" s="68" t="n"/>
      <c r="M324" s="59">
        <f>IF(OR(L324="",K324=""),"",MAX(L324-K324,0))</f>
        <v/>
      </c>
      <c r="N324" s="59">
        <f>IF(M324="","",IF(N(J324)=0,1,J324))</f>
        <v/>
      </c>
    </row>
    <row r="325">
      <c r="A325" s="53" t="n">
        <v>305</v>
      </c>
      <c r="B325" s="67" t="n"/>
      <c r="C325" s="55" t="n"/>
      <c r="D325" s="68" t="n"/>
      <c r="E325" s="68" t="n"/>
      <c r="F325" s="59">
        <f>IF(OR(E325="",D325=""),"",MAX(E325-D325,0))</f>
        <v/>
      </c>
      <c r="G325" s="59">
        <f>IF(F325="","",IF(N(C325)=0,1,C325))</f>
        <v/>
      </c>
      <c r="H325" s="53" t="n">
        <v>305</v>
      </c>
      <c r="I325" s="67" t="n"/>
      <c r="J325" s="55" t="n"/>
      <c r="K325" s="68" t="n"/>
      <c r="L325" s="68" t="n"/>
      <c r="M325" s="59">
        <f>IF(OR(L325="",K325=""),"",MAX(L325-K325,0))</f>
        <v/>
      </c>
      <c r="N325" s="59">
        <f>IF(M325="","",IF(N(J325)=0,1,J325))</f>
        <v/>
      </c>
    </row>
    <row r="326">
      <c r="A326" s="53" t="n">
        <v>306</v>
      </c>
      <c r="B326" s="67" t="n"/>
      <c r="C326" s="55" t="n"/>
      <c r="D326" s="68" t="n"/>
      <c r="E326" s="68" t="n"/>
      <c r="F326" s="59">
        <f>IF(OR(E326="",D326=""),"",MAX(E326-D326,0))</f>
        <v/>
      </c>
      <c r="G326" s="59">
        <f>IF(F326="","",IF(N(C326)=0,1,C326))</f>
        <v/>
      </c>
      <c r="H326" s="53" t="n">
        <v>306</v>
      </c>
      <c r="I326" s="67" t="n"/>
      <c r="J326" s="55" t="n"/>
      <c r="K326" s="68" t="n"/>
      <c r="L326" s="68" t="n"/>
      <c r="M326" s="59">
        <f>IF(OR(L326="",K326=""),"",MAX(L326-K326,0))</f>
        <v/>
      </c>
      <c r="N326" s="59">
        <f>IF(M326="","",IF(N(J326)=0,1,J326))</f>
        <v/>
      </c>
    </row>
    <row r="327">
      <c r="A327" s="53" t="n">
        <v>307</v>
      </c>
      <c r="B327" s="67" t="n"/>
      <c r="C327" s="55" t="n"/>
      <c r="D327" s="68" t="n"/>
      <c r="E327" s="68" t="n"/>
      <c r="F327" s="59">
        <f>IF(OR(E327="",D327=""),"",MAX(E327-D327,0))</f>
        <v/>
      </c>
      <c r="G327" s="59">
        <f>IF(F327="","",IF(N(C327)=0,1,C327))</f>
        <v/>
      </c>
      <c r="H327" s="53" t="n">
        <v>307</v>
      </c>
      <c r="I327" s="67" t="n"/>
      <c r="J327" s="55" t="n"/>
      <c r="K327" s="68" t="n"/>
      <c r="L327" s="68" t="n"/>
      <c r="M327" s="59">
        <f>IF(OR(L327="",K327=""),"",MAX(L327-K327,0))</f>
        <v/>
      </c>
      <c r="N327" s="59">
        <f>IF(M327="","",IF(N(J327)=0,1,J327))</f>
        <v/>
      </c>
    </row>
    <row r="328">
      <c r="A328" s="53" t="n">
        <v>308</v>
      </c>
      <c r="B328" s="67" t="n"/>
      <c r="C328" s="55" t="n"/>
      <c r="D328" s="68" t="n"/>
      <c r="E328" s="68" t="n"/>
      <c r="F328" s="59">
        <f>IF(OR(E328="",D328=""),"",MAX(E328-D328,0))</f>
        <v/>
      </c>
      <c r="G328" s="59">
        <f>IF(F328="","",IF(N(C328)=0,1,C328))</f>
        <v/>
      </c>
      <c r="H328" s="53" t="n">
        <v>308</v>
      </c>
      <c r="I328" s="67" t="n"/>
      <c r="J328" s="55" t="n"/>
      <c r="K328" s="68" t="n"/>
      <c r="L328" s="68" t="n"/>
      <c r="M328" s="59">
        <f>IF(OR(L328="",K328=""),"",MAX(L328-K328,0))</f>
        <v/>
      </c>
      <c r="N328" s="59">
        <f>IF(M328="","",IF(N(J328)=0,1,J328))</f>
        <v/>
      </c>
    </row>
    <row r="329">
      <c r="A329" s="53" t="n">
        <v>309</v>
      </c>
      <c r="B329" s="67" t="n"/>
      <c r="C329" s="55" t="n"/>
      <c r="D329" s="68" t="n"/>
      <c r="E329" s="68" t="n"/>
      <c r="F329" s="59">
        <f>IF(OR(E329="",D329=""),"",MAX(E329-D329,0))</f>
        <v/>
      </c>
      <c r="G329" s="59">
        <f>IF(F329="","",IF(N(C329)=0,1,C329))</f>
        <v/>
      </c>
      <c r="H329" s="53" t="n">
        <v>309</v>
      </c>
      <c r="I329" s="67" t="n"/>
      <c r="J329" s="55" t="n"/>
      <c r="K329" s="68" t="n"/>
      <c r="L329" s="68" t="n"/>
      <c r="M329" s="59">
        <f>IF(OR(L329="",K329=""),"",MAX(L329-K329,0))</f>
        <v/>
      </c>
      <c r="N329" s="59">
        <f>IF(M329="","",IF(N(J329)=0,1,J329))</f>
        <v/>
      </c>
    </row>
    <row r="330">
      <c r="A330" s="53" t="n">
        <v>310</v>
      </c>
      <c r="B330" s="67" t="n"/>
      <c r="C330" s="55" t="n"/>
      <c r="D330" s="68" t="n"/>
      <c r="E330" s="68" t="n"/>
      <c r="F330" s="59">
        <f>IF(OR(E330="",D330=""),"",MAX(E330-D330,0))</f>
        <v/>
      </c>
      <c r="G330" s="59">
        <f>IF(F330="","",IF(N(C330)=0,1,C330))</f>
        <v/>
      </c>
      <c r="H330" s="53" t="n">
        <v>310</v>
      </c>
      <c r="I330" s="67" t="n"/>
      <c r="J330" s="55" t="n"/>
      <c r="K330" s="68" t="n"/>
      <c r="L330" s="68" t="n"/>
      <c r="M330" s="59">
        <f>IF(OR(L330="",K330=""),"",MAX(L330-K330,0))</f>
        <v/>
      </c>
      <c r="N330" s="59">
        <f>IF(M330="","",IF(N(J330)=0,1,J330))</f>
        <v/>
      </c>
    </row>
    <row r="331">
      <c r="A331" s="60" t="n"/>
      <c r="B331" s="61" t="inlineStr">
        <is>
          <t>Total</t>
        </is>
      </c>
      <c r="C331" s="65">
        <f>SUM(C21:C330)</f>
        <v/>
      </c>
      <c r="D331" s="60" t="n"/>
      <c r="E331" s="60" t="n"/>
      <c r="F331" s="62">
        <f>IF(N(G331)=0,"",SUMPRODUCT(F21:F330,G21:G330)/G331)</f>
        <v/>
      </c>
      <c r="G331" s="65">
        <f>SUM(G21:G330)</f>
        <v/>
      </c>
      <c r="H331" s="60" t="n"/>
      <c r="I331" s="61" t="inlineStr">
        <is>
          <t>Total</t>
        </is>
      </c>
      <c r="J331" s="65">
        <f>SUM(J21:J330)</f>
        <v/>
      </c>
      <c r="K331" s="60" t="n"/>
      <c r="L331" s="60" t="n"/>
      <c r="M331" s="62">
        <f>IF(N(N331)=0,"",SUMPRODUCT(M21:M330,N21:N330)/N331)</f>
        <v/>
      </c>
      <c r="N331" s="65">
        <f>SUM(N21:N330)</f>
        <v/>
      </c>
    </row>
    <row r="332">
      <c r="B33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3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330" showDropDown="0" showInputMessage="0" showErrorMessage="1" allowBlank="1" error="No. of Posts must be a whole number &gt;= 1." type="whole" operator="greaterThanOrEqual">
      <formula1>1</formula1>
    </dataValidation>
    <dataValidation sqref="K21:L3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33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Katerserv Trinidad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IF(OCT!$L$5="","",OCT!$L$5)</f>
        <v/>
      </c>
      <c r="D4" s="55" t="n"/>
      <c r="E4" s="56">
        <f>IF(OCT!$L$43="","",OCT!$L$43)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IF(OCT!$L$44="","",OCT!$L$44)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IF(NOV!$L$5="","",NOV!$L$5)</f>
        <v/>
      </c>
      <c r="D5" s="55" t="n"/>
      <c r="E5" s="56">
        <f>IF(NOV!$L$43="","",NOV!$L$43)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IF(NOV!$L$44="","",NOV!$L$44)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IF(DEC!$L$5="","",DEC!$L$5)</f>
        <v/>
      </c>
      <c r="D6" s="55" t="n"/>
      <c r="E6" s="56">
        <f>IF(DEC!$L$43="","",DEC!$L$43)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IF(DEC!$L$44="","",DEC!$L$44)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IF(JAN!$L$5="","",JAN!$L$5)</f>
        <v/>
      </c>
      <c r="D7" s="55" t="n"/>
      <c r="E7" s="56">
        <f>IF(JAN!$L$43="","",JAN!$L$43)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IF(JAN!$L$44="","",JAN!$L$44)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IF(FEB!$L$5="","",FEB!$L$5)</f>
        <v/>
      </c>
      <c r="D8" s="55" t="n"/>
      <c r="E8" s="56">
        <f>IF(FEB!$L$43="","",FEB!$L$43)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IF(FEB!$L$44="","",FEB!$L$44)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IF(MAR!$L$5="","",MAR!$L$5)</f>
        <v/>
      </c>
      <c r="D9" s="55" t="n"/>
      <c r="E9" s="56">
        <f>IF(MAR!$L$43="","",MAR!$L$43)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IF(MAR!$L$44="","",MAR!$L$44)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IF(APR!$L$5="","",APR!$L$5)</f>
        <v/>
      </c>
      <c r="D10" s="55" t="n"/>
      <c r="E10" s="56">
        <f>IF(APR!$L$43="","",APR!$L$43)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IF(APR!$L$44="","",APR!$L$44)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IF(MAY!$L$5="","",MAY!$L$5)</f>
        <v/>
      </c>
      <c r="D11" s="55" t="n"/>
      <c r="E11" s="56">
        <f>IF(MAY!$L$43="","",MAY!$L$43)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IF(MAY!$L$44="","",MAY!$L$44)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IF(JUN!$L$5="","",JUN!$L$5)</f>
        <v/>
      </c>
      <c r="D12" s="55" t="n"/>
      <c r="E12" s="56">
        <f>IF(JUN!$L$43="","",JUN!$L$43)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IF(JUN!$L$44="","",JUN!$L$44)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IF(JUL!$L$5="","",JUL!$L$5)</f>
        <v/>
      </c>
      <c r="D13" s="55" t="n"/>
      <c r="E13" s="56">
        <f>IF(JUL!$L$43="","",JUL!$L$43)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IF(JUL!$L$44="","",JUL!$L$44)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IF(AUG!$L$5="","",AUG!$L$5)</f>
        <v/>
      </c>
      <c r="D14" s="55" t="n"/>
      <c r="E14" s="56">
        <f>IF(AUG!$L$43="","",AUG!$L$43)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IF(AUG!$L$44="","",AUG!$L$44)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IF(SEP!$L$5="","",SEP!$L$5)</f>
        <v/>
      </c>
      <c r="D15" s="55" t="n"/>
      <c r="E15" s="56">
        <f>IF(SEP!$L$43="","",SEP!$L$43)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IF(SEP!$L$44="","",SEP!$L$44)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2026-09-26T17:34:02Z</dcterms:created>
  <dcterms:modified xsi:type="dcterms:W3CDTF">2026-09-26T17:34:11Z</dcterms:modified>
</cp:coreProperties>
</file>