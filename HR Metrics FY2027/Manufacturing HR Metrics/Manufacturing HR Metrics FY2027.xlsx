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GEL_Holding)" sheetId="14" state="visible" r:id="rId14"/>
    <sheet name="(Dom_CLC)" sheetId="15" state="visible" r:id="rId15"/>
    <sheet name="(Car_Label)" sheetId="16" state="visible" r:id="rId16"/>
    <sheet name="(Ecuakao)" sheetId="17" state="visible" r:id="rId17"/>
    <sheet name="(Hipac)" sheetId="18" state="visible" r:id="rId18"/>
    <sheet name="(Jam_Label)" sheetId="19" state="visible" r:id="rId19"/>
    <sheet name="(Mc_Bride)" sheetId="20" state="visible" r:id="rId20"/>
    <sheet name="(Precision)" sheetId="21" state="visible" r:id="rId21"/>
    <sheet name="(Purity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N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MANUFACTURING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OCT!L3</f>
        <v/>
      </c>
      <c r="D3" s="11">
        <f>NOV!L3</f>
        <v/>
      </c>
      <c r="E3" s="11">
        <f>DEC!L3</f>
        <v/>
      </c>
      <c r="F3" s="12">
        <f>IFERROR(AVERAGE(C3:E3),"")</f>
        <v/>
      </c>
      <c r="G3" s="11">
        <f>JAN!L3</f>
        <v/>
      </c>
      <c r="H3" s="11">
        <f>FEB!L3</f>
        <v/>
      </c>
      <c r="I3" s="11">
        <f>MAR!L3</f>
        <v/>
      </c>
      <c r="J3" s="12">
        <f>IFERROR(AVERAGE(G3:I3),"")</f>
        <v/>
      </c>
      <c r="K3" s="11">
        <f>APR!L3</f>
        <v/>
      </c>
      <c r="L3" s="11">
        <f>MAY!L3</f>
        <v/>
      </c>
      <c r="M3" s="11">
        <f>JUN!L3</f>
        <v/>
      </c>
      <c r="N3" s="12">
        <f>IFERROR(AVERAGE(K3:M3),"")</f>
        <v/>
      </c>
      <c r="O3" s="11">
        <f>JUL!L3</f>
        <v/>
      </c>
      <c r="P3" s="11">
        <f>AUG!L3</f>
        <v/>
      </c>
      <c r="Q3" s="11">
        <f>SEP!L3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OCT!L4</f>
        <v/>
      </c>
      <c r="D4" s="11">
        <f>NOV!L4</f>
        <v/>
      </c>
      <c r="E4" s="11">
        <f>DEC!L4</f>
        <v/>
      </c>
      <c r="F4" s="12">
        <f>IFERROR(AVERAGE(C4:E4),"")</f>
        <v/>
      </c>
      <c r="G4" s="11">
        <f>JAN!L4</f>
        <v/>
      </c>
      <c r="H4" s="11">
        <f>FEB!L4</f>
        <v/>
      </c>
      <c r="I4" s="11">
        <f>MAR!L4</f>
        <v/>
      </c>
      <c r="J4" s="12">
        <f>IFERROR(AVERAGE(G4:I4),"")</f>
        <v/>
      </c>
      <c r="K4" s="11">
        <f>APR!L4</f>
        <v/>
      </c>
      <c r="L4" s="11">
        <f>MAY!L4</f>
        <v/>
      </c>
      <c r="M4" s="11">
        <f>JUN!L4</f>
        <v/>
      </c>
      <c r="N4" s="12">
        <f>IFERROR(AVERAGE(K4:M4),"")</f>
        <v/>
      </c>
      <c r="O4" s="11">
        <f>JUL!L4</f>
        <v/>
      </c>
      <c r="P4" s="11">
        <f>AUG!L4</f>
        <v/>
      </c>
      <c r="Q4" s="11">
        <f>SEP!L4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OCT!L5</f>
        <v/>
      </c>
      <c r="D5" s="11">
        <f>NOV!L5</f>
        <v/>
      </c>
      <c r="E5" s="11">
        <f>DEC!L5</f>
        <v/>
      </c>
      <c r="F5" s="12">
        <f>IF(COUNT(F3:F4)=0,"",SUM(F3:F4))</f>
        <v/>
      </c>
      <c r="G5" s="11">
        <f>JAN!L5</f>
        <v/>
      </c>
      <c r="H5" s="11">
        <f>FEB!L5</f>
        <v/>
      </c>
      <c r="I5" s="11">
        <f>MAR!L5</f>
        <v/>
      </c>
      <c r="J5" s="12">
        <f>IF(COUNT(J3:J4)=0,"",SUM(J3:J4))</f>
        <v/>
      </c>
      <c r="K5" s="11">
        <f>APR!L5</f>
        <v/>
      </c>
      <c r="L5" s="11">
        <f>MAY!L5</f>
        <v/>
      </c>
      <c r="M5" s="11">
        <f>JUN!L5</f>
        <v/>
      </c>
      <c r="N5" s="12">
        <f>IF(COUNT(N3:N4)=0,"",SUM(N3:N4))</f>
        <v/>
      </c>
      <c r="O5" s="11">
        <f>JUL!L5</f>
        <v/>
      </c>
      <c r="P5" s="11">
        <f>AUG!L5</f>
        <v/>
      </c>
      <c r="Q5" s="11">
        <f>SEP!L5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OCT!L6</f>
        <v/>
      </c>
      <c r="D6" s="11">
        <f>NOV!L6</f>
        <v/>
      </c>
      <c r="E6" s="11">
        <f>DEC!L6</f>
        <v/>
      </c>
      <c r="F6" s="12">
        <f>IFERROR(AVERAGE(C6:E6),"")</f>
        <v/>
      </c>
      <c r="G6" s="11">
        <f>JAN!L6</f>
        <v/>
      </c>
      <c r="H6" s="11">
        <f>FEB!L6</f>
        <v/>
      </c>
      <c r="I6" s="11">
        <f>MAR!L6</f>
        <v/>
      </c>
      <c r="J6" s="12">
        <f>IFERROR(AVERAGE(G6:I6),"")</f>
        <v/>
      </c>
      <c r="K6" s="11">
        <f>APR!L6</f>
        <v/>
      </c>
      <c r="L6" s="11">
        <f>MAY!L6</f>
        <v/>
      </c>
      <c r="M6" s="11">
        <f>JUN!L6</f>
        <v/>
      </c>
      <c r="N6" s="12">
        <f>IFERROR(AVERAGE(K6:M6),"")</f>
        <v/>
      </c>
      <c r="O6" s="11">
        <f>JUL!L6</f>
        <v/>
      </c>
      <c r="P6" s="11">
        <f>AUG!L6</f>
        <v/>
      </c>
      <c r="Q6" s="11">
        <f>SEP!L6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OCT!L7</f>
        <v/>
      </c>
      <c r="D7" s="11">
        <f>NOV!L7</f>
        <v/>
      </c>
      <c r="E7" s="11">
        <f>DEC!L7</f>
        <v/>
      </c>
      <c r="F7" s="12">
        <f>IFERROR(AVERAGE(C7:E7),"")</f>
        <v/>
      </c>
      <c r="G7" s="11">
        <f>JAN!L7</f>
        <v/>
      </c>
      <c r="H7" s="11">
        <f>FEB!L7</f>
        <v/>
      </c>
      <c r="I7" s="11">
        <f>MAR!L7</f>
        <v/>
      </c>
      <c r="J7" s="12">
        <f>IFERROR(AVERAGE(G7:I7),"")</f>
        <v/>
      </c>
      <c r="K7" s="11">
        <f>APR!L7</f>
        <v/>
      </c>
      <c r="L7" s="11">
        <f>MAY!L7</f>
        <v/>
      </c>
      <c r="M7" s="11">
        <f>JUN!L7</f>
        <v/>
      </c>
      <c r="N7" s="12">
        <f>IFERROR(AVERAGE(K7:M7),"")</f>
        <v/>
      </c>
      <c r="O7" s="11">
        <f>JUL!L7</f>
        <v/>
      </c>
      <c r="P7" s="11">
        <f>AUG!L7</f>
        <v/>
      </c>
      <c r="Q7" s="11">
        <f>SEP!L7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OCT!L8</f>
        <v/>
      </c>
      <c r="D8" s="11">
        <f>NOV!L8</f>
        <v/>
      </c>
      <c r="E8" s="11">
        <f>DEC!L8</f>
        <v/>
      </c>
      <c r="F8" s="12">
        <f>IFERROR(AVERAGE(C8:E8),"")</f>
        <v/>
      </c>
      <c r="G8" s="11">
        <f>JAN!L8</f>
        <v/>
      </c>
      <c r="H8" s="11">
        <f>FEB!L8</f>
        <v/>
      </c>
      <c r="I8" s="11">
        <f>MAR!L8</f>
        <v/>
      </c>
      <c r="J8" s="12">
        <f>IFERROR(AVERAGE(G8:I8),"")</f>
        <v/>
      </c>
      <c r="K8" s="11">
        <f>APR!L8</f>
        <v/>
      </c>
      <c r="L8" s="11">
        <f>MAY!L8</f>
        <v/>
      </c>
      <c r="M8" s="11">
        <f>JUN!L8</f>
        <v/>
      </c>
      <c r="N8" s="12">
        <f>IFERROR(AVERAGE(K8:M8),"")</f>
        <v/>
      </c>
      <c r="O8" s="11">
        <f>JUL!L8</f>
        <v/>
      </c>
      <c r="P8" s="11">
        <f>AUG!L8</f>
        <v/>
      </c>
      <c r="Q8" s="11">
        <f>SEP!L8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OCT!L9</f>
        <v/>
      </c>
      <c r="D9" s="11">
        <f>NOV!L9</f>
        <v/>
      </c>
      <c r="E9" s="11">
        <f>DEC!L9</f>
        <v/>
      </c>
      <c r="F9" s="12">
        <f>IFERROR(AVERAGE(C9:E9),"")</f>
        <v/>
      </c>
      <c r="G9" s="11">
        <f>JAN!L9</f>
        <v/>
      </c>
      <c r="H9" s="11">
        <f>FEB!L9</f>
        <v/>
      </c>
      <c r="I9" s="11">
        <f>MAR!L9</f>
        <v/>
      </c>
      <c r="J9" s="12">
        <f>IFERROR(AVERAGE(G9:I9),"")</f>
        <v/>
      </c>
      <c r="K9" s="11">
        <f>APR!L9</f>
        <v/>
      </c>
      <c r="L9" s="11">
        <f>MAY!L9</f>
        <v/>
      </c>
      <c r="M9" s="11">
        <f>JUN!L9</f>
        <v/>
      </c>
      <c r="N9" s="12">
        <f>IFERROR(AVERAGE(K9:M9),"")</f>
        <v/>
      </c>
      <c r="O9" s="11">
        <f>JUL!L9</f>
        <v/>
      </c>
      <c r="P9" s="11">
        <f>AUG!L9</f>
        <v/>
      </c>
      <c r="Q9" s="11">
        <f>SEP!L9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OCT!L10</f>
        <v/>
      </c>
      <c r="D10" s="14">
        <f>NOV!L10</f>
        <v/>
      </c>
      <c r="E10" s="14">
        <f>DEC!L10</f>
        <v/>
      </c>
      <c r="F10" s="15">
        <f>IFERROR(AVERAGE(C10:E10),"")</f>
        <v/>
      </c>
      <c r="G10" s="14">
        <f>JAN!L10</f>
        <v/>
      </c>
      <c r="H10" s="14">
        <f>FEB!L10</f>
        <v/>
      </c>
      <c r="I10" s="14">
        <f>MAR!L10</f>
        <v/>
      </c>
      <c r="J10" s="15">
        <f>IFERROR(AVERAGE(G10:I10),"")</f>
        <v/>
      </c>
      <c r="K10" s="14">
        <f>APR!L10</f>
        <v/>
      </c>
      <c r="L10" s="14">
        <f>MAY!L10</f>
        <v/>
      </c>
      <c r="M10" s="14">
        <f>JUN!L10</f>
        <v/>
      </c>
      <c r="N10" s="15">
        <f>IFERROR(AVERAGE(K10:M10),"")</f>
        <v/>
      </c>
      <c r="O10" s="14">
        <f>JUL!L10</f>
        <v/>
      </c>
      <c r="P10" s="14">
        <f>AUG!L10</f>
        <v/>
      </c>
      <c r="Q10" s="14">
        <f>SEP!L10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OCT!L11</f>
        <v/>
      </c>
      <c r="D11" s="16">
        <f>NOV!L11</f>
        <v/>
      </c>
      <c r="E11" s="16">
        <f>DEC!L11</f>
        <v/>
      </c>
      <c r="F11" s="17">
        <f>IF(COUNT(F6:F9)=0,"",N(F6)+N(F7)*0.75+N(F8)*0.5+N(F9)*0.25)</f>
        <v/>
      </c>
      <c r="G11" s="16">
        <f>JAN!L11</f>
        <v/>
      </c>
      <c r="H11" s="16">
        <f>FEB!L11</f>
        <v/>
      </c>
      <c r="I11" s="16">
        <f>MAR!L11</f>
        <v/>
      </c>
      <c r="J11" s="17">
        <f>IF(COUNT(J6:J9)=0,"",N(J6)+N(J7)*0.75+N(J8)*0.5+N(J9)*0.25)</f>
        <v/>
      </c>
      <c r="K11" s="16">
        <f>APR!L11</f>
        <v/>
      </c>
      <c r="L11" s="16">
        <f>MAY!L11</f>
        <v/>
      </c>
      <c r="M11" s="16">
        <f>JUN!L11</f>
        <v/>
      </c>
      <c r="N11" s="17">
        <f>IF(COUNT(N6:N9)=0,"",N(N6)+N(N7)*0.75+N(N8)*0.5+N(N9)*0.25)</f>
        <v/>
      </c>
      <c r="O11" s="16">
        <f>JUL!L11</f>
        <v/>
      </c>
      <c r="P11" s="16">
        <f>AUG!L11</f>
        <v/>
      </c>
      <c r="Q11" s="16">
        <f>SEP!L11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OCT!L12</f>
        <v/>
      </c>
      <c r="D12" s="11">
        <f>NOV!L12</f>
        <v/>
      </c>
      <c r="E12" s="11">
        <f>DEC!L12</f>
        <v/>
      </c>
      <c r="F12" s="12">
        <f>IFERROR(AVERAGE(C12:E12),"")</f>
        <v/>
      </c>
      <c r="G12" s="11">
        <f>JAN!L12</f>
        <v/>
      </c>
      <c r="H12" s="11">
        <f>FEB!L12</f>
        <v/>
      </c>
      <c r="I12" s="11">
        <f>MAR!L12</f>
        <v/>
      </c>
      <c r="J12" s="12">
        <f>IFERROR(AVERAGE(G12:I12),"")</f>
        <v/>
      </c>
      <c r="K12" s="11">
        <f>APR!L12</f>
        <v/>
      </c>
      <c r="L12" s="11">
        <f>MAY!L12</f>
        <v/>
      </c>
      <c r="M12" s="11">
        <f>JUN!L12</f>
        <v/>
      </c>
      <c r="N12" s="12">
        <f>IFERROR(AVERAGE(K12:M12),"")</f>
        <v/>
      </c>
      <c r="O12" s="11">
        <f>JUL!L12</f>
        <v/>
      </c>
      <c r="P12" s="11">
        <f>AUG!L12</f>
        <v/>
      </c>
      <c r="Q12" s="11">
        <f>SEP!L12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OCT!L13</f>
        <v/>
      </c>
      <c r="D13" s="14">
        <f>NOV!L13</f>
        <v/>
      </c>
      <c r="E13" s="14">
        <f>DEC!L13</f>
        <v/>
      </c>
      <c r="F13" s="15">
        <f>IFERROR(AVERAGE(C13:E13),"")</f>
        <v/>
      </c>
      <c r="G13" s="14">
        <f>JAN!L13</f>
        <v/>
      </c>
      <c r="H13" s="14">
        <f>FEB!L13</f>
        <v/>
      </c>
      <c r="I13" s="14">
        <f>MAR!L13</f>
        <v/>
      </c>
      <c r="J13" s="15">
        <f>IFERROR(AVERAGE(G13:I13),"")</f>
        <v/>
      </c>
      <c r="K13" s="14">
        <f>APR!L13</f>
        <v/>
      </c>
      <c r="L13" s="14">
        <f>MAY!L13</f>
        <v/>
      </c>
      <c r="M13" s="14">
        <f>JUN!L13</f>
        <v/>
      </c>
      <c r="N13" s="15">
        <f>IFERROR(AVERAGE(K13:M13),"")</f>
        <v/>
      </c>
      <c r="O13" s="14">
        <f>JUL!L13</f>
        <v/>
      </c>
      <c r="P13" s="14">
        <f>AUG!L13</f>
        <v/>
      </c>
      <c r="Q13" s="14">
        <f>SEP!L13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OCT!L14</f>
        <v/>
      </c>
      <c r="D14" s="16">
        <f>NOV!L14</f>
        <v/>
      </c>
      <c r="E14" s="16">
        <f>DEC!L14</f>
        <v/>
      </c>
      <c r="F14" s="17">
        <f>IFERROR(F13/F10,"")</f>
        <v/>
      </c>
      <c r="G14" s="16">
        <f>JAN!L14</f>
        <v/>
      </c>
      <c r="H14" s="16">
        <f>FEB!L14</f>
        <v/>
      </c>
      <c r="I14" s="16">
        <f>MAR!L14</f>
        <v/>
      </c>
      <c r="J14" s="17">
        <f>IFERROR(J13/J10,"")</f>
        <v/>
      </c>
      <c r="K14" s="16">
        <f>APR!L14</f>
        <v/>
      </c>
      <c r="L14" s="16">
        <f>MAY!L14</f>
        <v/>
      </c>
      <c r="M14" s="16">
        <f>JUN!L14</f>
        <v/>
      </c>
      <c r="N14" s="17">
        <f>IFERROR(N13/N10,"")</f>
        <v/>
      </c>
      <c r="O14" s="16">
        <f>JUL!L14</f>
        <v/>
      </c>
      <c r="P14" s="16">
        <f>AUG!L14</f>
        <v/>
      </c>
      <c r="Q14" s="16">
        <f>SEP!L14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OCT!L15</f>
        <v/>
      </c>
      <c r="D15" s="11">
        <f>NOV!L15</f>
        <v/>
      </c>
      <c r="E15" s="11">
        <f>DEC!L15</f>
        <v/>
      </c>
      <c r="F15" s="12">
        <f>IF(COUNT(F5,F12)=0,"",SUM(F5,F12))</f>
        <v/>
      </c>
      <c r="G15" s="11">
        <f>JAN!L15</f>
        <v/>
      </c>
      <c r="H15" s="11">
        <f>FEB!L15</f>
        <v/>
      </c>
      <c r="I15" s="11">
        <f>MAR!L15</f>
        <v/>
      </c>
      <c r="J15" s="12">
        <f>IF(COUNT(J5,J12)=0,"",SUM(J5,J12))</f>
        <v/>
      </c>
      <c r="K15" s="11">
        <f>APR!L15</f>
        <v/>
      </c>
      <c r="L15" s="11">
        <f>MAY!L15</f>
        <v/>
      </c>
      <c r="M15" s="11">
        <f>JUN!L15</f>
        <v/>
      </c>
      <c r="N15" s="12">
        <f>IF(COUNT(N5,N12)=0,"",SUM(N5,N12))</f>
        <v/>
      </c>
      <c r="O15" s="11">
        <f>JUL!L15</f>
        <v/>
      </c>
      <c r="P15" s="11">
        <f>AUG!L15</f>
        <v/>
      </c>
      <c r="Q15" s="11">
        <f>SEP!L15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OCT!L16</f>
        <v/>
      </c>
      <c r="D16" s="16">
        <f>NOV!L16</f>
        <v/>
      </c>
      <c r="E16" s="16">
        <f>DEC!L16</f>
        <v/>
      </c>
      <c r="F16" s="17">
        <f>IF(COUNT(F11,F14)=0,"",SUM(F11,F14))</f>
        <v/>
      </c>
      <c r="G16" s="16">
        <f>JAN!L16</f>
        <v/>
      </c>
      <c r="H16" s="16">
        <f>FEB!L16</f>
        <v/>
      </c>
      <c r="I16" s="16">
        <f>MAR!L16</f>
        <v/>
      </c>
      <c r="J16" s="17">
        <f>IF(COUNT(J11,J14)=0,"",SUM(J11,J14))</f>
        <v/>
      </c>
      <c r="K16" s="16">
        <f>APR!L16</f>
        <v/>
      </c>
      <c r="L16" s="16">
        <f>MAY!L16</f>
        <v/>
      </c>
      <c r="M16" s="16">
        <f>JUN!L16</f>
        <v/>
      </c>
      <c r="N16" s="17">
        <f>IF(COUNT(N11,N14)=0,"",SUM(N11,N14))</f>
        <v/>
      </c>
      <c r="O16" s="16">
        <f>JUL!L16</f>
        <v/>
      </c>
      <c r="P16" s="16">
        <f>AUG!L16</f>
        <v/>
      </c>
      <c r="Q16" s="16">
        <f>SEP!L16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OCT!L17</f>
        <v/>
      </c>
      <c r="D17" s="19">
        <f>NOV!L17</f>
        <v/>
      </c>
      <c r="E17" s="19">
        <f>DEC!L17</f>
        <v/>
      </c>
      <c r="F17" s="20">
        <f>IFERROR(F12/F15,"")</f>
        <v/>
      </c>
      <c r="G17" s="19">
        <f>JAN!L17</f>
        <v/>
      </c>
      <c r="H17" s="19">
        <f>FEB!L17</f>
        <v/>
      </c>
      <c r="I17" s="19">
        <f>MAR!L17</f>
        <v/>
      </c>
      <c r="J17" s="20">
        <f>IFERROR(J12/J15,"")</f>
        <v/>
      </c>
      <c r="K17" s="19">
        <f>APR!L17</f>
        <v/>
      </c>
      <c r="L17" s="19">
        <f>MAY!L17</f>
        <v/>
      </c>
      <c r="M17" s="19">
        <f>JUN!L17</f>
        <v/>
      </c>
      <c r="N17" s="20">
        <f>IFERROR(N12/N15,"")</f>
        <v/>
      </c>
      <c r="O17" s="19">
        <f>JUL!L17</f>
        <v/>
      </c>
      <c r="P17" s="19">
        <f>AUG!L17</f>
        <v/>
      </c>
      <c r="Q17" s="19">
        <f>SEP!L17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OCT!L18</f>
        <v/>
      </c>
      <c r="D18" s="11">
        <f>NOV!L18</f>
        <v/>
      </c>
      <c r="E18" s="11">
        <f>DEC!L18</f>
        <v/>
      </c>
      <c r="F18" s="12">
        <f>IFERROR(AVERAGE(C18:E18),"")</f>
        <v/>
      </c>
      <c r="G18" s="11">
        <f>JAN!L18</f>
        <v/>
      </c>
      <c r="H18" s="11">
        <f>FEB!L18</f>
        <v/>
      </c>
      <c r="I18" s="11">
        <f>MAR!L18</f>
        <v/>
      </c>
      <c r="J18" s="12">
        <f>IFERROR(AVERAGE(G18:I18),"")</f>
        <v/>
      </c>
      <c r="K18" s="11">
        <f>APR!L18</f>
        <v/>
      </c>
      <c r="L18" s="11">
        <f>MAY!L18</f>
        <v/>
      </c>
      <c r="M18" s="11">
        <f>JUN!L18</f>
        <v/>
      </c>
      <c r="N18" s="12">
        <f>IFERROR(AVERAGE(K18:M18),"")</f>
        <v/>
      </c>
      <c r="O18" s="11">
        <f>JUL!L18</f>
        <v/>
      </c>
      <c r="P18" s="11">
        <f>AUG!L18</f>
        <v/>
      </c>
      <c r="Q18" s="11">
        <f>SEP!L18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OCT!L19</f>
        <v/>
      </c>
      <c r="D19" s="11">
        <f>NOV!L19</f>
        <v/>
      </c>
      <c r="E19" s="11">
        <f>DEC!L19</f>
        <v/>
      </c>
      <c r="F19" s="12">
        <f>IF(COUNT(C19:E19)=0,"",SUM(C19:E19))</f>
        <v/>
      </c>
      <c r="G19" s="11">
        <f>JAN!L19</f>
        <v/>
      </c>
      <c r="H19" s="11">
        <f>FEB!L19</f>
        <v/>
      </c>
      <c r="I19" s="11">
        <f>MAR!L19</f>
        <v/>
      </c>
      <c r="J19" s="12">
        <f>IF(COUNT(G19:I19)=0,"",SUM(G19:I19))</f>
        <v/>
      </c>
      <c r="K19" s="11">
        <f>APR!L19</f>
        <v/>
      </c>
      <c r="L19" s="11">
        <f>MAY!L19</f>
        <v/>
      </c>
      <c r="M19" s="11">
        <f>JUN!L19</f>
        <v/>
      </c>
      <c r="N19" s="12">
        <f>IF(COUNT(K19:M19)=0,"",SUM(K19:M19))</f>
        <v/>
      </c>
      <c r="O19" s="11">
        <f>JUL!L19</f>
        <v/>
      </c>
      <c r="P19" s="11">
        <f>AUG!L19</f>
        <v/>
      </c>
      <c r="Q19" s="11">
        <f>SEP!L19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OCT!L20</f>
        <v/>
      </c>
      <c r="D20" s="11">
        <f>NOV!L20</f>
        <v/>
      </c>
      <c r="E20" s="11">
        <f>DEC!L20</f>
        <v/>
      </c>
      <c r="F20" s="12">
        <f>IF(COUNT(C20:E20)=0,"",SUM(C20:E20))</f>
        <v/>
      </c>
      <c r="G20" s="11">
        <f>JAN!L20</f>
        <v/>
      </c>
      <c r="H20" s="11">
        <f>FEB!L20</f>
        <v/>
      </c>
      <c r="I20" s="11">
        <f>MAR!L20</f>
        <v/>
      </c>
      <c r="J20" s="12">
        <f>IF(COUNT(G20:I20)=0,"",SUM(G20:I20))</f>
        <v/>
      </c>
      <c r="K20" s="11">
        <f>APR!L20</f>
        <v/>
      </c>
      <c r="L20" s="11">
        <f>MAY!L20</f>
        <v/>
      </c>
      <c r="M20" s="11">
        <f>JUN!L20</f>
        <v/>
      </c>
      <c r="N20" s="12">
        <f>IF(COUNT(K20:M20)=0,"",SUM(K20:M20))</f>
        <v/>
      </c>
      <c r="O20" s="11">
        <f>JUL!L20</f>
        <v/>
      </c>
      <c r="P20" s="11">
        <f>AUG!L20</f>
        <v/>
      </c>
      <c r="Q20" s="11">
        <f>SEP!L20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OCT!L21</f>
        <v/>
      </c>
      <c r="D21" s="11">
        <f>NOV!L21</f>
        <v/>
      </c>
      <c r="E21" s="11">
        <f>DEC!L21</f>
        <v/>
      </c>
      <c r="F21" s="12">
        <f>IF(COUNT(F19:F20)=0,"",SUM(F19:F20))</f>
        <v/>
      </c>
      <c r="G21" s="11">
        <f>JAN!L21</f>
        <v/>
      </c>
      <c r="H21" s="11">
        <f>FEB!L21</f>
        <v/>
      </c>
      <c r="I21" s="11">
        <f>MAR!L21</f>
        <v/>
      </c>
      <c r="J21" s="12">
        <f>IF(COUNT(J19:J20)=0,"",SUM(J19:J20))</f>
        <v/>
      </c>
      <c r="K21" s="11">
        <f>APR!L21</f>
        <v/>
      </c>
      <c r="L21" s="11">
        <f>MAY!L21</f>
        <v/>
      </c>
      <c r="M21" s="11">
        <f>JUN!L21</f>
        <v/>
      </c>
      <c r="N21" s="12">
        <f>IF(COUNT(N19:N20)=0,"",SUM(N19:N20))</f>
        <v/>
      </c>
      <c r="O21" s="11">
        <f>JUL!L21</f>
        <v/>
      </c>
      <c r="P21" s="11">
        <f>AUG!L21</f>
        <v/>
      </c>
      <c r="Q21" s="11">
        <f>SEP!L21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OCT!L22</f>
        <v/>
      </c>
      <c r="D22" s="11">
        <f>NOV!L22</f>
        <v/>
      </c>
      <c r="E22" s="11">
        <f>DEC!L22</f>
        <v/>
      </c>
      <c r="F22" s="12">
        <f>IF(COUNT(C22:E22)=0,"",SUM(C22:E22))</f>
        <v/>
      </c>
      <c r="G22" s="11">
        <f>JAN!L22</f>
        <v/>
      </c>
      <c r="H22" s="11">
        <f>FEB!L22</f>
        <v/>
      </c>
      <c r="I22" s="11">
        <f>MAR!L22</f>
        <v/>
      </c>
      <c r="J22" s="12">
        <f>IF(COUNT(G22:I22)=0,"",SUM(G22:I22))</f>
        <v/>
      </c>
      <c r="K22" s="11">
        <f>APR!L22</f>
        <v/>
      </c>
      <c r="L22" s="11">
        <f>MAY!L22</f>
        <v/>
      </c>
      <c r="M22" s="11">
        <f>JUN!L22</f>
        <v/>
      </c>
      <c r="N22" s="12">
        <f>IF(COUNT(K22:M22)=0,"",SUM(K22:M22))</f>
        <v/>
      </c>
      <c r="O22" s="11">
        <f>JUL!L22</f>
        <v/>
      </c>
      <c r="P22" s="11">
        <f>AUG!L22</f>
        <v/>
      </c>
      <c r="Q22" s="11">
        <f>SEP!L22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OCT!L23</f>
        <v/>
      </c>
      <c r="D23" s="11">
        <f>NOV!L23</f>
        <v/>
      </c>
      <c r="E23" s="11">
        <f>DEC!L23</f>
        <v/>
      </c>
      <c r="F23" s="12">
        <f>IF(COUNT(C23:E23)=0,"",SUM(C23:E23))</f>
        <v/>
      </c>
      <c r="G23" s="11">
        <f>JAN!L23</f>
        <v/>
      </c>
      <c r="H23" s="11">
        <f>FEB!L23</f>
        <v/>
      </c>
      <c r="I23" s="11">
        <f>MAR!L23</f>
        <v/>
      </c>
      <c r="J23" s="12">
        <f>IF(COUNT(G23:I23)=0,"",SUM(G23:I23))</f>
        <v/>
      </c>
      <c r="K23" s="11">
        <f>APR!L23</f>
        <v/>
      </c>
      <c r="L23" s="11">
        <f>MAY!L23</f>
        <v/>
      </c>
      <c r="M23" s="11">
        <f>JUN!L23</f>
        <v/>
      </c>
      <c r="N23" s="12">
        <f>IF(COUNT(K23:M23)=0,"",SUM(K23:M23))</f>
        <v/>
      </c>
      <c r="O23" s="11">
        <f>JUL!L23</f>
        <v/>
      </c>
      <c r="P23" s="11">
        <f>AUG!L23</f>
        <v/>
      </c>
      <c r="Q23" s="11">
        <f>SEP!L23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OCT!L24</f>
        <v/>
      </c>
      <c r="D24" s="11">
        <f>NOV!L24</f>
        <v/>
      </c>
      <c r="E24" s="11">
        <f>DEC!L24</f>
        <v/>
      </c>
      <c r="F24" s="12">
        <f>IF(COUNT(F22:F23)=0,"",SUM(F22:F23))</f>
        <v/>
      </c>
      <c r="G24" s="11">
        <f>JAN!L24</f>
        <v/>
      </c>
      <c r="H24" s="11">
        <f>FEB!L24</f>
        <v/>
      </c>
      <c r="I24" s="11">
        <f>MAR!L24</f>
        <v/>
      </c>
      <c r="J24" s="12">
        <f>IF(COUNT(J22:J23)=0,"",SUM(J22:J23))</f>
        <v/>
      </c>
      <c r="K24" s="11">
        <f>APR!L24</f>
        <v/>
      </c>
      <c r="L24" s="11">
        <f>MAY!L24</f>
        <v/>
      </c>
      <c r="M24" s="11">
        <f>JUN!L24</f>
        <v/>
      </c>
      <c r="N24" s="12">
        <f>IF(COUNT(N22:N23)=0,"",SUM(N22:N23))</f>
        <v/>
      </c>
      <c r="O24" s="11">
        <f>JUL!L24</f>
        <v/>
      </c>
      <c r="P24" s="11">
        <f>AUG!L24</f>
        <v/>
      </c>
      <c r="Q24" s="11">
        <f>SEP!L24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OCT!L25</f>
        <v/>
      </c>
      <c r="D25" s="19">
        <f>NOV!L25</f>
        <v/>
      </c>
      <c r="E25" s="19">
        <f>DEC!L25</f>
        <v/>
      </c>
      <c r="F25" s="20">
        <f>IF(COUNT(F31,F32)&lt;2,"",IF((F32+F31)=0,"",N(F22)/((F32+F31)/2)))</f>
        <v/>
      </c>
      <c r="G25" s="19">
        <f>JAN!L25</f>
        <v/>
      </c>
      <c r="H25" s="19">
        <f>FEB!L25</f>
        <v/>
      </c>
      <c r="I25" s="19">
        <f>MAR!L25</f>
        <v/>
      </c>
      <c r="J25" s="20">
        <f>IF(COUNT(J31,J32)&lt;2,"",IF((J32+J31)=0,"",N(J22)/((J32+J31)/2)))</f>
        <v/>
      </c>
      <c r="K25" s="19">
        <f>APR!L25</f>
        <v/>
      </c>
      <c r="L25" s="19">
        <f>MAY!L25</f>
        <v/>
      </c>
      <c r="M25" s="19">
        <f>JUN!L25</f>
        <v/>
      </c>
      <c r="N25" s="20">
        <f>IF(COUNT(N31,N32)&lt;2,"",IF((N32+N31)=0,"",N(N22)/((N32+N31)/2)))</f>
        <v/>
      </c>
      <c r="O25" s="19">
        <f>JUL!L25</f>
        <v/>
      </c>
      <c r="P25" s="19">
        <f>AUG!L25</f>
        <v/>
      </c>
      <c r="Q25" s="19">
        <f>SEP!L25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OCT!L26</f>
        <v/>
      </c>
      <c r="D26" s="19">
        <f>NOV!L26</f>
        <v/>
      </c>
      <c r="E26" s="19">
        <f>DEC!L26</f>
        <v/>
      </c>
      <c r="F26" s="20">
        <f>IF(COUNT(F31,F32)&lt;2,"",IF((F32+F31)=0,"",N(F23)/((F32+F31)/2)))</f>
        <v/>
      </c>
      <c r="G26" s="19">
        <f>JAN!L26</f>
        <v/>
      </c>
      <c r="H26" s="19">
        <f>FEB!L26</f>
        <v/>
      </c>
      <c r="I26" s="19">
        <f>MAR!L26</f>
        <v/>
      </c>
      <c r="J26" s="20">
        <f>IF(COUNT(J31,J32)&lt;2,"",IF((J32+J31)=0,"",N(J23)/((J32+J31)/2)))</f>
        <v/>
      </c>
      <c r="K26" s="19">
        <f>APR!L26</f>
        <v/>
      </c>
      <c r="L26" s="19">
        <f>MAY!L26</f>
        <v/>
      </c>
      <c r="M26" s="19">
        <f>JUN!L26</f>
        <v/>
      </c>
      <c r="N26" s="20">
        <f>IF(COUNT(N31,N32)&lt;2,"",IF((N32+N31)=0,"",N(N23)/((N32+N31)/2)))</f>
        <v/>
      </c>
      <c r="O26" s="19">
        <f>JUL!L26</f>
        <v/>
      </c>
      <c r="P26" s="19">
        <f>AUG!L26</f>
        <v/>
      </c>
      <c r="Q26" s="19">
        <f>SEP!L26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OCT!L27</f>
        <v/>
      </c>
      <c r="D27" s="11">
        <f>NOV!L27</f>
        <v/>
      </c>
      <c r="E27" s="11">
        <f>DEC!L27</f>
        <v/>
      </c>
      <c r="F27" s="12">
        <f>IF(COUNT(C27:E27)=0,"",SUM(C27:E27))</f>
        <v/>
      </c>
      <c r="G27" s="11">
        <f>JAN!L27</f>
        <v/>
      </c>
      <c r="H27" s="11">
        <f>FEB!L27</f>
        <v/>
      </c>
      <c r="I27" s="11">
        <f>MAR!L27</f>
        <v/>
      </c>
      <c r="J27" s="12">
        <f>IF(COUNT(G27:I27)=0,"",SUM(G27:I27))</f>
        <v/>
      </c>
      <c r="K27" s="11">
        <f>APR!L27</f>
        <v/>
      </c>
      <c r="L27" s="11">
        <f>MAY!L27</f>
        <v/>
      </c>
      <c r="M27" s="11">
        <f>JUN!L27</f>
        <v/>
      </c>
      <c r="N27" s="12">
        <f>IF(COUNT(K27:M27)=0,"",SUM(K27:M27))</f>
        <v/>
      </c>
      <c r="O27" s="11">
        <f>JUL!L27</f>
        <v/>
      </c>
      <c r="P27" s="11">
        <f>AUG!L27</f>
        <v/>
      </c>
      <c r="Q27" s="11">
        <f>SEP!L27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OCT!L28</f>
        <v/>
      </c>
      <c r="D28" s="11">
        <f>NOV!L28</f>
        <v/>
      </c>
      <c r="E28" s="11">
        <f>DEC!L28</f>
        <v/>
      </c>
      <c r="F28" s="12">
        <f>IF(COUNT(C28:E28)=0,"",SUM(C28:E28))</f>
        <v/>
      </c>
      <c r="G28" s="11">
        <f>JAN!L28</f>
        <v/>
      </c>
      <c r="H28" s="11">
        <f>FEB!L28</f>
        <v/>
      </c>
      <c r="I28" s="11">
        <f>MAR!L28</f>
        <v/>
      </c>
      <c r="J28" s="12">
        <f>IF(COUNT(G28:I28)=0,"",SUM(G28:I28))</f>
        <v/>
      </c>
      <c r="K28" s="11">
        <f>APR!L28</f>
        <v/>
      </c>
      <c r="L28" s="11">
        <f>MAY!L28</f>
        <v/>
      </c>
      <c r="M28" s="11">
        <f>JUN!L28</f>
        <v/>
      </c>
      <c r="N28" s="12">
        <f>IF(COUNT(K28:M28)=0,"",SUM(K28:M28))</f>
        <v/>
      </c>
      <c r="O28" s="11">
        <f>JUL!L28</f>
        <v/>
      </c>
      <c r="P28" s="11">
        <f>AUG!L28</f>
        <v/>
      </c>
      <c r="Q28" s="11">
        <f>SEP!L28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OCT!L29</f>
        <v/>
      </c>
      <c r="D29" s="19">
        <f>NOV!L29</f>
        <v/>
      </c>
      <c r="E29" s="19">
        <f>DEC!L29</f>
        <v/>
      </c>
      <c r="F29" s="20">
        <f>IF(COUNT(F31,F32)&lt;2,"",IF((F32+F31)=0,"",N(F27)/((F32+F31)/2)))</f>
        <v/>
      </c>
      <c r="G29" s="19">
        <f>JAN!L29</f>
        <v/>
      </c>
      <c r="H29" s="19">
        <f>FEB!L29</f>
        <v/>
      </c>
      <c r="I29" s="19">
        <f>MAR!L29</f>
        <v/>
      </c>
      <c r="J29" s="20">
        <f>IF(COUNT(J31,J32)&lt;2,"",IF((J32+J31)=0,"",N(J27)/((J32+J31)/2)))</f>
        <v/>
      </c>
      <c r="K29" s="19">
        <f>APR!L29</f>
        <v/>
      </c>
      <c r="L29" s="19">
        <f>MAY!L29</f>
        <v/>
      </c>
      <c r="M29" s="19">
        <f>JUN!L29</f>
        <v/>
      </c>
      <c r="N29" s="20">
        <f>IF(COUNT(N31,N32)&lt;2,"",IF((N32+N31)=0,"",N(N27)/((N32+N31)/2)))</f>
        <v/>
      </c>
      <c r="O29" s="19">
        <f>JUL!L29</f>
        <v/>
      </c>
      <c r="P29" s="19">
        <f>AUG!L29</f>
        <v/>
      </c>
      <c r="Q29" s="19">
        <f>SEP!L29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OCT!L30</f>
        <v/>
      </c>
      <c r="D30" s="19">
        <f>NOV!L30</f>
        <v/>
      </c>
      <c r="E30" s="19">
        <f>DEC!L30</f>
        <v/>
      </c>
      <c r="F30" s="20">
        <f>IF(COUNT(F31,F32)&lt;2,"",IF((F32+F31)=0,"",N(F28)/((F32+F31)/2)))</f>
        <v/>
      </c>
      <c r="G30" s="19">
        <f>JAN!L30</f>
        <v/>
      </c>
      <c r="H30" s="19">
        <f>FEB!L30</f>
        <v/>
      </c>
      <c r="I30" s="19">
        <f>MAR!L30</f>
        <v/>
      </c>
      <c r="J30" s="20">
        <f>IF(COUNT(J31,J32)&lt;2,"",IF((J32+J31)=0,"",N(J28)/((J32+J31)/2)))</f>
        <v/>
      </c>
      <c r="K30" s="19">
        <f>APR!L30</f>
        <v/>
      </c>
      <c r="L30" s="19">
        <f>MAY!L30</f>
        <v/>
      </c>
      <c r="M30" s="19">
        <f>JUN!L30</f>
        <v/>
      </c>
      <c r="N30" s="20">
        <f>IF(COUNT(N31,N32)&lt;2,"",IF((N32+N31)=0,"",N(N28)/((N32+N31)/2)))</f>
        <v/>
      </c>
      <c r="O30" s="19">
        <f>JUL!L30</f>
        <v/>
      </c>
      <c r="P30" s="19">
        <f>AUG!L30</f>
        <v/>
      </c>
      <c r="Q30" s="19">
        <f>SEP!L30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OCT!L31</f>
        <v/>
      </c>
      <c r="D31" s="11">
        <f>NOV!L31</f>
        <v/>
      </c>
      <c r="E31" s="11">
        <f>DEC!L31</f>
        <v/>
      </c>
      <c r="F31" s="12">
        <f>IFERROR(AVERAGE(C31:E31),"")</f>
        <v/>
      </c>
      <c r="G31" s="11">
        <f>JAN!L31</f>
        <v/>
      </c>
      <c r="H31" s="11">
        <f>FEB!L31</f>
        <v/>
      </c>
      <c r="I31" s="11">
        <f>MAR!L31</f>
        <v/>
      </c>
      <c r="J31" s="12">
        <f>IFERROR(AVERAGE(G31:I31),"")</f>
        <v/>
      </c>
      <c r="K31" s="11">
        <f>APR!L31</f>
        <v/>
      </c>
      <c r="L31" s="11">
        <f>MAY!L31</f>
        <v/>
      </c>
      <c r="M31" s="11">
        <f>JUN!L31</f>
        <v/>
      </c>
      <c r="N31" s="12">
        <f>IFERROR(AVERAGE(K31:M31),"")</f>
        <v/>
      </c>
      <c r="O31" s="11">
        <f>JUL!L31</f>
        <v/>
      </c>
      <c r="P31" s="11">
        <f>AUG!L31</f>
        <v/>
      </c>
      <c r="Q31" s="11">
        <f>SEP!L31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OCT!L32</f>
        <v/>
      </c>
      <c r="D32" s="11">
        <f>NOV!L32</f>
        <v/>
      </c>
      <c r="E32" s="11">
        <f>DEC!L32</f>
        <v/>
      </c>
      <c r="F32" s="12">
        <f>IFERROR(AVERAGE(C32:E32),"")</f>
        <v/>
      </c>
      <c r="G32" s="11">
        <f>JAN!L32</f>
        <v/>
      </c>
      <c r="H32" s="11">
        <f>FEB!L32</f>
        <v/>
      </c>
      <c r="I32" s="11">
        <f>MAR!L32</f>
        <v/>
      </c>
      <c r="J32" s="12">
        <f>IFERROR(AVERAGE(G32:I32),"")</f>
        <v/>
      </c>
      <c r="K32" s="11">
        <f>APR!L32</f>
        <v/>
      </c>
      <c r="L32" s="11">
        <f>MAY!L32</f>
        <v/>
      </c>
      <c r="M32" s="11">
        <f>JUN!L32</f>
        <v/>
      </c>
      <c r="N32" s="12">
        <f>IFERROR(AVERAGE(K32:M32),"")</f>
        <v/>
      </c>
      <c r="O32" s="11">
        <f>JUL!L32</f>
        <v/>
      </c>
      <c r="P32" s="11">
        <f>AUG!L32</f>
        <v/>
      </c>
      <c r="Q32" s="11">
        <f>SEP!L32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OCT!L33</f>
        <v/>
      </c>
      <c r="D33" s="19">
        <f>NOV!L33</f>
        <v/>
      </c>
      <c r="E33" s="19">
        <f>DEC!L33</f>
        <v/>
      </c>
      <c r="F33" s="20">
        <f>IF(COUNT(F31,F32)&lt;2,"",IF((F32+F31)=0,"",N(F24)/((F32+F31)/2)))</f>
        <v/>
      </c>
      <c r="G33" s="19">
        <f>JAN!L33</f>
        <v/>
      </c>
      <c r="H33" s="19">
        <f>FEB!L33</f>
        <v/>
      </c>
      <c r="I33" s="19">
        <f>MAR!L33</f>
        <v/>
      </c>
      <c r="J33" s="20">
        <f>IF(COUNT(J31,J32)&lt;2,"",IF((J32+J31)=0,"",N(J24)/((J32+J31)/2)))</f>
        <v/>
      </c>
      <c r="K33" s="19">
        <f>APR!L33</f>
        <v/>
      </c>
      <c r="L33" s="19">
        <f>MAY!L33</f>
        <v/>
      </c>
      <c r="M33" s="19">
        <f>JUN!L33</f>
        <v/>
      </c>
      <c r="N33" s="20">
        <f>IF(COUNT(N31,N32)&lt;2,"",IF((N32+N31)=0,"",N(N24)/((N32+N31)/2)))</f>
        <v/>
      </c>
      <c r="O33" s="19">
        <f>JUL!L33</f>
        <v/>
      </c>
      <c r="P33" s="19">
        <f>AUG!L33</f>
        <v/>
      </c>
      <c r="Q33" s="19">
        <f>SEP!L33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OCT!L34</f>
        <v/>
      </c>
      <c r="D34" s="11">
        <f>NOV!L34</f>
        <v/>
      </c>
      <c r="E34" s="11">
        <f>DEC!L34</f>
        <v/>
      </c>
      <c r="F34" s="12">
        <f>IFERROR(AVERAGE(C34:E34),"")</f>
        <v/>
      </c>
      <c r="G34" s="11">
        <f>JAN!L34</f>
        <v/>
      </c>
      <c r="H34" s="11">
        <f>FEB!L34</f>
        <v/>
      </c>
      <c r="I34" s="11">
        <f>MAR!L34</f>
        <v/>
      </c>
      <c r="J34" s="12">
        <f>IFERROR(AVERAGE(G34:I34),"")</f>
        <v/>
      </c>
      <c r="K34" s="11">
        <f>APR!L34</f>
        <v/>
      </c>
      <c r="L34" s="11">
        <f>MAY!L34</f>
        <v/>
      </c>
      <c r="M34" s="11">
        <f>JUN!L34</f>
        <v/>
      </c>
      <c r="N34" s="12">
        <f>IFERROR(AVERAGE(K34:M34),"")</f>
        <v/>
      </c>
      <c r="O34" s="11">
        <f>JUL!L34</f>
        <v/>
      </c>
      <c r="P34" s="11">
        <f>AUG!L34</f>
        <v/>
      </c>
      <c r="Q34" s="11">
        <f>SEP!L34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OCT!L35</f>
        <v/>
      </c>
      <c r="D35" s="11">
        <f>NOV!L35</f>
        <v/>
      </c>
      <c r="E35" s="11">
        <f>DEC!L35</f>
        <v/>
      </c>
      <c r="F35" s="12">
        <f>IFERROR(AVERAGE(C35:E35),"")</f>
        <v/>
      </c>
      <c r="G35" s="11">
        <f>JAN!L35</f>
        <v/>
      </c>
      <c r="H35" s="11">
        <f>FEB!L35</f>
        <v/>
      </c>
      <c r="I35" s="11">
        <f>MAR!L35</f>
        <v/>
      </c>
      <c r="J35" s="12">
        <f>IFERROR(AVERAGE(G35:I35),"")</f>
        <v/>
      </c>
      <c r="K35" s="11">
        <f>APR!L35</f>
        <v/>
      </c>
      <c r="L35" s="11">
        <f>MAY!L35</f>
        <v/>
      </c>
      <c r="M35" s="11">
        <f>JUN!L35</f>
        <v/>
      </c>
      <c r="N35" s="12">
        <f>IFERROR(AVERAGE(K35:M35),"")</f>
        <v/>
      </c>
      <c r="O35" s="11">
        <f>JUL!L35</f>
        <v/>
      </c>
      <c r="P35" s="11">
        <f>AUG!L35</f>
        <v/>
      </c>
      <c r="Q35" s="11">
        <f>SEP!L35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OCT!L36</f>
        <v/>
      </c>
      <c r="D36" s="11">
        <f>NOV!L36</f>
        <v/>
      </c>
      <c r="E36" s="11">
        <f>DEC!L36</f>
        <v/>
      </c>
      <c r="F36" s="12">
        <f>IF(COUNT(F34:F35)=0,"",SUM(F34:F35))</f>
        <v/>
      </c>
      <c r="G36" s="11">
        <f>JAN!L36</f>
        <v/>
      </c>
      <c r="H36" s="11">
        <f>FEB!L36</f>
        <v/>
      </c>
      <c r="I36" s="11">
        <f>MAR!L36</f>
        <v/>
      </c>
      <c r="J36" s="12">
        <f>IF(COUNT(J34:J35)=0,"",SUM(J34:J35))</f>
        <v/>
      </c>
      <c r="K36" s="11">
        <f>APR!L36</f>
        <v/>
      </c>
      <c r="L36" s="11">
        <f>MAY!L36</f>
        <v/>
      </c>
      <c r="M36" s="11">
        <f>JUN!L36</f>
        <v/>
      </c>
      <c r="N36" s="12">
        <f>IF(COUNT(N34:N35)=0,"",SUM(N34:N35))</f>
        <v/>
      </c>
      <c r="O36" s="11">
        <f>JUL!L36</f>
        <v/>
      </c>
      <c r="P36" s="11">
        <f>AUG!L36</f>
        <v/>
      </c>
      <c r="Q36" s="11">
        <f>SEP!L36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OCT!L37</f>
        <v/>
      </c>
      <c r="D37" s="11">
        <f>NOV!L37</f>
        <v/>
      </c>
      <c r="E37" s="11">
        <f>DEC!L37</f>
        <v/>
      </c>
      <c r="F37" s="12">
        <f>IF(COUNT(F5,F36)=0,"",N(F5)+N(F36))</f>
        <v/>
      </c>
      <c r="G37" s="11">
        <f>JAN!L37</f>
        <v/>
      </c>
      <c r="H37" s="11">
        <f>FEB!L37</f>
        <v/>
      </c>
      <c r="I37" s="11">
        <f>MAR!L37</f>
        <v/>
      </c>
      <c r="J37" s="12">
        <f>IF(COUNT(J5,J36)=0,"",N(J5)+N(J36))</f>
        <v/>
      </c>
      <c r="K37" s="11">
        <f>APR!L37</f>
        <v/>
      </c>
      <c r="L37" s="11">
        <f>MAY!L37</f>
        <v/>
      </c>
      <c r="M37" s="11">
        <f>JUN!L37</f>
        <v/>
      </c>
      <c r="N37" s="12">
        <f>IF(COUNT(N5,N36)=0,"",N(N5)+N(N36))</f>
        <v/>
      </c>
      <c r="O37" s="11">
        <f>JUL!L37</f>
        <v/>
      </c>
      <c r="P37" s="11">
        <f>AUG!L37</f>
        <v/>
      </c>
      <c r="Q37" s="11">
        <f>SEP!L37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OCT!L38</f>
        <v/>
      </c>
      <c r="D38" s="19">
        <f>NOV!L38</f>
        <v/>
      </c>
      <c r="E38" s="19">
        <f>DEC!L38</f>
        <v/>
      </c>
      <c r="F38" s="20">
        <f>IFERROR(F36/F37,"")</f>
        <v/>
      </c>
      <c r="G38" s="19">
        <f>JAN!L38</f>
        <v/>
      </c>
      <c r="H38" s="19">
        <f>FEB!L38</f>
        <v/>
      </c>
      <c r="I38" s="19">
        <f>MAR!L38</f>
        <v/>
      </c>
      <c r="J38" s="20">
        <f>IFERROR(J36/J37,"")</f>
        <v/>
      </c>
      <c r="K38" s="19">
        <f>APR!L38</f>
        <v/>
      </c>
      <c r="L38" s="19">
        <f>MAY!L38</f>
        <v/>
      </c>
      <c r="M38" s="19">
        <f>JUN!L38</f>
        <v/>
      </c>
      <c r="N38" s="20">
        <f>IFERROR(N36/N37,"")</f>
        <v/>
      </c>
      <c r="O38" s="19">
        <f>JUL!L38</f>
        <v/>
      </c>
      <c r="P38" s="19">
        <f>AUG!L38</f>
        <v/>
      </c>
      <c r="Q38" s="19">
        <f>SEP!L38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OCT!L39</f>
        <v/>
      </c>
      <c r="D39" s="14">
        <f>NOV!L39</f>
        <v/>
      </c>
      <c r="E39" s="14">
        <f>DEC!L39</f>
        <v/>
      </c>
      <c r="F39" s="15">
        <f>IFERROR(LOOKUP(2,1/ISNUMBER(C39:E39),C39:E39),"")</f>
        <v/>
      </c>
      <c r="G39" s="14">
        <f>JAN!L39</f>
        <v/>
      </c>
      <c r="H39" s="14">
        <f>FEB!L39</f>
        <v/>
      </c>
      <c r="I39" s="14">
        <f>MAR!L39</f>
        <v/>
      </c>
      <c r="J39" s="15">
        <f>IFERROR(LOOKUP(2,1/ISNUMBER(G39:I39),G39:I39),"")</f>
        <v/>
      </c>
      <c r="K39" s="14">
        <f>APR!L39</f>
        <v/>
      </c>
      <c r="L39" s="14">
        <f>MAY!L39</f>
        <v/>
      </c>
      <c r="M39" s="14">
        <f>JUN!L39</f>
        <v/>
      </c>
      <c r="N39" s="15">
        <f>IFERROR(LOOKUP(2,1/ISNUMBER(K39:M39),K39:M39),"")</f>
        <v/>
      </c>
      <c r="O39" s="14">
        <f>JUL!L39</f>
        <v/>
      </c>
      <c r="P39" s="14">
        <f>AUG!L39</f>
        <v/>
      </c>
      <c r="Q39" s="14">
        <f>SEP!L39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OCT!L40</f>
        <v/>
      </c>
      <c r="D40" s="14">
        <f>NOV!L40</f>
        <v/>
      </c>
      <c r="E40" s="14">
        <f>DEC!L40</f>
        <v/>
      </c>
      <c r="F40" s="15">
        <f>IFERROR(LOOKUP(2,1/ISNUMBER(C40:E40),C40:E40),"")</f>
        <v/>
      </c>
      <c r="G40" s="14">
        <f>JAN!L40</f>
        <v/>
      </c>
      <c r="H40" s="14">
        <f>FEB!L40</f>
        <v/>
      </c>
      <c r="I40" s="14">
        <f>MAR!L40</f>
        <v/>
      </c>
      <c r="J40" s="15">
        <f>IFERROR(LOOKUP(2,1/ISNUMBER(G40:I40),G40:I40),"")</f>
        <v/>
      </c>
      <c r="K40" s="14">
        <f>APR!L40</f>
        <v/>
      </c>
      <c r="L40" s="14">
        <f>MAY!L40</f>
        <v/>
      </c>
      <c r="M40" s="14">
        <f>JUN!L40</f>
        <v/>
      </c>
      <c r="N40" s="15">
        <f>IFERROR(LOOKUP(2,1/ISNUMBER(K40:M40),K40:M40),"")</f>
        <v/>
      </c>
      <c r="O40" s="14">
        <f>JUL!L40</f>
        <v/>
      </c>
      <c r="P40" s="14">
        <f>AUG!L40</f>
        <v/>
      </c>
      <c r="Q40" s="14">
        <f>SEP!L40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OCT!L41</f>
        <v/>
      </c>
      <c r="D41" s="23">
        <f>NOV!L41</f>
        <v/>
      </c>
      <c r="E41" s="23">
        <f>DEC!L41</f>
        <v/>
      </c>
      <c r="F41" s="24">
        <f>IFERROR(AVERAGE(C41:E41),"")</f>
        <v/>
      </c>
      <c r="G41" s="23">
        <f>JAN!L41</f>
        <v/>
      </c>
      <c r="H41" s="23">
        <f>FEB!L41</f>
        <v/>
      </c>
      <c r="I41" s="23">
        <f>MAR!L41</f>
        <v/>
      </c>
      <c r="J41" s="24">
        <f>IFERROR(AVERAGE(G41:I41),"")</f>
        <v/>
      </c>
      <c r="K41" s="23">
        <f>APR!L41</f>
        <v/>
      </c>
      <c r="L41" s="23">
        <f>MAY!L41</f>
        <v/>
      </c>
      <c r="M41" s="23">
        <f>JUN!L41</f>
        <v/>
      </c>
      <c r="N41" s="24">
        <f>IFERROR(AVERAGE(K41:M41),"")</f>
        <v/>
      </c>
      <c r="O41" s="23">
        <f>JUL!L41</f>
        <v/>
      </c>
      <c r="P41" s="23">
        <f>AUG!L41</f>
        <v/>
      </c>
      <c r="Q41" s="23">
        <f>SEP!L41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OCT!L42</f>
        <v/>
      </c>
      <c r="D42" s="11">
        <f>NOV!L42</f>
        <v/>
      </c>
      <c r="E42" s="11">
        <f>DEC!L42</f>
        <v/>
      </c>
      <c r="F42" s="12">
        <f>IF(COUNT(C42:E42)=0,"",SUM(C42:E42))</f>
        <v/>
      </c>
      <c r="G42" s="11">
        <f>JAN!L42</f>
        <v/>
      </c>
      <c r="H42" s="11">
        <f>FEB!L42</f>
        <v/>
      </c>
      <c r="I42" s="11">
        <f>MAR!L42</f>
        <v/>
      </c>
      <c r="J42" s="12">
        <f>IF(COUNT(G42:I42)=0,"",SUM(G42:I42))</f>
        <v/>
      </c>
      <c r="K42" s="11">
        <f>APR!L42</f>
        <v/>
      </c>
      <c r="L42" s="11">
        <f>MAY!L42</f>
        <v/>
      </c>
      <c r="M42" s="11">
        <f>JUN!L42</f>
        <v/>
      </c>
      <c r="N42" s="12">
        <f>IF(COUNT(K42:M42)=0,"",SUM(K42:M42))</f>
        <v/>
      </c>
      <c r="O42" s="11">
        <f>JUL!L42</f>
        <v/>
      </c>
      <c r="P42" s="11">
        <f>AUG!L42</f>
        <v/>
      </c>
      <c r="Q42" s="11">
        <f>SEP!L42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OCT!L43</f>
        <v/>
      </c>
      <c r="D43" s="14">
        <f>NOV!L43</f>
        <v/>
      </c>
      <c r="E43" s="14">
        <f>DEC!L43</f>
        <v/>
      </c>
      <c r="F43" s="15">
        <f>IF(COUNT(C43:E43)=0,"",SUM(C43:E43))</f>
        <v/>
      </c>
      <c r="G43" s="14">
        <f>JAN!L43</f>
        <v/>
      </c>
      <c r="H43" s="14">
        <f>FEB!L43</f>
        <v/>
      </c>
      <c r="I43" s="14">
        <f>MAR!L43</f>
        <v/>
      </c>
      <c r="J43" s="15">
        <f>IF(COUNT(G43:I43)=0,"",SUM(G43:I43))</f>
        <v/>
      </c>
      <c r="K43" s="14">
        <f>APR!L43</f>
        <v/>
      </c>
      <c r="L43" s="14">
        <f>MAY!L43</f>
        <v/>
      </c>
      <c r="M43" s="14">
        <f>JUN!L43</f>
        <v/>
      </c>
      <c r="N43" s="15">
        <f>IF(COUNT(K43:M43)=0,"",SUM(K43:M43))</f>
        <v/>
      </c>
      <c r="O43" s="14">
        <f>JUL!L43</f>
        <v/>
      </c>
      <c r="P43" s="14">
        <f>AUG!L43</f>
        <v/>
      </c>
      <c r="Q43" s="14">
        <f>SEP!L43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OCT!L44</f>
        <v/>
      </c>
      <c r="D44" s="14">
        <f>NOV!L44</f>
        <v/>
      </c>
      <c r="E44" s="14">
        <f>DEC!L44</f>
        <v/>
      </c>
      <c r="F44" s="15">
        <f>IF(COUNT(C44:E44)=0,"",SUM(C44:E44))</f>
        <v/>
      </c>
      <c r="G44" s="14">
        <f>JAN!L44</f>
        <v/>
      </c>
      <c r="H44" s="14">
        <f>FEB!L44</f>
        <v/>
      </c>
      <c r="I44" s="14">
        <f>MAR!L44</f>
        <v/>
      </c>
      <c r="J44" s="15">
        <f>IF(COUNT(G44:I44)=0,"",SUM(G44:I44))</f>
        <v/>
      </c>
      <c r="K44" s="14">
        <f>APR!L44</f>
        <v/>
      </c>
      <c r="L44" s="14">
        <f>MAY!L44</f>
        <v/>
      </c>
      <c r="M44" s="14">
        <f>JUN!L44</f>
        <v/>
      </c>
      <c r="N44" s="15">
        <f>IF(COUNT(K44:M44)=0,"",SUM(K44:M44))</f>
        <v/>
      </c>
      <c r="O44" s="14">
        <f>JUL!L44</f>
        <v/>
      </c>
      <c r="P44" s="14">
        <f>AUG!L44</f>
        <v/>
      </c>
      <c r="Q44" s="14">
        <f>SEP!L44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OCT!L45</f>
        <v/>
      </c>
      <c r="D45" s="14">
        <f>NOV!L45</f>
        <v/>
      </c>
      <c r="E45" s="14">
        <f>DEC!L45</f>
        <v/>
      </c>
      <c r="F45" s="15">
        <f>IF(COUNT(F43:F44)=0,"",SUM(F43:F44))</f>
        <v/>
      </c>
      <c r="G45" s="14">
        <f>JAN!L45</f>
        <v/>
      </c>
      <c r="H45" s="14">
        <f>FEB!L45</f>
        <v/>
      </c>
      <c r="I45" s="14">
        <f>MAR!L45</f>
        <v/>
      </c>
      <c r="J45" s="15">
        <f>IF(COUNT(J43:J44)=0,"",SUM(J43:J44))</f>
        <v/>
      </c>
      <c r="K45" s="14">
        <f>APR!L45</f>
        <v/>
      </c>
      <c r="L45" s="14">
        <f>MAY!L45</f>
        <v/>
      </c>
      <c r="M45" s="14">
        <f>JUN!L45</f>
        <v/>
      </c>
      <c r="N45" s="15">
        <f>IF(COUNT(N43:N44)=0,"",SUM(N43:N44))</f>
        <v/>
      </c>
      <c r="O45" s="14">
        <f>JUL!L45</f>
        <v/>
      </c>
      <c r="P45" s="14">
        <f>AUG!L45</f>
        <v/>
      </c>
      <c r="Q45" s="14">
        <f>SEP!L45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OCT!L46</f>
        <v/>
      </c>
      <c r="D46" s="19">
        <f>NOV!L46</f>
        <v/>
      </c>
      <c r="E46" s="19">
        <f>DEC!L46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JAN!L46</f>
        <v/>
      </c>
      <c r="H46" s="19">
        <f>FEB!L46</f>
        <v/>
      </c>
      <c r="I46" s="19">
        <f>MAR!L46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APR!L46</f>
        <v/>
      </c>
      <c r="L46" s="19">
        <f>MAY!L46</f>
        <v/>
      </c>
      <c r="M46" s="19">
        <f>JUN!L46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JUL!L46</f>
        <v/>
      </c>
      <c r="P46" s="19">
        <f>AUG!L46</f>
        <v/>
      </c>
      <c r="Q46" s="19">
        <f>SEP!L46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OCT!L47</f>
        <v/>
      </c>
      <c r="D47" s="19">
        <f>NOV!L47</f>
        <v/>
      </c>
      <c r="E47" s="19">
        <f>DEC!L47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JAN!L47</f>
        <v/>
      </c>
      <c r="H47" s="19">
        <f>FEB!L47</f>
        <v/>
      </c>
      <c r="I47" s="19">
        <f>MAR!L47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APR!L47</f>
        <v/>
      </c>
      <c r="L47" s="19">
        <f>MAY!L47</f>
        <v/>
      </c>
      <c r="M47" s="19">
        <f>JUN!L47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JUL!L47</f>
        <v/>
      </c>
      <c r="P47" s="19">
        <f>AUG!L47</f>
        <v/>
      </c>
      <c r="Q47" s="19">
        <f>SEP!L47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OCT!L48</f>
        <v/>
      </c>
      <c r="D48" s="19">
        <f>NOV!L48</f>
        <v/>
      </c>
      <c r="E48" s="19">
        <f>DEC!L48</f>
        <v/>
      </c>
      <c r="F48" s="20">
        <f>IF(COUNT(F46:F47)=0,"",SUM(F46:F47))</f>
        <v/>
      </c>
      <c r="G48" s="19">
        <f>JAN!L48</f>
        <v/>
      </c>
      <c r="H48" s="19">
        <f>FEB!L48</f>
        <v/>
      </c>
      <c r="I48" s="19">
        <f>MAR!L48</f>
        <v/>
      </c>
      <c r="J48" s="20">
        <f>IF(COUNT(J46:J47)=0,"",SUM(J46:J47))</f>
        <v/>
      </c>
      <c r="K48" s="19">
        <f>APR!L48</f>
        <v/>
      </c>
      <c r="L48" s="19">
        <f>MAY!L48</f>
        <v/>
      </c>
      <c r="M48" s="19">
        <f>JUN!L48</f>
        <v/>
      </c>
      <c r="N48" s="20">
        <f>IF(COUNT(N46:N47)=0,"",SUM(N46:N47))</f>
        <v/>
      </c>
      <c r="O48" s="19">
        <f>JUL!L48</f>
        <v/>
      </c>
      <c r="P48" s="19">
        <f>AUG!L48</f>
        <v/>
      </c>
      <c r="Q48" s="19">
        <f>SEP!L48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OCT!L49</f>
        <v/>
      </c>
      <c r="D49" s="19">
        <f>NOV!L49</f>
        <v/>
      </c>
      <c r="E49" s="19">
        <f>DEC!L49</f>
        <v/>
      </c>
      <c r="F49" s="20">
        <f>IFERROR(AVERAGE(C49:E49),"")</f>
        <v/>
      </c>
      <c r="G49" s="19">
        <f>JAN!L49</f>
        <v/>
      </c>
      <c r="H49" s="19">
        <f>FEB!L49</f>
        <v/>
      </c>
      <c r="I49" s="19">
        <f>MAR!L49</f>
        <v/>
      </c>
      <c r="J49" s="20">
        <f>IFERROR(AVERAGE(G49:I49),"")</f>
        <v/>
      </c>
      <c r="K49" s="19">
        <f>APR!L49</f>
        <v/>
      </c>
      <c r="L49" s="19">
        <f>MAY!L49</f>
        <v/>
      </c>
      <c r="M49" s="19">
        <f>JUN!L49</f>
        <v/>
      </c>
      <c r="N49" s="20">
        <f>IFERROR(AVERAGE(K49:M49),"")</f>
        <v/>
      </c>
      <c r="O49" s="19">
        <f>JUL!L49</f>
        <v/>
      </c>
      <c r="P49" s="19">
        <f>AUG!L49</f>
        <v/>
      </c>
      <c r="Q49" s="19">
        <f>SEP!L49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OCT!L50</f>
        <v/>
      </c>
      <c r="D50" s="14">
        <f>NOV!L50</f>
        <v/>
      </c>
      <c r="E50" s="14">
        <f>DEC!L50</f>
        <v/>
      </c>
      <c r="F50" s="15">
        <f>IF(COUNT(C50:E50)=0,"",SUM(C50:E50))</f>
        <v/>
      </c>
      <c r="G50" s="14">
        <f>JAN!L50</f>
        <v/>
      </c>
      <c r="H50" s="14">
        <f>FEB!L50</f>
        <v/>
      </c>
      <c r="I50" s="14">
        <f>MAR!L50</f>
        <v/>
      </c>
      <c r="J50" s="15">
        <f>IF(COUNT(G50:I50)=0,"",SUM(G50:I50))</f>
        <v/>
      </c>
      <c r="K50" s="14">
        <f>APR!L50</f>
        <v/>
      </c>
      <c r="L50" s="14">
        <f>MAY!L50</f>
        <v/>
      </c>
      <c r="M50" s="14">
        <f>JUN!L50</f>
        <v/>
      </c>
      <c r="N50" s="15">
        <f>IF(COUNT(K50:M50)=0,"",SUM(K50:M50))</f>
        <v/>
      </c>
      <c r="O50" s="14">
        <f>JUL!L50</f>
        <v/>
      </c>
      <c r="P50" s="14">
        <f>AUG!L50</f>
        <v/>
      </c>
      <c r="Q50" s="14">
        <f>SEP!L50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OCT!L51</f>
        <v/>
      </c>
      <c r="D51" s="14">
        <f>NOV!L51</f>
        <v/>
      </c>
      <c r="E51" s="14">
        <f>DEC!L51</f>
        <v/>
      </c>
      <c r="F51" s="15">
        <f>IF(COUNT(C51:E51)=0,"",SUM(C51:E51))</f>
        <v/>
      </c>
      <c r="G51" s="14">
        <f>JAN!L51</f>
        <v/>
      </c>
      <c r="H51" s="14">
        <f>FEB!L51</f>
        <v/>
      </c>
      <c r="I51" s="14">
        <f>MAR!L51</f>
        <v/>
      </c>
      <c r="J51" s="15">
        <f>IF(COUNT(G51:I51)=0,"",SUM(G51:I51))</f>
        <v/>
      </c>
      <c r="K51" s="14">
        <f>APR!L51</f>
        <v/>
      </c>
      <c r="L51" s="14">
        <f>MAY!L51</f>
        <v/>
      </c>
      <c r="M51" s="14">
        <f>JUN!L51</f>
        <v/>
      </c>
      <c r="N51" s="15">
        <f>IF(COUNT(K51:M51)=0,"",SUM(K51:M51))</f>
        <v/>
      </c>
      <c r="O51" s="14">
        <f>JUL!L51</f>
        <v/>
      </c>
      <c r="P51" s="14">
        <f>AUG!L51</f>
        <v/>
      </c>
      <c r="Q51" s="14">
        <f>SEP!L51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OCT!L52</f>
        <v/>
      </c>
      <c r="D52" s="14">
        <f>NOV!L52</f>
        <v/>
      </c>
      <c r="E52" s="14">
        <f>DEC!L52</f>
        <v/>
      </c>
      <c r="F52" s="15">
        <f>IF(COUNT(C52:E52)=0,"",SUM(C52:E52))</f>
        <v/>
      </c>
      <c r="G52" s="14">
        <f>JAN!L52</f>
        <v/>
      </c>
      <c r="H52" s="14">
        <f>FEB!L52</f>
        <v/>
      </c>
      <c r="I52" s="14">
        <f>MAR!L52</f>
        <v/>
      </c>
      <c r="J52" s="15">
        <f>IF(COUNT(G52:I52)=0,"",SUM(G52:I52))</f>
        <v/>
      </c>
      <c r="K52" s="14">
        <f>APR!L52</f>
        <v/>
      </c>
      <c r="L52" s="14">
        <f>MAY!L52</f>
        <v/>
      </c>
      <c r="M52" s="14">
        <f>JUN!L52</f>
        <v/>
      </c>
      <c r="N52" s="15">
        <f>IF(COUNT(K52:M52)=0,"",SUM(K52:M52))</f>
        <v/>
      </c>
      <c r="O52" s="14">
        <f>JUL!L52</f>
        <v/>
      </c>
      <c r="P52" s="14">
        <f>AUG!L52</f>
        <v/>
      </c>
      <c r="Q52" s="14">
        <f>SEP!L52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OCT!L53</f>
        <v/>
      </c>
      <c r="D53" s="14">
        <f>NOV!L53</f>
        <v/>
      </c>
      <c r="E53" s="14">
        <f>DEC!L53</f>
        <v/>
      </c>
      <c r="F53" s="15">
        <f>IF(COUNT(C53:E53)=0,"",SUM(C53:E53))</f>
        <v/>
      </c>
      <c r="G53" s="14">
        <f>JAN!L53</f>
        <v/>
      </c>
      <c r="H53" s="14">
        <f>FEB!L53</f>
        <v/>
      </c>
      <c r="I53" s="14">
        <f>MAR!L53</f>
        <v/>
      </c>
      <c r="J53" s="15">
        <f>IF(COUNT(G53:I53)=0,"",SUM(G53:I53))</f>
        <v/>
      </c>
      <c r="K53" s="14">
        <f>APR!L53</f>
        <v/>
      </c>
      <c r="L53" s="14">
        <f>MAY!L53</f>
        <v/>
      </c>
      <c r="M53" s="14">
        <f>JUN!L53</f>
        <v/>
      </c>
      <c r="N53" s="15">
        <f>IF(COUNT(K53:M53)=0,"",SUM(K53:M53))</f>
        <v/>
      </c>
      <c r="O53" s="14">
        <f>JUL!L53</f>
        <v/>
      </c>
      <c r="P53" s="14">
        <f>AUG!L53</f>
        <v/>
      </c>
      <c r="Q53" s="14">
        <f>SEP!L53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OCT!L54</f>
        <v/>
      </c>
      <c r="D54" s="14">
        <f>NOV!L54</f>
        <v/>
      </c>
      <c r="E54" s="14">
        <f>DEC!L54</f>
        <v/>
      </c>
      <c r="F54" s="15">
        <f>IF(COUNT(C54:E54)=0,"",SUM(C54:E54))</f>
        <v/>
      </c>
      <c r="G54" s="14">
        <f>JAN!L54</f>
        <v/>
      </c>
      <c r="H54" s="14">
        <f>FEB!L54</f>
        <v/>
      </c>
      <c r="I54" s="14">
        <f>MAR!L54</f>
        <v/>
      </c>
      <c r="J54" s="15">
        <f>IF(COUNT(G54:I54)=0,"",SUM(G54:I54))</f>
        <v/>
      </c>
      <c r="K54" s="14">
        <f>APR!L54</f>
        <v/>
      </c>
      <c r="L54" s="14">
        <f>MAY!L54</f>
        <v/>
      </c>
      <c r="M54" s="14">
        <f>JUN!L54</f>
        <v/>
      </c>
      <c r="N54" s="15">
        <f>IF(COUNT(K54:M54)=0,"",SUM(K54:M54))</f>
        <v/>
      </c>
      <c r="O54" s="14">
        <f>JUL!L54</f>
        <v/>
      </c>
      <c r="P54" s="14">
        <f>AUG!L54</f>
        <v/>
      </c>
      <c r="Q54" s="14">
        <f>SEP!L54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OCT!L55</f>
        <v/>
      </c>
      <c r="D55" s="14">
        <f>NOV!L55</f>
        <v/>
      </c>
      <c r="E55" s="14">
        <f>DEC!L55</f>
        <v/>
      </c>
      <c r="F55" s="15">
        <f>IF(COUNT(F50:F54)=0,"",SUM(F50:F54))</f>
        <v/>
      </c>
      <c r="G55" s="14">
        <f>JAN!L55</f>
        <v/>
      </c>
      <c r="H55" s="14">
        <f>FEB!L55</f>
        <v/>
      </c>
      <c r="I55" s="14">
        <f>MAR!L55</f>
        <v/>
      </c>
      <c r="J55" s="15">
        <f>IF(COUNT(J50:J54)=0,"",SUM(J50:J54))</f>
        <v/>
      </c>
      <c r="K55" s="14">
        <f>APR!L55</f>
        <v/>
      </c>
      <c r="L55" s="14">
        <f>MAY!L55</f>
        <v/>
      </c>
      <c r="M55" s="14">
        <f>JUN!L55</f>
        <v/>
      </c>
      <c r="N55" s="15">
        <f>IF(COUNT(N50:N54)=0,"",SUM(N50:N54))</f>
        <v/>
      </c>
      <c r="O55" s="14">
        <f>JUL!L55</f>
        <v/>
      </c>
      <c r="P55" s="14">
        <f>AUG!L55</f>
        <v/>
      </c>
      <c r="Q55" s="14">
        <f>SEP!L55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OCT!L56</f>
        <v/>
      </c>
      <c r="D56" s="14">
        <f>NOV!L56</f>
        <v/>
      </c>
      <c r="E56" s="14">
        <f>DEC!L56</f>
        <v/>
      </c>
      <c r="F56" s="15">
        <f>IF(COUNT(C56:E56)=0,"",SUM(C56:E56))</f>
        <v/>
      </c>
      <c r="G56" s="14">
        <f>JAN!L56</f>
        <v/>
      </c>
      <c r="H56" s="14">
        <f>FEB!L56</f>
        <v/>
      </c>
      <c r="I56" s="14">
        <f>MAR!L56</f>
        <v/>
      </c>
      <c r="J56" s="15">
        <f>IF(COUNT(G56:I56)=0,"",SUM(G56:I56))</f>
        <v/>
      </c>
      <c r="K56" s="14">
        <f>APR!L56</f>
        <v/>
      </c>
      <c r="L56" s="14">
        <f>MAY!L56</f>
        <v/>
      </c>
      <c r="M56" s="14">
        <f>JUN!L56</f>
        <v/>
      </c>
      <c r="N56" s="15">
        <f>IF(COUNT(K56:M56)=0,"",SUM(K56:M56))</f>
        <v/>
      </c>
      <c r="O56" s="14">
        <f>JUL!L56</f>
        <v/>
      </c>
      <c r="P56" s="14">
        <f>AUG!L56</f>
        <v/>
      </c>
      <c r="Q56" s="14">
        <f>SEP!L56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OCT!L57</f>
        <v/>
      </c>
      <c r="D57" s="14">
        <f>NOV!L57</f>
        <v/>
      </c>
      <c r="E57" s="14">
        <f>DEC!L57</f>
        <v/>
      </c>
      <c r="F57" s="15">
        <f>IF(COUNT(C57:E57)=0,"",SUM(C57:E57))</f>
        <v/>
      </c>
      <c r="G57" s="14">
        <f>JAN!L57</f>
        <v/>
      </c>
      <c r="H57" s="14">
        <f>FEB!L57</f>
        <v/>
      </c>
      <c r="I57" s="14">
        <f>MAR!L57</f>
        <v/>
      </c>
      <c r="J57" s="15">
        <f>IF(COUNT(G57:I57)=0,"",SUM(G57:I57))</f>
        <v/>
      </c>
      <c r="K57" s="14">
        <f>APR!L57</f>
        <v/>
      </c>
      <c r="L57" s="14">
        <f>MAY!L57</f>
        <v/>
      </c>
      <c r="M57" s="14">
        <f>JUN!L57</f>
        <v/>
      </c>
      <c r="N57" s="15">
        <f>IF(COUNT(K57:M57)=0,"",SUM(K57:M57))</f>
        <v/>
      </c>
      <c r="O57" s="14">
        <f>JUL!L57</f>
        <v/>
      </c>
      <c r="P57" s="14">
        <f>AUG!L57</f>
        <v/>
      </c>
      <c r="Q57" s="14">
        <f>SEP!L57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OCT!L58</f>
        <v/>
      </c>
      <c r="D58" s="14">
        <f>NOV!L58</f>
        <v/>
      </c>
      <c r="E58" s="14">
        <f>DEC!L58</f>
        <v/>
      </c>
      <c r="F58" s="15">
        <f>IF(COUNT(C58:E58)=0,"",SUM(C58:E58))</f>
        <v/>
      </c>
      <c r="G58" s="14">
        <f>JAN!L58</f>
        <v/>
      </c>
      <c r="H58" s="14">
        <f>FEB!L58</f>
        <v/>
      </c>
      <c r="I58" s="14">
        <f>MAR!L58</f>
        <v/>
      </c>
      <c r="J58" s="15">
        <f>IF(COUNT(G58:I58)=0,"",SUM(G58:I58))</f>
        <v/>
      </c>
      <c r="K58" s="14">
        <f>APR!L58</f>
        <v/>
      </c>
      <c r="L58" s="14">
        <f>MAY!L58</f>
        <v/>
      </c>
      <c r="M58" s="14">
        <f>JUN!L58</f>
        <v/>
      </c>
      <c r="N58" s="15">
        <f>IF(COUNT(K58:M58)=0,"",SUM(K58:M58))</f>
        <v/>
      </c>
      <c r="O58" s="14">
        <f>JUL!L58</f>
        <v/>
      </c>
      <c r="P58" s="14">
        <f>AUG!L58</f>
        <v/>
      </c>
      <c r="Q58" s="14">
        <f>SEP!L58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OCT!L59</f>
        <v/>
      </c>
      <c r="D59" s="14">
        <f>NOV!L59</f>
        <v/>
      </c>
      <c r="E59" s="14">
        <f>DEC!L59</f>
        <v/>
      </c>
      <c r="F59" s="15">
        <f>IF(COUNT(C59:E59)=0,"",SUM(C59:E59))</f>
        <v/>
      </c>
      <c r="G59" s="14">
        <f>JAN!L59</f>
        <v/>
      </c>
      <c r="H59" s="14">
        <f>FEB!L59</f>
        <v/>
      </c>
      <c r="I59" s="14">
        <f>MAR!L59</f>
        <v/>
      </c>
      <c r="J59" s="15">
        <f>IF(COUNT(G59:I59)=0,"",SUM(G59:I59))</f>
        <v/>
      </c>
      <c r="K59" s="14">
        <f>APR!L59</f>
        <v/>
      </c>
      <c r="L59" s="14">
        <f>MAY!L59</f>
        <v/>
      </c>
      <c r="M59" s="14">
        <f>JUN!L59</f>
        <v/>
      </c>
      <c r="N59" s="15">
        <f>IF(COUNT(K59:M59)=0,"",SUM(K59:M59))</f>
        <v/>
      </c>
      <c r="O59" s="14">
        <f>JUL!L59</f>
        <v/>
      </c>
      <c r="P59" s="14">
        <f>AUG!L59</f>
        <v/>
      </c>
      <c r="Q59" s="14">
        <f>SEP!L59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OCT!L60</f>
        <v/>
      </c>
      <c r="D60" s="19">
        <f>NOV!L60</f>
        <v/>
      </c>
      <c r="E60" s="19">
        <f>DEC!L60</f>
        <v/>
      </c>
      <c r="F60" s="20">
        <f>IFERROR(F50/F$55,"")</f>
        <v/>
      </c>
      <c r="G60" s="19">
        <f>JAN!L60</f>
        <v/>
      </c>
      <c r="H60" s="19">
        <f>FEB!L60</f>
        <v/>
      </c>
      <c r="I60" s="19">
        <f>MAR!L60</f>
        <v/>
      </c>
      <c r="J60" s="20">
        <f>IFERROR(J50/J$55,"")</f>
        <v/>
      </c>
      <c r="K60" s="19">
        <f>APR!L60</f>
        <v/>
      </c>
      <c r="L60" s="19">
        <f>MAY!L60</f>
        <v/>
      </c>
      <c r="M60" s="19">
        <f>JUN!L60</f>
        <v/>
      </c>
      <c r="N60" s="20">
        <f>IFERROR(N50/N$55,"")</f>
        <v/>
      </c>
      <c r="O60" s="19">
        <f>JUL!L60</f>
        <v/>
      </c>
      <c r="P60" s="19">
        <f>AUG!L60</f>
        <v/>
      </c>
      <c r="Q60" s="19">
        <f>SEP!L60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OCT!L61</f>
        <v/>
      </c>
      <c r="D61" s="19">
        <f>NOV!L61</f>
        <v/>
      </c>
      <c r="E61" s="19">
        <f>DEC!L61</f>
        <v/>
      </c>
      <c r="F61" s="20">
        <f>IFERROR(F51/F$55,"")</f>
        <v/>
      </c>
      <c r="G61" s="19">
        <f>JAN!L61</f>
        <v/>
      </c>
      <c r="H61" s="19">
        <f>FEB!L61</f>
        <v/>
      </c>
      <c r="I61" s="19">
        <f>MAR!L61</f>
        <v/>
      </c>
      <c r="J61" s="20">
        <f>IFERROR(J51/J$55,"")</f>
        <v/>
      </c>
      <c r="K61" s="19">
        <f>APR!L61</f>
        <v/>
      </c>
      <c r="L61" s="19">
        <f>MAY!L61</f>
        <v/>
      </c>
      <c r="M61" s="19">
        <f>JUN!L61</f>
        <v/>
      </c>
      <c r="N61" s="20">
        <f>IFERROR(N51/N$55,"")</f>
        <v/>
      </c>
      <c r="O61" s="19">
        <f>JUL!L61</f>
        <v/>
      </c>
      <c r="P61" s="19">
        <f>AUG!L61</f>
        <v/>
      </c>
      <c r="Q61" s="19">
        <f>SEP!L61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OCT!L62</f>
        <v/>
      </c>
      <c r="D62" s="19">
        <f>NOV!L62</f>
        <v/>
      </c>
      <c r="E62" s="19">
        <f>DEC!L62</f>
        <v/>
      </c>
      <c r="F62" s="20">
        <f>IFERROR(F52/F$55,"")</f>
        <v/>
      </c>
      <c r="G62" s="19">
        <f>JAN!L62</f>
        <v/>
      </c>
      <c r="H62" s="19">
        <f>FEB!L62</f>
        <v/>
      </c>
      <c r="I62" s="19">
        <f>MAR!L62</f>
        <v/>
      </c>
      <c r="J62" s="20">
        <f>IFERROR(J52/J$55,"")</f>
        <v/>
      </c>
      <c r="K62" s="19">
        <f>APR!L62</f>
        <v/>
      </c>
      <c r="L62" s="19">
        <f>MAY!L62</f>
        <v/>
      </c>
      <c r="M62" s="19">
        <f>JUN!L62</f>
        <v/>
      </c>
      <c r="N62" s="20">
        <f>IFERROR(N52/N$55,"")</f>
        <v/>
      </c>
      <c r="O62" s="19">
        <f>JUL!L62</f>
        <v/>
      </c>
      <c r="P62" s="19">
        <f>AUG!L62</f>
        <v/>
      </c>
      <c r="Q62" s="19">
        <f>SEP!L62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OCT!L63</f>
        <v/>
      </c>
      <c r="D63" s="19">
        <f>NOV!L63</f>
        <v/>
      </c>
      <c r="E63" s="19">
        <f>DEC!L63</f>
        <v/>
      </c>
      <c r="F63" s="20">
        <f>IFERROR(F53/F$55,"")</f>
        <v/>
      </c>
      <c r="G63" s="19">
        <f>JAN!L63</f>
        <v/>
      </c>
      <c r="H63" s="19">
        <f>FEB!L63</f>
        <v/>
      </c>
      <c r="I63" s="19">
        <f>MAR!L63</f>
        <v/>
      </c>
      <c r="J63" s="20">
        <f>IFERROR(J53/J$55,"")</f>
        <v/>
      </c>
      <c r="K63" s="19">
        <f>APR!L63</f>
        <v/>
      </c>
      <c r="L63" s="19">
        <f>MAY!L63</f>
        <v/>
      </c>
      <c r="M63" s="19">
        <f>JUN!L63</f>
        <v/>
      </c>
      <c r="N63" s="20">
        <f>IFERROR(N53/N$55,"")</f>
        <v/>
      </c>
      <c r="O63" s="19">
        <f>JUL!L63</f>
        <v/>
      </c>
      <c r="P63" s="19">
        <f>AUG!L63</f>
        <v/>
      </c>
      <c r="Q63" s="19">
        <f>SEP!L63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OCT!L64</f>
        <v/>
      </c>
      <c r="D64" s="19">
        <f>NOV!L64</f>
        <v/>
      </c>
      <c r="E64" s="19">
        <f>DEC!L64</f>
        <v/>
      </c>
      <c r="F64" s="20">
        <f>IFERROR(F54/F$55,"")</f>
        <v/>
      </c>
      <c r="G64" s="19">
        <f>JAN!L64</f>
        <v/>
      </c>
      <c r="H64" s="19">
        <f>FEB!L64</f>
        <v/>
      </c>
      <c r="I64" s="19">
        <f>MAR!L64</f>
        <v/>
      </c>
      <c r="J64" s="20">
        <f>IFERROR(J54/J$55,"")</f>
        <v/>
      </c>
      <c r="K64" s="19">
        <f>APR!L64</f>
        <v/>
      </c>
      <c r="L64" s="19">
        <f>MAY!L64</f>
        <v/>
      </c>
      <c r="M64" s="19">
        <f>JUN!L64</f>
        <v/>
      </c>
      <c r="N64" s="20">
        <f>IFERROR(N54/N$55,"")</f>
        <v/>
      </c>
      <c r="O64" s="19">
        <f>JUL!L64</f>
        <v/>
      </c>
      <c r="P64" s="19">
        <f>AUG!L64</f>
        <v/>
      </c>
      <c r="Q64" s="19">
        <f>SEP!L64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OCT!L65</f>
        <v/>
      </c>
      <c r="D65" s="19">
        <f>NOV!L65</f>
        <v/>
      </c>
      <c r="E65" s="19">
        <f>DEC!L65</f>
        <v/>
      </c>
      <c r="F65" s="20">
        <f>IFERROR(F56/SUM(C5:E5),"")</f>
        <v/>
      </c>
      <c r="G65" s="19">
        <f>JAN!L65</f>
        <v/>
      </c>
      <c r="H65" s="19">
        <f>FEB!L65</f>
        <v/>
      </c>
      <c r="I65" s="19">
        <f>MAR!L65</f>
        <v/>
      </c>
      <c r="J65" s="20">
        <f>IFERROR(J56/SUM(G5:I5),"")</f>
        <v/>
      </c>
      <c r="K65" s="19">
        <f>APR!L65</f>
        <v/>
      </c>
      <c r="L65" s="19">
        <f>MAY!L65</f>
        <v/>
      </c>
      <c r="M65" s="19">
        <f>JUN!L65</f>
        <v/>
      </c>
      <c r="N65" s="20">
        <f>IFERROR(N56/SUM(K5:M5),"")</f>
        <v/>
      </c>
      <c r="O65" s="19">
        <f>JUL!L65</f>
        <v/>
      </c>
      <c r="P65" s="19">
        <f>AUG!L65</f>
        <v/>
      </c>
      <c r="Q65" s="19">
        <f>SEP!L65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OCT!L66</f>
        <v/>
      </c>
      <c r="D66" s="16">
        <f>NOV!L66</f>
        <v/>
      </c>
      <c r="E66" s="16">
        <f>DEC!L66</f>
        <v/>
      </c>
      <c r="F66" s="17">
        <f>IFERROR(F55/F5,"")</f>
        <v/>
      </c>
      <c r="G66" s="16">
        <f>JAN!L66</f>
        <v/>
      </c>
      <c r="H66" s="16">
        <f>FEB!L66</f>
        <v/>
      </c>
      <c r="I66" s="16">
        <f>MAR!L66</f>
        <v/>
      </c>
      <c r="J66" s="17">
        <f>IFERROR(J55/J5,"")</f>
        <v/>
      </c>
      <c r="K66" s="16">
        <f>APR!L66</f>
        <v/>
      </c>
      <c r="L66" s="16">
        <f>MAY!L66</f>
        <v/>
      </c>
      <c r="M66" s="16">
        <f>JUN!L66</f>
        <v/>
      </c>
      <c r="N66" s="17">
        <f>IFERROR(N55/N5,"")</f>
        <v/>
      </c>
      <c r="O66" s="16">
        <f>JUL!L66</f>
        <v/>
      </c>
      <c r="P66" s="16">
        <f>AUG!L66</f>
        <v/>
      </c>
      <c r="Q66" s="16">
        <f>SEP!L66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OCT!L67</f>
        <v/>
      </c>
      <c r="D67" s="16">
        <f>NOV!L67</f>
        <v/>
      </c>
      <c r="E67" s="16">
        <f>DEC!L67</f>
        <v/>
      </c>
      <c r="F67" s="17">
        <f>IFERROR(F55/F56,"")</f>
        <v/>
      </c>
      <c r="G67" s="16">
        <f>JAN!L67</f>
        <v/>
      </c>
      <c r="H67" s="16">
        <f>FEB!L67</f>
        <v/>
      </c>
      <c r="I67" s="16">
        <f>MAR!L67</f>
        <v/>
      </c>
      <c r="J67" s="17">
        <f>IFERROR(J55/J56,"")</f>
        <v/>
      </c>
      <c r="K67" s="16">
        <f>APR!L67</f>
        <v/>
      </c>
      <c r="L67" s="16">
        <f>MAY!L67</f>
        <v/>
      </c>
      <c r="M67" s="16">
        <f>JUN!L67</f>
        <v/>
      </c>
      <c r="N67" s="17">
        <f>IFERROR(N55/N56,"")</f>
        <v/>
      </c>
      <c r="O67" s="16">
        <f>JUL!L67</f>
        <v/>
      </c>
      <c r="P67" s="16">
        <f>AUG!L67</f>
        <v/>
      </c>
      <c r="Q67" s="16">
        <f>SEP!L67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OCT!L68</f>
        <v/>
      </c>
      <c r="D68" s="16">
        <f>NOV!L68</f>
        <v/>
      </c>
      <c r="E68" s="16">
        <f>DEC!L68</f>
        <v/>
      </c>
      <c r="F68" s="17">
        <f>IF(COUNT(F58:F59)=0,"",IFERROR((N(F58)+N(F59))/F5,""))</f>
        <v/>
      </c>
      <c r="G68" s="16">
        <f>JAN!L68</f>
        <v/>
      </c>
      <c r="H68" s="16">
        <f>FEB!L68</f>
        <v/>
      </c>
      <c r="I68" s="16">
        <f>MAR!L68</f>
        <v/>
      </c>
      <c r="J68" s="17">
        <f>IF(COUNT(J58:J59)=0,"",IFERROR((N(J58)+N(J59))/J5,""))</f>
        <v/>
      </c>
      <c r="K68" s="16">
        <f>APR!L68</f>
        <v/>
      </c>
      <c r="L68" s="16">
        <f>MAY!L68</f>
        <v/>
      </c>
      <c r="M68" s="16">
        <f>JUN!L68</f>
        <v/>
      </c>
      <c r="N68" s="17">
        <f>IF(COUNT(N58:N59)=0,"",IFERROR((N(N58)+N(N59))/N5,""))</f>
        <v/>
      </c>
      <c r="O68" s="16">
        <f>JUL!L68</f>
        <v/>
      </c>
      <c r="P68" s="16">
        <f>AUG!L68</f>
        <v/>
      </c>
      <c r="Q68" s="16">
        <f>SEP!L68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OCT!L69</f>
        <v/>
      </c>
      <c r="D69" s="16">
        <f>NOV!L69</f>
        <v/>
      </c>
      <c r="E69" s="16">
        <f>DEC!L69</f>
        <v/>
      </c>
      <c r="F69" s="17">
        <f>IF(COUNT(F58:F59)=0,"",IFERROR((N(F58)+N(F59))/F56,""))</f>
        <v/>
      </c>
      <c r="G69" s="16">
        <f>JAN!L69</f>
        <v/>
      </c>
      <c r="H69" s="16">
        <f>FEB!L69</f>
        <v/>
      </c>
      <c r="I69" s="16">
        <f>MAR!L69</f>
        <v/>
      </c>
      <c r="J69" s="17">
        <f>IF(COUNT(J58:J59)=0,"",IFERROR((N(J58)+N(J59))/J56,""))</f>
        <v/>
      </c>
      <c r="K69" s="16">
        <f>APR!L69</f>
        <v/>
      </c>
      <c r="L69" s="16">
        <f>MAY!L69</f>
        <v/>
      </c>
      <c r="M69" s="16">
        <f>JUN!L69</f>
        <v/>
      </c>
      <c r="N69" s="17">
        <f>IF(COUNT(N58:N59)=0,"",IFERROR((N(N58)+N(N59))/N56,""))</f>
        <v/>
      </c>
      <c r="O69" s="16">
        <f>JUL!L69</f>
        <v/>
      </c>
      <c r="P69" s="16">
        <f>AUG!L69</f>
        <v/>
      </c>
      <c r="Q69" s="16">
        <f>SEP!L69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OCT!L70</f>
        <v/>
      </c>
      <c r="D70" s="14">
        <f>NOV!L70</f>
        <v/>
      </c>
      <c r="E70" s="14">
        <f>DEC!L70</f>
        <v/>
      </c>
      <c r="F70" s="14">
        <f>SUM(C70:E70)</f>
        <v/>
      </c>
      <c r="G70" s="14">
        <f>JAN!L70</f>
        <v/>
      </c>
      <c r="H70" s="14">
        <f>FEB!L70</f>
        <v/>
      </c>
      <c r="I70" s="14">
        <f>MAR!L70</f>
        <v/>
      </c>
      <c r="J70" s="14">
        <f>SUM(G70:I70)</f>
        <v/>
      </c>
      <c r="K70" s="14">
        <f>APR!L70</f>
        <v/>
      </c>
      <c r="L70" s="14">
        <f>MAY!L70</f>
        <v/>
      </c>
      <c r="M70" s="14">
        <f>JUN!L70</f>
        <v/>
      </c>
      <c r="N70" s="14">
        <f>SUM(K70:M70)</f>
        <v/>
      </c>
      <c r="O70" s="14">
        <f>JUL!L70</f>
        <v/>
      </c>
      <c r="P70" s="14">
        <f>AUG!L70</f>
        <v/>
      </c>
      <c r="Q70" s="14">
        <f>SEP!L70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IF('(GEL_Holding)'!$AB$4="","",'(GEL_Holding)'!$AB$4)</f>
        <v/>
      </c>
      <c r="D39" s="14">
        <f>IF('(Dom_CLC)'!$AB$4="","",'(Dom_CLC)'!$AB$4)</f>
        <v/>
      </c>
      <c r="E39" s="14">
        <f>IF('(Car_Label)'!$AB$4="","",'(Car_Label)'!$AB$4)</f>
        <v/>
      </c>
      <c r="F39" s="14">
        <f>IF('(Ecuakao)'!$AB$4="","",'(Ecuakao)'!$AB$4)</f>
        <v/>
      </c>
      <c r="G39" s="14">
        <f>IF('(Hipac)'!$AB$4="","",'(Hipac)'!$AB$4)</f>
        <v/>
      </c>
      <c r="H39" s="14">
        <f>IF('(Jam_Label)'!$AB$4="","",'(Jam_Label)'!$AB$4)</f>
        <v/>
      </c>
      <c r="I39" s="14">
        <f>IF('(Mc_Bride)'!$AB$4="","",'(Mc_Bride)'!$AB$4)</f>
        <v/>
      </c>
      <c r="J39" s="14">
        <f>IF('(Precision)'!$AB$4="","",'(Precision)'!$AB$4)</f>
        <v/>
      </c>
      <c r="K39" s="14">
        <f>IF('(Purity)'!$AB$4="","",'(Purity)'!$AB$4)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IF('(GEL_Holding)'!$AD$4="","",'(GEL_Holding)'!$AD$4)</f>
        <v/>
      </c>
      <c r="D40" s="14">
        <f>IF('(Dom_CLC)'!$AD$4="","",'(Dom_CLC)'!$AD$4)</f>
        <v/>
      </c>
      <c r="E40" s="14">
        <f>IF('(Car_Label)'!$AD$4="","",'(Car_Label)'!$AD$4)</f>
        <v/>
      </c>
      <c r="F40" s="14">
        <f>IF('(Ecuakao)'!$AD$4="","",'(Ecuakao)'!$AD$4)</f>
        <v/>
      </c>
      <c r="G40" s="14">
        <f>IF('(Hipac)'!$AD$4="","",'(Hipac)'!$AD$4)</f>
        <v/>
      </c>
      <c r="H40" s="14">
        <f>IF('(Jam_Label)'!$AD$4="","",'(Jam_Label)'!$AD$4)</f>
        <v/>
      </c>
      <c r="I40" s="14">
        <f>IF('(Mc_Bride)'!$AD$4="","",'(Mc_Bride)'!$AD$4)</f>
        <v/>
      </c>
      <c r="J40" s="14">
        <f>IF('(Precision)'!$AD$4="","",'(Precision)'!$AD$4)</f>
        <v/>
      </c>
      <c r="K40" s="14">
        <f>IF('(Purity)'!$AD$4="","",'(Purity)'!$AD$4)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IF('(GEL_Holding)'!$G$4="","",'(GEL_Holding)'!$G$4)</f>
        <v/>
      </c>
      <c r="D46" s="19">
        <f>IF('(Dom_CLC)'!$G$4="","",'(Dom_CLC)'!$G$4)</f>
        <v/>
      </c>
      <c r="E46" s="19">
        <f>IF('(Car_Label)'!$G$4="","",'(Car_Label)'!$G$4)</f>
        <v/>
      </c>
      <c r="F46" s="19">
        <f>IF('(Ecuakao)'!$G$4="","",'(Ecuakao)'!$G$4)</f>
        <v/>
      </c>
      <c r="G46" s="19">
        <f>IF('(Hipac)'!$G$4="","",'(Hipac)'!$G$4)</f>
        <v/>
      </c>
      <c r="H46" s="19">
        <f>IF('(Jam_Label)'!$G$4="","",'(Jam_Label)'!$G$4)</f>
        <v/>
      </c>
      <c r="I46" s="19">
        <f>IF('(Mc_Bride)'!$G$4="","",'(Mc_Bride)'!$G$4)</f>
        <v/>
      </c>
      <c r="J46" s="19">
        <f>IF('(Precision)'!$G$4="","",'(Precision)'!$G$4)</f>
        <v/>
      </c>
      <c r="K46" s="19">
        <f>IF('(Purity)'!$G$4="","",'(Purity)'!$G$4)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IF('(GEL_Holding)'!$O$4="","",'(GEL_Holding)'!$O$4)</f>
        <v/>
      </c>
      <c r="D47" s="19">
        <f>IF('(Dom_CLC)'!$O$4="","",'(Dom_CLC)'!$O$4)</f>
        <v/>
      </c>
      <c r="E47" s="19">
        <f>IF('(Car_Label)'!$O$4="","",'(Car_Label)'!$O$4)</f>
        <v/>
      </c>
      <c r="F47" s="19">
        <f>IF('(Ecuakao)'!$O$4="","",'(Ecuakao)'!$O$4)</f>
        <v/>
      </c>
      <c r="G47" s="19">
        <f>IF('(Hipac)'!$O$4="","",'(Hipac)'!$O$4)</f>
        <v/>
      </c>
      <c r="H47" s="19">
        <f>IF('(Jam_Label)'!$O$4="","",'(Jam_Label)'!$O$4)</f>
        <v/>
      </c>
      <c r="I47" s="19">
        <f>IF('(Mc_Bride)'!$O$4="","",'(Mc_Bride)'!$O$4)</f>
        <v/>
      </c>
      <c r="J47" s="19">
        <f>IF('(Precision)'!$O$4="","",'(Precision)'!$O$4)</f>
        <v/>
      </c>
      <c r="K47" s="19">
        <f>IF('(Purity)'!$O$4="","",'(Purity)'!$O$4)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11">
        <f>IF(OCT!J5="","",OCT!J5)</f>
        <v/>
      </c>
      <c r="K31" s="11">
        <f>IF(OCT!K5="","",OCT!K5)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IF('(GEL_Holding)'!$AB$5="","",'(GEL_Holding)'!$AB$5)</f>
        <v/>
      </c>
      <c r="D39" s="14">
        <f>IF('(Dom_CLC)'!$AB$5="","",'(Dom_CLC)'!$AB$5)</f>
        <v/>
      </c>
      <c r="E39" s="14">
        <f>IF('(Car_Label)'!$AB$5="","",'(Car_Label)'!$AB$5)</f>
        <v/>
      </c>
      <c r="F39" s="14">
        <f>IF('(Ecuakao)'!$AB$5="","",'(Ecuakao)'!$AB$5)</f>
        <v/>
      </c>
      <c r="G39" s="14">
        <f>IF('(Hipac)'!$AB$5="","",'(Hipac)'!$AB$5)</f>
        <v/>
      </c>
      <c r="H39" s="14">
        <f>IF('(Jam_Label)'!$AB$5="","",'(Jam_Label)'!$AB$5)</f>
        <v/>
      </c>
      <c r="I39" s="14">
        <f>IF('(Mc_Bride)'!$AB$5="","",'(Mc_Bride)'!$AB$5)</f>
        <v/>
      </c>
      <c r="J39" s="14">
        <f>IF('(Precision)'!$AB$5="","",'(Precision)'!$AB$5)</f>
        <v/>
      </c>
      <c r="K39" s="14">
        <f>IF('(Purity)'!$AB$5="","",'(Purity)'!$AB$5)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IF('(GEL_Holding)'!$AD$5="","",'(GEL_Holding)'!$AD$5)</f>
        <v/>
      </c>
      <c r="D40" s="14">
        <f>IF('(Dom_CLC)'!$AD$5="","",'(Dom_CLC)'!$AD$5)</f>
        <v/>
      </c>
      <c r="E40" s="14">
        <f>IF('(Car_Label)'!$AD$5="","",'(Car_Label)'!$AD$5)</f>
        <v/>
      </c>
      <c r="F40" s="14">
        <f>IF('(Ecuakao)'!$AD$5="","",'(Ecuakao)'!$AD$5)</f>
        <v/>
      </c>
      <c r="G40" s="14">
        <f>IF('(Hipac)'!$AD$5="","",'(Hipac)'!$AD$5)</f>
        <v/>
      </c>
      <c r="H40" s="14">
        <f>IF('(Jam_Label)'!$AD$5="","",'(Jam_Label)'!$AD$5)</f>
        <v/>
      </c>
      <c r="I40" s="14">
        <f>IF('(Mc_Bride)'!$AD$5="","",'(Mc_Bride)'!$AD$5)</f>
        <v/>
      </c>
      <c r="J40" s="14">
        <f>IF('(Precision)'!$AD$5="","",'(Precision)'!$AD$5)</f>
        <v/>
      </c>
      <c r="K40" s="14">
        <f>IF('(Purity)'!$AD$5="","",'(Purity)'!$AD$5)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IF('(GEL_Holding)'!$G$5="","",'(GEL_Holding)'!$G$5)</f>
        <v/>
      </c>
      <c r="D46" s="19">
        <f>IF('(Dom_CLC)'!$G$5="","",'(Dom_CLC)'!$G$5)</f>
        <v/>
      </c>
      <c r="E46" s="19">
        <f>IF('(Car_Label)'!$G$5="","",'(Car_Label)'!$G$5)</f>
        <v/>
      </c>
      <c r="F46" s="19">
        <f>IF('(Ecuakao)'!$G$5="","",'(Ecuakao)'!$G$5)</f>
        <v/>
      </c>
      <c r="G46" s="19">
        <f>IF('(Hipac)'!$G$5="","",'(Hipac)'!$G$5)</f>
        <v/>
      </c>
      <c r="H46" s="19">
        <f>IF('(Jam_Label)'!$G$5="","",'(Jam_Label)'!$G$5)</f>
        <v/>
      </c>
      <c r="I46" s="19">
        <f>IF('(Mc_Bride)'!$G$5="","",'(Mc_Bride)'!$G$5)</f>
        <v/>
      </c>
      <c r="J46" s="19">
        <f>IF('(Precision)'!$G$5="","",'(Precision)'!$G$5)</f>
        <v/>
      </c>
      <c r="K46" s="19">
        <f>IF('(Purity)'!$G$5="","",'(Purity)'!$G$5)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IF('(GEL_Holding)'!$O$5="","",'(GEL_Holding)'!$O$5)</f>
        <v/>
      </c>
      <c r="D47" s="19">
        <f>IF('(Dom_CLC)'!$O$5="","",'(Dom_CLC)'!$O$5)</f>
        <v/>
      </c>
      <c r="E47" s="19">
        <f>IF('(Car_Label)'!$O$5="","",'(Car_Label)'!$O$5)</f>
        <v/>
      </c>
      <c r="F47" s="19">
        <f>IF('(Ecuakao)'!$O$5="","",'(Ecuakao)'!$O$5)</f>
        <v/>
      </c>
      <c r="G47" s="19">
        <f>IF('(Hipac)'!$O$5="","",'(Hipac)'!$O$5)</f>
        <v/>
      </c>
      <c r="H47" s="19">
        <f>IF('(Jam_Label)'!$O$5="","",'(Jam_Label)'!$O$5)</f>
        <v/>
      </c>
      <c r="I47" s="19">
        <f>IF('(Mc_Bride)'!$O$5="","",'(Mc_Bride)'!$O$5)</f>
        <v/>
      </c>
      <c r="J47" s="19">
        <f>IF('(Precision)'!$O$5="","",'(Precision)'!$O$5)</f>
        <v/>
      </c>
      <c r="K47" s="19">
        <f>IF('(Purity)'!$O$5="","",'(Purity)'!$O$5)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11">
        <f>IF(NOV!J5="","",NOV!J5)</f>
        <v/>
      </c>
      <c r="K31" s="11">
        <f>IF(NOV!K5="","",NOV!K5)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IF('(GEL_Holding)'!$AB$6="","",'(GEL_Holding)'!$AB$6)</f>
        <v/>
      </c>
      <c r="D39" s="14">
        <f>IF('(Dom_CLC)'!$AB$6="","",'(Dom_CLC)'!$AB$6)</f>
        <v/>
      </c>
      <c r="E39" s="14">
        <f>IF('(Car_Label)'!$AB$6="","",'(Car_Label)'!$AB$6)</f>
        <v/>
      </c>
      <c r="F39" s="14">
        <f>IF('(Ecuakao)'!$AB$6="","",'(Ecuakao)'!$AB$6)</f>
        <v/>
      </c>
      <c r="G39" s="14">
        <f>IF('(Hipac)'!$AB$6="","",'(Hipac)'!$AB$6)</f>
        <v/>
      </c>
      <c r="H39" s="14">
        <f>IF('(Jam_Label)'!$AB$6="","",'(Jam_Label)'!$AB$6)</f>
        <v/>
      </c>
      <c r="I39" s="14">
        <f>IF('(Mc_Bride)'!$AB$6="","",'(Mc_Bride)'!$AB$6)</f>
        <v/>
      </c>
      <c r="J39" s="14">
        <f>IF('(Precision)'!$AB$6="","",'(Precision)'!$AB$6)</f>
        <v/>
      </c>
      <c r="K39" s="14">
        <f>IF('(Purity)'!$AB$6="","",'(Purity)'!$AB$6)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IF('(GEL_Holding)'!$AD$6="","",'(GEL_Holding)'!$AD$6)</f>
        <v/>
      </c>
      <c r="D40" s="14">
        <f>IF('(Dom_CLC)'!$AD$6="","",'(Dom_CLC)'!$AD$6)</f>
        <v/>
      </c>
      <c r="E40" s="14">
        <f>IF('(Car_Label)'!$AD$6="","",'(Car_Label)'!$AD$6)</f>
        <v/>
      </c>
      <c r="F40" s="14">
        <f>IF('(Ecuakao)'!$AD$6="","",'(Ecuakao)'!$AD$6)</f>
        <v/>
      </c>
      <c r="G40" s="14">
        <f>IF('(Hipac)'!$AD$6="","",'(Hipac)'!$AD$6)</f>
        <v/>
      </c>
      <c r="H40" s="14">
        <f>IF('(Jam_Label)'!$AD$6="","",'(Jam_Label)'!$AD$6)</f>
        <v/>
      </c>
      <c r="I40" s="14">
        <f>IF('(Mc_Bride)'!$AD$6="","",'(Mc_Bride)'!$AD$6)</f>
        <v/>
      </c>
      <c r="J40" s="14">
        <f>IF('(Precision)'!$AD$6="","",'(Precision)'!$AD$6)</f>
        <v/>
      </c>
      <c r="K40" s="14">
        <f>IF('(Purity)'!$AD$6="","",'(Purity)'!$AD$6)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IF('(GEL_Holding)'!$G$6="","",'(GEL_Holding)'!$G$6)</f>
        <v/>
      </c>
      <c r="D46" s="19">
        <f>IF('(Dom_CLC)'!$G$6="","",'(Dom_CLC)'!$G$6)</f>
        <v/>
      </c>
      <c r="E46" s="19">
        <f>IF('(Car_Label)'!$G$6="","",'(Car_Label)'!$G$6)</f>
        <v/>
      </c>
      <c r="F46" s="19">
        <f>IF('(Ecuakao)'!$G$6="","",'(Ecuakao)'!$G$6)</f>
        <v/>
      </c>
      <c r="G46" s="19">
        <f>IF('(Hipac)'!$G$6="","",'(Hipac)'!$G$6)</f>
        <v/>
      </c>
      <c r="H46" s="19">
        <f>IF('(Jam_Label)'!$G$6="","",'(Jam_Label)'!$G$6)</f>
        <v/>
      </c>
      <c r="I46" s="19">
        <f>IF('(Mc_Bride)'!$G$6="","",'(Mc_Bride)'!$G$6)</f>
        <v/>
      </c>
      <c r="J46" s="19">
        <f>IF('(Precision)'!$G$6="","",'(Precision)'!$G$6)</f>
        <v/>
      </c>
      <c r="K46" s="19">
        <f>IF('(Purity)'!$G$6="","",'(Purity)'!$G$6)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IF('(GEL_Holding)'!$O$6="","",'(GEL_Holding)'!$O$6)</f>
        <v/>
      </c>
      <c r="D47" s="19">
        <f>IF('(Dom_CLC)'!$O$6="","",'(Dom_CLC)'!$O$6)</f>
        <v/>
      </c>
      <c r="E47" s="19">
        <f>IF('(Car_Label)'!$O$6="","",'(Car_Label)'!$O$6)</f>
        <v/>
      </c>
      <c r="F47" s="19">
        <f>IF('(Ecuakao)'!$O$6="","",'(Ecuakao)'!$O$6)</f>
        <v/>
      </c>
      <c r="G47" s="19">
        <f>IF('(Hipac)'!$O$6="","",'(Hipac)'!$O$6)</f>
        <v/>
      </c>
      <c r="H47" s="19">
        <f>IF('(Jam_Label)'!$O$6="","",'(Jam_Label)'!$O$6)</f>
        <v/>
      </c>
      <c r="I47" s="19">
        <f>IF('(Mc_Bride)'!$O$6="","",'(Mc_Bride)'!$O$6)</f>
        <v/>
      </c>
      <c r="J47" s="19">
        <f>IF('(Precision)'!$O$6="","",'(Precision)'!$O$6)</f>
        <v/>
      </c>
      <c r="K47" s="19">
        <f>IF('(Purity)'!$O$6="","",'(Purity)'!$O$6)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11">
        <f>IF(DEC!J5="","",DEC!J5)</f>
        <v/>
      </c>
      <c r="K31" s="11">
        <f>IF(DEC!K5="","",DEC!K5)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IF('(GEL_Holding)'!$AB$7="","",'(GEL_Holding)'!$AB$7)</f>
        <v/>
      </c>
      <c r="D39" s="14">
        <f>IF('(Dom_CLC)'!$AB$7="","",'(Dom_CLC)'!$AB$7)</f>
        <v/>
      </c>
      <c r="E39" s="14">
        <f>IF('(Car_Label)'!$AB$7="","",'(Car_Label)'!$AB$7)</f>
        <v/>
      </c>
      <c r="F39" s="14">
        <f>IF('(Ecuakao)'!$AB$7="","",'(Ecuakao)'!$AB$7)</f>
        <v/>
      </c>
      <c r="G39" s="14">
        <f>IF('(Hipac)'!$AB$7="","",'(Hipac)'!$AB$7)</f>
        <v/>
      </c>
      <c r="H39" s="14">
        <f>IF('(Jam_Label)'!$AB$7="","",'(Jam_Label)'!$AB$7)</f>
        <v/>
      </c>
      <c r="I39" s="14">
        <f>IF('(Mc_Bride)'!$AB$7="","",'(Mc_Bride)'!$AB$7)</f>
        <v/>
      </c>
      <c r="J39" s="14">
        <f>IF('(Precision)'!$AB$7="","",'(Precision)'!$AB$7)</f>
        <v/>
      </c>
      <c r="K39" s="14">
        <f>IF('(Purity)'!$AB$7="","",'(Purity)'!$AB$7)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IF('(GEL_Holding)'!$AD$7="","",'(GEL_Holding)'!$AD$7)</f>
        <v/>
      </c>
      <c r="D40" s="14">
        <f>IF('(Dom_CLC)'!$AD$7="","",'(Dom_CLC)'!$AD$7)</f>
        <v/>
      </c>
      <c r="E40" s="14">
        <f>IF('(Car_Label)'!$AD$7="","",'(Car_Label)'!$AD$7)</f>
        <v/>
      </c>
      <c r="F40" s="14">
        <f>IF('(Ecuakao)'!$AD$7="","",'(Ecuakao)'!$AD$7)</f>
        <v/>
      </c>
      <c r="G40" s="14">
        <f>IF('(Hipac)'!$AD$7="","",'(Hipac)'!$AD$7)</f>
        <v/>
      </c>
      <c r="H40" s="14">
        <f>IF('(Jam_Label)'!$AD$7="","",'(Jam_Label)'!$AD$7)</f>
        <v/>
      </c>
      <c r="I40" s="14">
        <f>IF('(Mc_Bride)'!$AD$7="","",'(Mc_Bride)'!$AD$7)</f>
        <v/>
      </c>
      <c r="J40" s="14">
        <f>IF('(Precision)'!$AD$7="","",'(Precision)'!$AD$7)</f>
        <v/>
      </c>
      <c r="K40" s="14">
        <f>IF('(Purity)'!$AD$7="","",'(Purity)'!$AD$7)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IF('(GEL_Holding)'!$G$7="","",'(GEL_Holding)'!$G$7)</f>
        <v/>
      </c>
      <c r="D46" s="19">
        <f>IF('(Dom_CLC)'!$G$7="","",'(Dom_CLC)'!$G$7)</f>
        <v/>
      </c>
      <c r="E46" s="19">
        <f>IF('(Car_Label)'!$G$7="","",'(Car_Label)'!$G$7)</f>
        <v/>
      </c>
      <c r="F46" s="19">
        <f>IF('(Ecuakao)'!$G$7="","",'(Ecuakao)'!$G$7)</f>
        <v/>
      </c>
      <c r="G46" s="19">
        <f>IF('(Hipac)'!$G$7="","",'(Hipac)'!$G$7)</f>
        <v/>
      </c>
      <c r="H46" s="19">
        <f>IF('(Jam_Label)'!$G$7="","",'(Jam_Label)'!$G$7)</f>
        <v/>
      </c>
      <c r="I46" s="19">
        <f>IF('(Mc_Bride)'!$G$7="","",'(Mc_Bride)'!$G$7)</f>
        <v/>
      </c>
      <c r="J46" s="19">
        <f>IF('(Precision)'!$G$7="","",'(Precision)'!$G$7)</f>
        <v/>
      </c>
      <c r="K46" s="19">
        <f>IF('(Purity)'!$G$7="","",'(Purity)'!$G$7)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IF('(GEL_Holding)'!$O$7="","",'(GEL_Holding)'!$O$7)</f>
        <v/>
      </c>
      <c r="D47" s="19">
        <f>IF('(Dom_CLC)'!$O$7="","",'(Dom_CLC)'!$O$7)</f>
        <v/>
      </c>
      <c r="E47" s="19">
        <f>IF('(Car_Label)'!$O$7="","",'(Car_Label)'!$O$7)</f>
        <v/>
      </c>
      <c r="F47" s="19">
        <f>IF('(Ecuakao)'!$O$7="","",'(Ecuakao)'!$O$7)</f>
        <v/>
      </c>
      <c r="G47" s="19">
        <f>IF('(Hipac)'!$O$7="","",'(Hipac)'!$O$7)</f>
        <v/>
      </c>
      <c r="H47" s="19">
        <f>IF('(Jam_Label)'!$O$7="","",'(Jam_Label)'!$O$7)</f>
        <v/>
      </c>
      <c r="I47" s="19">
        <f>IF('(Mc_Bride)'!$O$7="","",'(Mc_Bride)'!$O$7)</f>
        <v/>
      </c>
      <c r="J47" s="19">
        <f>IF('(Precision)'!$O$7="","",'(Precision)'!$O$7)</f>
        <v/>
      </c>
      <c r="K47" s="19">
        <f>IF('(Purity)'!$O$7="","",'(Purity)'!$O$7)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11">
        <f>IF(JAN!J5="","",JAN!J5)</f>
        <v/>
      </c>
      <c r="K31" s="11">
        <f>IF(JAN!K5="","",JAN!K5)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IF('(GEL_Holding)'!$AB$8="","",'(GEL_Holding)'!$AB$8)</f>
        <v/>
      </c>
      <c r="D39" s="14">
        <f>IF('(Dom_CLC)'!$AB$8="","",'(Dom_CLC)'!$AB$8)</f>
        <v/>
      </c>
      <c r="E39" s="14">
        <f>IF('(Car_Label)'!$AB$8="","",'(Car_Label)'!$AB$8)</f>
        <v/>
      </c>
      <c r="F39" s="14">
        <f>IF('(Ecuakao)'!$AB$8="","",'(Ecuakao)'!$AB$8)</f>
        <v/>
      </c>
      <c r="G39" s="14">
        <f>IF('(Hipac)'!$AB$8="","",'(Hipac)'!$AB$8)</f>
        <v/>
      </c>
      <c r="H39" s="14">
        <f>IF('(Jam_Label)'!$AB$8="","",'(Jam_Label)'!$AB$8)</f>
        <v/>
      </c>
      <c r="I39" s="14">
        <f>IF('(Mc_Bride)'!$AB$8="","",'(Mc_Bride)'!$AB$8)</f>
        <v/>
      </c>
      <c r="J39" s="14">
        <f>IF('(Precision)'!$AB$8="","",'(Precision)'!$AB$8)</f>
        <v/>
      </c>
      <c r="K39" s="14">
        <f>IF('(Purity)'!$AB$8="","",'(Purity)'!$AB$8)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IF('(GEL_Holding)'!$AD$8="","",'(GEL_Holding)'!$AD$8)</f>
        <v/>
      </c>
      <c r="D40" s="14">
        <f>IF('(Dom_CLC)'!$AD$8="","",'(Dom_CLC)'!$AD$8)</f>
        <v/>
      </c>
      <c r="E40" s="14">
        <f>IF('(Car_Label)'!$AD$8="","",'(Car_Label)'!$AD$8)</f>
        <v/>
      </c>
      <c r="F40" s="14">
        <f>IF('(Ecuakao)'!$AD$8="","",'(Ecuakao)'!$AD$8)</f>
        <v/>
      </c>
      <c r="G40" s="14">
        <f>IF('(Hipac)'!$AD$8="","",'(Hipac)'!$AD$8)</f>
        <v/>
      </c>
      <c r="H40" s="14">
        <f>IF('(Jam_Label)'!$AD$8="","",'(Jam_Label)'!$AD$8)</f>
        <v/>
      </c>
      <c r="I40" s="14">
        <f>IF('(Mc_Bride)'!$AD$8="","",'(Mc_Bride)'!$AD$8)</f>
        <v/>
      </c>
      <c r="J40" s="14">
        <f>IF('(Precision)'!$AD$8="","",'(Precision)'!$AD$8)</f>
        <v/>
      </c>
      <c r="K40" s="14">
        <f>IF('(Purity)'!$AD$8="","",'(Purity)'!$AD$8)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IF('(GEL_Holding)'!$G$8="","",'(GEL_Holding)'!$G$8)</f>
        <v/>
      </c>
      <c r="D46" s="19">
        <f>IF('(Dom_CLC)'!$G$8="","",'(Dom_CLC)'!$G$8)</f>
        <v/>
      </c>
      <c r="E46" s="19">
        <f>IF('(Car_Label)'!$G$8="","",'(Car_Label)'!$G$8)</f>
        <v/>
      </c>
      <c r="F46" s="19">
        <f>IF('(Ecuakao)'!$G$8="","",'(Ecuakao)'!$G$8)</f>
        <v/>
      </c>
      <c r="G46" s="19">
        <f>IF('(Hipac)'!$G$8="","",'(Hipac)'!$G$8)</f>
        <v/>
      </c>
      <c r="H46" s="19">
        <f>IF('(Jam_Label)'!$G$8="","",'(Jam_Label)'!$G$8)</f>
        <v/>
      </c>
      <c r="I46" s="19">
        <f>IF('(Mc_Bride)'!$G$8="","",'(Mc_Bride)'!$G$8)</f>
        <v/>
      </c>
      <c r="J46" s="19">
        <f>IF('(Precision)'!$G$8="","",'(Precision)'!$G$8)</f>
        <v/>
      </c>
      <c r="K46" s="19">
        <f>IF('(Purity)'!$G$8="","",'(Purity)'!$G$8)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IF('(GEL_Holding)'!$O$8="","",'(GEL_Holding)'!$O$8)</f>
        <v/>
      </c>
      <c r="D47" s="19">
        <f>IF('(Dom_CLC)'!$O$8="","",'(Dom_CLC)'!$O$8)</f>
        <v/>
      </c>
      <c r="E47" s="19">
        <f>IF('(Car_Label)'!$O$8="","",'(Car_Label)'!$O$8)</f>
        <v/>
      </c>
      <c r="F47" s="19">
        <f>IF('(Ecuakao)'!$O$8="","",'(Ecuakao)'!$O$8)</f>
        <v/>
      </c>
      <c r="G47" s="19">
        <f>IF('(Hipac)'!$O$8="","",'(Hipac)'!$O$8)</f>
        <v/>
      </c>
      <c r="H47" s="19">
        <f>IF('(Jam_Label)'!$O$8="","",'(Jam_Label)'!$O$8)</f>
        <v/>
      </c>
      <c r="I47" s="19">
        <f>IF('(Mc_Bride)'!$O$8="","",'(Mc_Bride)'!$O$8)</f>
        <v/>
      </c>
      <c r="J47" s="19">
        <f>IF('(Precision)'!$O$8="","",'(Precision)'!$O$8)</f>
        <v/>
      </c>
      <c r="K47" s="19">
        <f>IF('(Purity)'!$O$8="","",'(Purity)'!$O$8)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11">
        <f>IF(FEB!J5="","",FEB!J5)</f>
        <v/>
      </c>
      <c r="K31" s="11">
        <f>IF(FEB!K5="","",FEB!K5)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IF('(GEL_Holding)'!$AB$9="","",'(GEL_Holding)'!$AB$9)</f>
        <v/>
      </c>
      <c r="D39" s="14">
        <f>IF('(Dom_CLC)'!$AB$9="","",'(Dom_CLC)'!$AB$9)</f>
        <v/>
      </c>
      <c r="E39" s="14">
        <f>IF('(Car_Label)'!$AB$9="","",'(Car_Label)'!$AB$9)</f>
        <v/>
      </c>
      <c r="F39" s="14">
        <f>IF('(Ecuakao)'!$AB$9="","",'(Ecuakao)'!$AB$9)</f>
        <v/>
      </c>
      <c r="G39" s="14">
        <f>IF('(Hipac)'!$AB$9="","",'(Hipac)'!$AB$9)</f>
        <v/>
      </c>
      <c r="H39" s="14">
        <f>IF('(Jam_Label)'!$AB$9="","",'(Jam_Label)'!$AB$9)</f>
        <v/>
      </c>
      <c r="I39" s="14">
        <f>IF('(Mc_Bride)'!$AB$9="","",'(Mc_Bride)'!$AB$9)</f>
        <v/>
      </c>
      <c r="J39" s="14">
        <f>IF('(Precision)'!$AB$9="","",'(Precision)'!$AB$9)</f>
        <v/>
      </c>
      <c r="K39" s="14">
        <f>IF('(Purity)'!$AB$9="","",'(Purity)'!$AB$9)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IF('(GEL_Holding)'!$AD$9="","",'(GEL_Holding)'!$AD$9)</f>
        <v/>
      </c>
      <c r="D40" s="14">
        <f>IF('(Dom_CLC)'!$AD$9="","",'(Dom_CLC)'!$AD$9)</f>
        <v/>
      </c>
      <c r="E40" s="14">
        <f>IF('(Car_Label)'!$AD$9="","",'(Car_Label)'!$AD$9)</f>
        <v/>
      </c>
      <c r="F40" s="14">
        <f>IF('(Ecuakao)'!$AD$9="","",'(Ecuakao)'!$AD$9)</f>
        <v/>
      </c>
      <c r="G40" s="14">
        <f>IF('(Hipac)'!$AD$9="","",'(Hipac)'!$AD$9)</f>
        <v/>
      </c>
      <c r="H40" s="14">
        <f>IF('(Jam_Label)'!$AD$9="","",'(Jam_Label)'!$AD$9)</f>
        <v/>
      </c>
      <c r="I40" s="14">
        <f>IF('(Mc_Bride)'!$AD$9="","",'(Mc_Bride)'!$AD$9)</f>
        <v/>
      </c>
      <c r="J40" s="14">
        <f>IF('(Precision)'!$AD$9="","",'(Precision)'!$AD$9)</f>
        <v/>
      </c>
      <c r="K40" s="14">
        <f>IF('(Purity)'!$AD$9="","",'(Purity)'!$AD$9)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IF('(GEL_Holding)'!$G$9="","",'(GEL_Holding)'!$G$9)</f>
        <v/>
      </c>
      <c r="D46" s="19">
        <f>IF('(Dom_CLC)'!$G$9="","",'(Dom_CLC)'!$G$9)</f>
        <v/>
      </c>
      <c r="E46" s="19">
        <f>IF('(Car_Label)'!$G$9="","",'(Car_Label)'!$G$9)</f>
        <v/>
      </c>
      <c r="F46" s="19">
        <f>IF('(Ecuakao)'!$G$9="","",'(Ecuakao)'!$G$9)</f>
        <v/>
      </c>
      <c r="G46" s="19">
        <f>IF('(Hipac)'!$G$9="","",'(Hipac)'!$G$9)</f>
        <v/>
      </c>
      <c r="H46" s="19">
        <f>IF('(Jam_Label)'!$G$9="","",'(Jam_Label)'!$G$9)</f>
        <v/>
      </c>
      <c r="I46" s="19">
        <f>IF('(Mc_Bride)'!$G$9="","",'(Mc_Bride)'!$G$9)</f>
        <v/>
      </c>
      <c r="J46" s="19">
        <f>IF('(Precision)'!$G$9="","",'(Precision)'!$G$9)</f>
        <v/>
      </c>
      <c r="K46" s="19">
        <f>IF('(Purity)'!$G$9="","",'(Purity)'!$G$9)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IF('(GEL_Holding)'!$O$9="","",'(GEL_Holding)'!$O$9)</f>
        <v/>
      </c>
      <c r="D47" s="19">
        <f>IF('(Dom_CLC)'!$O$9="","",'(Dom_CLC)'!$O$9)</f>
        <v/>
      </c>
      <c r="E47" s="19">
        <f>IF('(Car_Label)'!$O$9="","",'(Car_Label)'!$O$9)</f>
        <v/>
      </c>
      <c r="F47" s="19">
        <f>IF('(Ecuakao)'!$O$9="","",'(Ecuakao)'!$O$9)</f>
        <v/>
      </c>
      <c r="G47" s="19">
        <f>IF('(Hipac)'!$O$9="","",'(Hipac)'!$O$9)</f>
        <v/>
      </c>
      <c r="H47" s="19">
        <f>IF('(Jam_Label)'!$O$9="","",'(Jam_Label)'!$O$9)</f>
        <v/>
      </c>
      <c r="I47" s="19">
        <f>IF('(Mc_Bride)'!$O$9="","",'(Mc_Bride)'!$O$9)</f>
        <v/>
      </c>
      <c r="J47" s="19">
        <f>IF('(Precision)'!$O$9="","",'(Precision)'!$O$9)</f>
        <v/>
      </c>
      <c r="K47" s="19">
        <f>IF('(Purity)'!$O$9="","",'(Purity)'!$O$9)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11">
        <f>IF(MAR!J5="","",MAR!J5)</f>
        <v/>
      </c>
      <c r="K31" s="11">
        <f>IF(MAR!K5="","",MAR!K5)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IF('(GEL_Holding)'!$AB$10="","",'(GEL_Holding)'!$AB$10)</f>
        <v/>
      </c>
      <c r="D39" s="14">
        <f>IF('(Dom_CLC)'!$AB$10="","",'(Dom_CLC)'!$AB$10)</f>
        <v/>
      </c>
      <c r="E39" s="14">
        <f>IF('(Car_Label)'!$AB$10="","",'(Car_Label)'!$AB$10)</f>
        <v/>
      </c>
      <c r="F39" s="14">
        <f>IF('(Ecuakao)'!$AB$10="","",'(Ecuakao)'!$AB$10)</f>
        <v/>
      </c>
      <c r="G39" s="14">
        <f>IF('(Hipac)'!$AB$10="","",'(Hipac)'!$AB$10)</f>
        <v/>
      </c>
      <c r="H39" s="14">
        <f>IF('(Jam_Label)'!$AB$10="","",'(Jam_Label)'!$AB$10)</f>
        <v/>
      </c>
      <c r="I39" s="14">
        <f>IF('(Mc_Bride)'!$AB$10="","",'(Mc_Bride)'!$AB$10)</f>
        <v/>
      </c>
      <c r="J39" s="14">
        <f>IF('(Precision)'!$AB$10="","",'(Precision)'!$AB$10)</f>
        <v/>
      </c>
      <c r="K39" s="14">
        <f>IF('(Purity)'!$AB$10="","",'(Purity)'!$AB$10)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IF('(GEL_Holding)'!$AD$10="","",'(GEL_Holding)'!$AD$10)</f>
        <v/>
      </c>
      <c r="D40" s="14">
        <f>IF('(Dom_CLC)'!$AD$10="","",'(Dom_CLC)'!$AD$10)</f>
        <v/>
      </c>
      <c r="E40" s="14">
        <f>IF('(Car_Label)'!$AD$10="","",'(Car_Label)'!$AD$10)</f>
        <v/>
      </c>
      <c r="F40" s="14">
        <f>IF('(Ecuakao)'!$AD$10="","",'(Ecuakao)'!$AD$10)</f>
        <v/>
      </c>
      <c r="G40" s="14">
        <f>IF('(Hipac)'!$AD$10="","",'(Hipac)'!$AD$10)</f>
        <v/>
      </c>
      <c r="H40" s="14">
        <f>IF('(Jam_Label)'!$AD$10="","",'(Jam_Label)'!$AD$10)</f>
        <v/>
      </c>
      <c r="I40" s="14">
        <f>IF('(Mc_Bride)'!$AD$10="","",'(Mc_Bride)'!$AD$10)</f>
        <v/>
      </c>
      <c r="J40" s="14">
        <f>IF('(Precision)'!$AD$10="","",'(Precision)'!$AD$10)</f>
        <v/>
      </c>
      <c r="K40" s="14">
        <f>IF('(Purity)'!$AD$10="","",'(Purity)'!$AD$10)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IF('(GEL_Holding)'!$G$10="","",'(GEL_Holding)'!$G$10)</f>
        <v/>
      </c>
      <c r="D46" s="19">
        <f>IF('(Dom_CLC)'!$G$10="","",'(Dom_CLC)'!$G$10)</f>
        <v/>
      </c>
      <c r="E46" s="19">
        <f>IF('(Car_Label)'!$G$10="","",'(Car_Label)'!$G$10)</f>
        <v/>
      </c>
      <c r="F46" s="19">
        <f>IF('(Ecuakao)'!$G$10="","",'(Ecuakao)'!$G$10)</f>
        <v/>
      </c>
      <c r="G46" s="19">
        <f>IF('(Hipac)'!$G$10="","",'(Hipac)'!$G$10)</f>
        <v/>
      </c>
      <c r="H46" s="19">
        <f>IF('(Jam_Label)'!$G$10="","",'(Jam_Label)'!$G$10)</f>
        <v/>
      </c>
      <c r="I46" s="19">
        <f>IF('(Mc_Bride)'!$G$10="","",'(Mc_Bride)'!$G$10)</f>
        <v/>
      </c>
      <c r="J46" s="19">
        <f>IF('(Precision)'!$G$10="","",'(Precision)'!$G$10)</f>
        <v/>
      </c>
      <c r="K46" s="19">
        <f>IF('(Purity)'!$G$10="","",'(Purity)'!$G$10)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IF('(GEL_Holding)'!$O$10="","",'(GEL_Holding)'!$O$10)</f>
        <v/>
      </c>
      <c r="D47" s="19">
        <f>IF('(Dom_CLC)'!$O$10="","",'(Dom_CLC)'!$O$10)</f>
        <v/>
      </c>
      <c r="E47" s="19">
        <f>IF('(Car_Label)'!$O$10="","",'(Car_Label)'!$O$10)</f>
        <v/>
      </c>
      <c r="F47" s="19">
        <f>IF('(Ecuakao)'!$O$10="","",'(Ecuakao)'!$O$10)</f>
        <v/>
      </c>
      <c r="G47" s="19">
        <f>IF('(Hipac)'!$O$10="","",'(Hipac)'!$O$10)</f>
        <v/>
      </c>
      <c r="H47" s="19">
        <f>IF('(Jam_Label)'!$O$10="","",'(Jam_Label)'!$O$10)</f>
        <v/>
      </c>
      <c r="I47" s="19">
        <f>IF('(Mc_Bride)'!$O$10="","",'(Mc_Bride)'!$O$10)</f>
        <v/>
      </c>
      <c r="J47" s="19">
        <f>IF('(Precision)'!$O$10="","",'(Precision)'!$O$10)</f>
        <v/>
      </c>
      <c r="K47" s="19">
        <f>IF('(Purity)'!$O$10="","",'(Purity)'!$O$10)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11">
        <f>IF(APR!J5="","",APR!J5)</f>
        <v/>
      </c>
      <c r="K31" s="11">
        <f>IF(APR!K5="","",APR!K5)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IF('(GEL_Holding)'!$AB$11="","",'(GEL_Holding)'!$AB$11)</f>
        <v/>
      </c>
      <c r="D39" s="14">
        <f>IF('(Dom_CLC)'!$AB$11="","",'(Dom_CLC)'!$AB$11)</f>
        <v/>
      </c>
      <c r="E39" s="14">
        <f>IF('(Car_Label)'!$AB$11="","",'(Car_Label)'!$AB$11)</f>
        <v/>
      </c>
      <c r="F39" s="14">
        <f>IF('(Ecuakao)'!$AB$11="","",'(Ecuakao)'!$AB$11)</f>
        <v/>
      </c>
      <c r="G39" s="14">
        <f>IF('(Hipac)'!$AB$11="","",'(Hipac)'!$AB$11)</f>
        <v/>
      </c>
      <c r="H39" s="14">
        <f>IF('(Jam_Label)'!$AB$11="","",'(Jam_Label)'!$AB$11)</f>
        <v/>
      </c>
      <c r="I39" s="14">
        <f>IF('(Mc_Bride)'!$AB$11="","",'(Mc_Bride)'!$AB$11)</f>
        <v/>
      </c>
      <c r="J39" s="14">
        <f>IF('(Precision)'!$AB$11="","",'(Precision)'!$AB$11)</f>
        <v/>
      </c>
      <c r="K39" s="14">
        <f>IF('(Purity)'!$AB$11="","",'(Purity)'!$AB$11)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IF('(GEL_Holding)'!$AD$11="","",'(GEL_Holding)'!$AD$11)</f>
        <v/>
      </c>
      <c r="D40" s="14">
        <f>IF('(Dom_CLC)'!$AD$11="","",'(Dom_CLC)'!$AD$11)</f>
        <v/>
      </c>
      <c r="E40" s="14">
        <f>IF('(Car_Label)'!$AD$11="","",'(Car_Label)'!$AD$11)</f>
        <v/>
      </c>
      <c r="F40" s="14">
        <f>IF('(Ecuakao)'!$AD$11="","",'(Ecuakao)'!$AD$11)</f>
        <v/>
      </c>
      <c r="G40" s="14">
        <f>IF('(Hipac)'!$AD$11="","",'(Hipac)'!$AD$11)</f>
        <v/>
      </c>
      <c r="H40" s="14">
        <f>IF('(Jam_Label)'!$AD$11="","",'(Jam_Label)'!$AD$11)</f>
        <v/>
      </c>
      <c r="I40" s="14">
        <f>IF('(Mc_Bride)'!$AD$11="","",'(Mc_Bride)'!$AD$11)</f>
        <v/>
      </c>
      <c r="J40" s="14">
        <f>IF('(Precision)'!$AD$11="","",'(Precision)'!$AD$11)</f>
        <v/>
      </c>
      <c r="K40" s="14">
        <f>IF('(Purity)'!$AD$11="","",'(Purity)'!$AD$11)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IF('(GEL_Holding)'!$G$11="","",'(GEL_Holding)'!$G$11)</f>
        <v/>
      </c>
      <c r="D46" s="19">
        <f>IF('(Dom_CLC)'!$G$11="","",'(Dom_CLC)'!$G$11)</f>
        <v/>
      </c>
      <c r="E46" s="19">
        <f>IF('(Car_Label)'!$G$11="","",'(Car_Label)'!$G$11)</f>
        <v/>
      </c>
      <c r="F46" s="19">
        <f>IF('(Ecuakao)'!$G$11="","",'(Ecuakao)'!$G$11)</f>
        <v/>
      </c>
      <c r="G46" s="19">
        <f>IF('(Hipac)'!$G$11="","",'(Hipac)'!$G$11)</f>
        <v/>
      </c>
      <c r="H46" s="19">
        <f>IF('(Jam_Label)'!$G$11="","",'(Jam_Label)'!$G$11)</f>
        <v/>
      </c>
      <c r="I46" s="19">
        <f>IF('(Mc_Bride)'!$G$11="","",'(Mc_Bride)'!$G$11)</f>
        <v/>
      </c>
      <c r="J46" s="19">
        <f>IF('(Precision)'!$G$11="","",'(Precision)'!$G$11)</f>
        <v/>
      </c>
      <c r="K46" s="19">
        <f>IF('(Purity)'!$G$11="","",'(Purity)'!$G$11)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IF('(GEL_Holding)'!$O$11="","",'(GEL_Holding)'!$O$11)</f>
        <v/>
      </c>
      <c r="D47" s="19">
        <f>IF('(Dom_CLC)'!$O$11="","",'(Dom_CLC)'!$O$11)</f>
        <v/>
      </c>
      <c r="E47" s="19">
        <f>IF('(Car_Label)'!$O$11="","",'(Car_Label)'!$O$11)</f>
        <v/>
      </c>
      <c r="F47" s="19">
        <f>IF('(Ecuakao)'!$O$11="","",'(Ecuakao)'!$O$11)</f>
        <v/>
      </c>
      <c r="G47" s="19">
        <f>IF('(Hipac)'!$O$11="","",'(Hipac)'!$O$11)</f>
        <v/>
      </c>
      <c r="H47" s="19">
        <f>IF('(Jam_Label)'!$O$11="","",'(Jam_Label)'!$O$11)</f>
        <v/>
      </c>
      <c r="I47" s="19">
        <f>IF('(Mc_Bride)'!$O$11="","",'(Mc_Bride)'!$O$11)</f>
        <v/>
      </c>
      <c r="J47" s="19">
        <f>IF('(Precision)'!$O$11="","",'(Precision)'!$O$11)</f>
        <v/>
      </c>
      <c r="K47" s="19">
        <f>IF('(Purity)'!$O$11="","",'(Purity)'!$O$11)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11">
        <f>IF(MAY!J5="","",MAY!J5)</f>
        <v/>
      </c>
      <c r="K31" s="11">
        <f>IF(MAY!K5="","",MAY!K5)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IF('(GEL_Holding)'!$AB$12="","",'(GEL_Holding)'!$AB$12)</f>
        <v/>
      </c>
      <c r="D39" s="14">
        <f>IF('(Dom_CLC)'!$AB$12="","",'(Dom_CLC)'!$AB$12)</f>
        <v/>
      </c>
      <c r="E39" s="14">
        <f>IF('(Car_Label)'!$AB$12="","",'(Car_Label)'!$AB$12)</f>
        <v/>
      </c>
      <c r="F39" s="14">
        <f>IF('(Ecuakao)'!$AB$12="","",'(Ecuakao)'!$AB$12)</f>
        <v/>
      </c>
      <c r="G39" s="14">
        <f>IF('(Hipac)'!$AB$12="","",'(Hipac)'!$AB$12)</f>
        <v/>
      </c>
      <c r="H39" s="14">
        <f>IF('(Jam_Label)'!$AB$12="","",'(Jam_Label)'!$AB$12)</f>
        <v/>
      </c>
      <c r="I39" s="14">
        <f>IF('(Mc_Bride)'!$AB$12="","",'(Mc_Bride)'!$AB$12)</f>
        <v/>
      </c>
      <c r="J39" s="14">
        <f>IF('(Precision)'!$AB$12="","",'(Precision)'!$AB$12)</f>
        <v/>
      </c>
      <c r="K39" s="14">
        <f>IF('(Purity)'!$AB$12="","",'(Purity)'!$AB$12)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IF('(GEL_Holding)'!$AD$12="","",'(GEL_Holding)'!$AD$12)</f>
        <v/>
      </c>
      <c r="D40" s="14">
        <f>IF('(Dom_CLC)'!$AD$12="","",'(Dom_CLC)'!$AD$12)</f>
        <v/>
      </c>
      <c r="E40" s="14">
        <f>IF('(Car_Label)'!$AD$12="","",'(Car_Label)'!$AD$12)</f>
        <v/>
      </c>
      <c r="F40" s="14">
        <f>IF('(Ecuakao)'!$AD$12="","",'(Ecuakao)'!$AD$12)</f>
        <v/>
      </c>
      <c r="G40" s="14">
        <f>IF('(Hipac)'!$AD$12="","",'(Hipac)'!$AD$12)</f>
        <v/>
      </c>
      <c r="H40" s="14">
        <f>IF('(Jam_Label)'!$AD$12="","",'(Jam_Label)'!$AD$12)</f>
        <v/>
      </c>
      <c r="I40" s="14">
        <f>IF('(Mc_Bride)'!$AD$12="","",'(Mc_Bride)'!$AD$12)</f>
        <v/>
      </c>
      <c r="J40" s="14">
        <f>IF('(Precision)'!$AD$12="","",'(Precision)'!$AD$12)</f>
        <v/>
      </c>
      <c r="K40" s="14">
        <f>IF('(Purity)'!$AD$12="","",'(Purity)'!$AD$12)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IF('(GEL_Holding)'!$G$12="","",'(GEL_Holding)'!$G$12)</f>
        <v/>
      </c>
      <c r="D46" s="19">
        <f>IF('(Dom_CLC)'!$G$12="","",'(Dom_CLC)'!$G$12)</f>
        <v/>
      </c>
      <c r="E46" s="19">
        <f>IF('(Car_Label)'!$G$12="","",'(Car_Label)'!$G$12)</f>
        <v/>
      </c>
      <c r="F46" s="19">
        <f>IF('(Ecuakao)'!$G$12="","",'(Ecuakao)'!$G$12)</f>
        <v/>
      </c>
      <c r="G46" s="19">
        <f>IF('(Hipac)'!$G$12="","",'(Hipac)'!$G$12)</f>
        <v/>
      </c>
      <c r="H46" s="19">
        <f>IF('(Jam_Label)'!$G$12="","",'(Jam_Label)'!$G$12)</f>
        <v/>
      </c>
      <c r="I46" s="19">
        <f>IF('(Mc_Bride)'!$G$12="","",'(Mc_Bride)'!$G$12)</f>
        <v/>
      </c>
      <c r="J46" s="19">
        <f>IF('(Precision)'!$G$12="","",'(Precision)'!$G$12)</f>
        <v/>
      </c>
      <c r="K46" s="19">
        <f>IF('(Purity)'!$G$12="","",'(Purity)'!$G$12)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IF('(GEL_Holding)'!$O$12="","",'(GEL_Holding)'!$O$12)</f>
        <v/>
      </c>
      <c r="D47" s="19">
        <f>IF('(Dom_CLC)'!$O$12="","",'(Dom_CLC)'!$O$12)</f>
        <v/>
      </c>
      <c r="E47" s="19">
        <f>IF('(Car_Label)'!$O$12="","",'(Car_Label)'!$O$12)</f>
        <v/>
      </c>
      <c r="F47" s="19">
        <f>IF('(Ecuakao)'!$O$12="","",'(Ecuakao)'!$O$12)</f>
        <v/>
      </c>
      <c r="G47" s="19">
        <f>IF('(Hipac)'!$O$12="","",'(Hipac)'!$O$12)</f>
        <v/>
      </c>
      <c r="H47" s="19">
        <f>IF('(Jam_Label)'!$O$12="","",'(Jam_Label)'!$O$12)</f>
        <v/>
      </c>
      <c r="I47" s="19">
        <f>IF('(Mc_Bride)'!$O$12="","",'(Mc_Bride)'!$O$12)</f>
        <v/>
      </c>
      <c r="J47" s="19">
        <f>IF('(Precision)'!$O$12="","",'(Precision)'!$O$12)</f>
        <v/>
      </c>
      <c r="K47" s="19">
        <f>IF('(Purity)'!$O$12="","",'(Purity)'!$O$12)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11">
        <f>IF(JUN!J5="","",JUN!J5)</f>
        <v/>
      </c>
      <c r="K31" s="11">
        <f>IF(JUN!K5="","",JUN!K5)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IF('(GEL_Holding)'!$AB$13="","",'(GEL_Holding)'!$AB$13)</f>
        <v/>
      </c>
      <c r="D39" s="14">
        <f>IF('(Dom_CLC)'!$AB$13="","",'(Dom_CLC)'!$AB$13)</f>
        <v/>
      </c>
      <c r="E39" s="14">
        <f>IF('(Car_Label)'!$AB$13="","",'(Car_Label)'!$AB$13)</f>
        <v/>
      </c>
      <c r="F39" s="14">
        <f>IF('(Ecuakao)'!$AB$13="","",'(Ecuakao)'!$AB$13)</f>
        <v/>
      </c>
      <c r="G39" s="14">
        <f>IF('(Hipac)'!$AB$13="","",'(Hipac)'!$AB$13)</f>
        <v/>
      </c>
      <c r="H39" s="14">
        <f>IF('(Jam_Label)'!$AB$13="","",'(Jam_Label)'!$AB$13)</f>
        <v/>
      </c>
      <c r="I39" s="14">
        <f>IF('(Mc_Bride)'!$AB$13="","",'(Mc_Bride)'!$AB$13)</f>
        <v/>
      </c>
      <c r="J39" s="14">
        <f>IF('(Precision)'!$AB$13="","",'(Precision)'!$AB$13)</f>
        <v/>
      </c>
      <c r="K39" s="14">
        <f>IF('(Purity)'!$AB$13="","",'(Purity)'!$AB$13)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IF('(GEL_Holding)'!$AD$13="","",'(GEL_Holding)'!$AD$13)</f>
        <v/>
      </c>
      <c r="D40" s="14">
        <f>IF('(Dom_CLC)'!$AD$13="","",'(Dom_CLC)'!$AD$13)</f>
        <v/>
      </c>
      <c r="E40" s="14">
        <f>IF('(Car_Label)'!$AD$13="","",'(Car_Label)'!$AD$13)</f>
        <v/>
      </c>
      <c r="F40" s="14">
        <f>IF('(Ecuakao)'!$AD$13="","",'(Ecuakao)'!$AD$13)</f>
        <v/>
      </c>
      <c r="G40" s="14">
        <f>IF('(Hipac)'!$AD$13="","",'(Hipac)'!$AD$13)</f>
        <v/>
      </c>
      <c r="H40" s="14">
        <f>IF('(Jam_Label)'!$AD$13="","",'(Jam_Label)'!$AD$13)</f>
        <v/>
      </c>
      <c r="I40" s="14">
        <f>IF('(Mc_Bride)'!$AD$13="","",'(Mc_Bride)'!$AD$13)</f>
        <v/>
      </c>
      <c r="J40" s="14">
        <f>IF('(Precision)'!$AD$13="","",'(Precision)'!$AD$13)</f>
        <v/>
      </c>
      <c r="K40" s="14">
        <f>IF('(Purity)'!$AD$13="","",'(Purity)'!$AD$13)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IF('(GEL_Holding)'!$G$13="","",'(GEL_Holding)'!$G$13)</f>
        <v/>
      </c>
      <c r="D46" s="19">
        <f>IF('(Dom_CLC)'!$G$13="","",'(Dom_CLC)'!$G$13)</f>
        <v/>
      </c>
      <c r="E46" s="19">
        <f>IF('(Car_Label)'!$G$13="","",'(Car_Label)'!$G$13)</f>
        <v/>
      </c>
      <c r="F46" s="19">
        <f>IF('(Ecuakao)'!$G$13="","",'(Ecuakao)'!$G$13)</f>
        <v/>
      </c>
      <c r="G46" s="19">
        <f>IF('(Hipac)'!$G$13="","",'(Hipac)'!$G$13)</f>
        <v/>
      </c>
      <c r="H46" s="19">
        <f>IF('(Jam_Label)'!$G$13="","",'(Jam_Label)'!$G$13)</f>
        <v/>
      </c>
      <c r="I46" s="19">
        <f>IF('(Mc_Bride)'!$G$13="","",'(Mc_Bride)'!$G$13)</f>
        <v/>
      </c>
      <c r="J46" s="19">
        <f>IF('(Precision)'!$G$13="","",'(Precision)'!$G$13)</f>
        <v/>
      </c>
      <c r="K46" s="19">
        <f>IF('(Purity)'!$G$13="","",'(Purity)'!$G$13)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IF('(GEL_Holding)'!$O$13="","",'(GEL_Holding)'!$O$13)</f>
        <v/>
      </c>
      <c r="D47" s="19">
        <f>IF('(Dom_CLC)'!$O$13="","",'(Dom_CLC)'!$O$13)</f>
        <v/>
      </c>
      <c r="E47" s="19">
        <f>IF('(Car_Label)'!$O$13="","",'(Car_Label)'!$O$13)</f>
        <v/>
      </c>
      <c r="F47" s="19">
        <f>IF('(Ecuakao)'!$O$13="","",'(Ecuakao)'!$O$13)</f>
        <v/>
      </c>
      <c r="G47" s="19">
        <f>IF('(Hipac)'!$O$13="","",'(Hipac)'!$O$13)</f>
        <v/>
      </c>
      <c r="H47" s="19">
        <f>IF('(Jam_Label)'!$O$13="","",'(Jam_Label)'!$O$13)</f>
        <v/>
      </c>
      <c r="I47" s="19">
        <f>IF('(Mc_Bride)'!$O$13="","",'(Mc_Bride)'!$O$13)</f>
        <v/>
      </c>
      <c r="J47" s="19">
        <f>IF('(Precision)'!$O$13="","",'(Precision)'!$O$13)</f>
        <v/>
      </c>
      <c r="K47" s="19">
        <f>IF('(Purity)'!$O$13="","",'(Purity)'!$O$13)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11">
        <f>IF(JUL!J5="","",JUL!J5)</f>
        <v/>
      </c>
      <c r="K31" s="11">
        <f>IF(JUL!K5="","",JUL!K5)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IF('(GEL_Holding)'!$AB$14="","",'(GEL_Holding)'!$AB$14)</f>
        <v/>
      </c>
      <c r="D39" s="14">
        <f>IF('(Dom_CLC)'!$AB$14="","",'(Dom_CLC)'!$AB$14)</f>
        <v/>
      </c>
      <c r="E39" s="14">
        <f>IF('(Car_Label)'!$AB$14="","",'(Car_Label)'!$AB$14)</f>
        <v/>
      </c>
      <c r="F39" s="14">
        <f>IF('(Ecuakao)'!$AB$14="","",'(Ecuakao)'!$AB$14)</f>
        <v/>
      </c>
      <c r="G39" s="14">
        <f>IF('(Hipac)'!$AB$14="","",'(Hipac)'!$AB$14)</f>
        <v/>
      </c>
      <c r="H39" s="14">
        <f>IF('(Jam_Label)'!$AB$14="","",'(Jam_Label)'!$AB$14)</f>
        <v/>
      </c>
      <c r="I39" s="14">
        <f>IF('(Mc_Bride)'!$AB$14="","",'(Mc_Bride)'!$AB$14)</f>
        <v/>
      </c>
      <c r="J39" s="14">
        <f>IF('(Precision)'!$AB$14="","",'(Precision)'!$AB$14)</f>
        <v/>
      </c>
      <c r="K39" s="14">
        <f>IF('(Purity)'!$AB$14="","",'(Purity)'!$AB$14)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IF('(GEL_Holding)'!$AD$14="","",'(GEL_Holding)'!$AD$14)</f>
        <v/>
      </c>
      <c r="D40" s="14">
        <f>IF('(Dom_CLC)'!$AD$14="","",'(Dom_CLC)'!$AD$14)</f>
        <v/>
      </c>
      <c r="E40" s="14">
        <f>IF('(Car_Label)'!$AD$14="","",'(Car_Label)'!$AD$14)</f>
        <v/>
      </c>
      <c r="F40" s="14">
        <f>IF('(Ecuakao)'!$AD$14="","",'(Ecuakao)'!$AD$14)</f>
        <v/>
      </c>
      <c r="G40" s="14">
        <f>IF('(Hipac)'!$AD$14="","",'(Hipac)'!$AD$14)</f>
        <v/>
      </c>
      <c r="H40" s="14">
        <f>IF('(Jam_Label)'!$AD$14="","",'(Jam_Label)'!$AD$14)</f>
        <v/>
      </c>
      <c r="I40" s="14">
        <f>IF('(Mc_Bride)'!$AD$14="","",'(Mc_Bride)'!$AD$14)</f>
        <v/>
      </c>
      <c r="J40" s="14">
        <f>IF('(Precision)'!$AD$14="","",'(Precision)'!$AD$14)</f>
        <v/>
      </c>
      <c r="K40" s="14">
        <f>IF('(Purity)'!$AD$14="","",'(Purity)'!$AD$14)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IF('(GEL_Holding)'!$G$14="","",'(GEL_Holding)'!$G$14)</f>
        <v/>
      </c>
      <c r="D46" s="19">
        <f>IF('(Dom_CLC)'!$G$14="","",'(Dom_CLC)'!$G$14)</f>
        <v/>
      </c>
      <c r="E46" s="19">
        <f>IF('(Car_Label)'!$G$14="","",'(Car_Label)'!$G$14)</f>
        <v/>
      </c>
      <c r="F46" s="19">
        <f>IF('(Ecuakao)'!$G$14="","",'(Ecuakao)'!$G$14)</f>
        <v/>
      </c>
      <c r="G46" s="19">
        <f>IF('(Hipac)'!$G$14="","",'(Hipac)'!$G$14)</f>
        <v/>
      </c>
      <c r="H46" s="19">
        <f>IF('(Jam_Label)'!$G$14="","",'(Jam_Label)'!$G$14)</f>
        <v/>
      </c>
      <c r="I46" s="19">
        <f>IF('(Mc_Bride)'!$G$14="","",'(Mc_Bride)'!$G$14)</f>
        <v/>
      </c>
      <c r="J46" s="19">
        <f>IF('(Precision)'!$G$14="","",'(Precision)'!$G$14)</f>
        <v/>
      </c>
      <c r="K46" s="19">
        <f>IF('(Purity)'!$G$14="","",'(Purity)'!$G$14)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IF('(GEL_Holding)'!$O$14="","",'(GEL_Holding)'!$O$14)</f>
        <v/>
      </c>
      <c r="D47" s="19">
        <f>IF('(Dom_CLC)'!$O$14="","",'(Dom_CLC)'!$O$14)</f>
        <v/>
      </c>
      <c r="E47" s="19">
        <f>IF('(Car_Label)'!$O$14="","",'(Car_Label)'!$O$14)</f>
        <v/>
      </c>
      <c r="F47" s="19">
        <f>IF('(Ecuakao)'!$O$14="","",'(Ecuakao)'!$O$14)</f>
        <v/>
      </c>
      <c r="G47" s="19">
        <f>IF('(Hipac)'!$O$14="","",'(Hipac)'!$O$14)</f>
        <v/>
      </c>
      <c r="H47" s="19">
        <f>IF('(Jam_Label)'!$O$14="","",'(Jam_Label)'!$O$14)</f>
        <v/>
      </c>
      <c r="I47" s="19">
        <f>IF('(Mc_Bride)'!$O$14="","",'(Mc_Bride)'!$O$14)</f>
        <v/>
      </c>
      <c r="J47" s="19">
        <f>IF('(Precision)'!$O$14="","",'(Precision)'!$O$14)</f>
        <v/>
      </c>
      <c r="K47" s="19">
        <f>IF('(Purity)'!$O$14="","",'(Purity)'!$O$14)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7265625" customWidth="1" min="12" max="12"/>
    <col width="21" customWidth="1" min="13" max="13"/>
    <col width="11.81640625" customWidth="1" min="14" max="14"/>
  </cols>
  <sheetData>
    <row r="1" ht="30" customHeight="1">
      <c r="A1" s="1" t="n"/>
      <c r="B1" s="2" t="inlineStr">
        <is>
          <t>MANUFACTURING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3" t="n"/>
      <c r="M1" s="3" t="n"/>
      <c r="N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GEL Manufacturing Holding Co. Ltd.</t>
        </is>
      </c>
      <c r="D2" s="27" t="inlineStr">
        <is>
          <t>CLC Domicana (Dominican Republic)</t>
        </is>
      </c>
      <c r="E2" s="27" t="inlineStr">
        <is>
          <t>Caribbean Label Crafts Ltd. (Barbados)</t>
        </is>
      </c>
      <c r="F2" s="27" t="inlineStr">
        <is>
          <t>Ecuakao (Ecuador)</t>
        </is>
      </c>
      <c r="G2" s="27" t="inlineStr">
        <is>
          <t>Hipac Ltd. (Barbados)</t>
        </is>
      </c>
      <c r="H2" s="27" t="inlineStr">
        <is>
          <t>Label Craft Jamaica Ltd. (Jamaica)</t>
        </is>
      </c>
      <c r="I2" s="27" t="inlineStr">
        <is>
          <t>McBride (Caribbean) Ltd.</t>
        </is>
      </c>
      <c r="J2" s="27" t="inlineStr">
        <is>
          <t>Precision Packaging Inc. (Barbados)</t>
        </is>
      </c>
      <c r="K2" s="27" t="inlineStr">
        <is>
          <t>Purity Bakeries Ltd. (Barbados)</t>
        </is>
      </c>
      <c r="L2" s="28" t="inlineStr">
        <is>
          <t>TOTAL</t>
        </is>
      </c>
      <c r="M2" s="4" t="inlineStr">
        <is>
          <t>Total by Division</t>
        </is>
      </c>
      <c r="N2" s="29">
        <f>N(N11)&lt;&gt;0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>
        <f>IF(COUNT(C3:K3)=0,"",SUM(C3:K3))</f>
        <v/>
      </c>
      <c r="M3" s="4" t="inlineStr">
        <is>
          <t>∑</t>
        </is>
      </c>
      <c r="N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>
        <f>IF(COUNT(C4:K4)=0,"",SUM(C4:K4))</f>
        <v/>
      </c>
      <c r="M4" s="4" t="inlineStr">
        <is>
          <t>∑</t>
        </is>
      </c>
      <c r="N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31">
        <f>IF(COUNT(L3:L4)=0,"",SUM(L3:L4))</f>
        <v/>
      </c>
      <c r="M5" s="4" t="inlineStr">
        <is>
          <t>ϝ</t>
        </is>
      </c>
      <c r="N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>
        <f>IF(COUNT(C6:K6)=0,"",SUM(C6:K6))</f>
        <v/>
      </c>
      <c r="M6" s="4" t="inlineStr">
        <is>
          <t>∑</t>
        </is>
      </c>
      <c r="N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1">
        <f>IF(COUNT(C7:K7)=0,"",SUM(C7:K7))</f>
        <v/>
      </c>
      <c r="M7" s="4" t="inlineStr">
        <is>
          <t>∑</t>
        </is>
      </c>
      <c r="N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1">
        <f>IF(COUNT(C8:K8)=0,"",SUM(C8:K8))</f>
        <v/>
      </c>
      <c r="M8" s="4" t="inlineStr">
        <is>
          <t>∑</t>
        </is>
      </c>
      <c r="N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1">
        <f>IF(COUNT(C9:K9)=0,"",SUM(C9:K9))</f>
        <v/>
      </c>
      <c r="M9" s="4" t="inlineStr">
        <is>
          <t>∑</t>
        </is>
      </c>
      <c r="N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3">
        <f>IFERROR(AVERAGE(C10:K10),"")</f>
        <v/>
      </c>
      <c r="M10" s="4" t="inlineStr">
        <is>
          <t>Avg</t>
        </is>
      </c>
      <c r="N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34">
        <f>IF(COUNT(L6:L9)=0,"",N(L6)+N(L7)*0.75+N(L8)*0.5+N(L9)*0.25)</f>
        <v/>
      </c>
      <c r="M11" s="4" t="inlineStr">
        <is>
          <t>FTE</t>
        </is>
      </c>
      <c r="N11" s="35">
        <f>IF(COUNT(L5:L9)=0,"",N(L6)+N(L7)+N(L8)+N(L9)-N(L5))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>
        <f>IF(COUNT(C12:K12)=0,"",SUM(C12:K12))</f>
        <v/>
      </c>
      <c r="M12" s="4" t="inlineStr">
        <is>
          <t>∑</t>
        </is>
      </c>
      <c r="N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3">
        <f>IF(COUNT(C13:K13)=0,"",SUM(C13:K13))</f>
        <v/>
      </c>
      <c r="M13" s="4" t="inlineStr">
        <is>
          <t>∑</t>
        </is>
      </c>
      <c r="N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34">
        <f>IF(COUNT(C14:K14)=0,"",SUM(C14:K14))</f>
        <v/>
      </c>
      <c r="M14" s="4" t="inlineStr">
        <is>
          <t>FTE</t>
        </is>
      </c>
      <c r="N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31">
        <f>IF(COUNT(L5,L12)=0,"",SUM(L5,L12))</f>
        <v/>
      </c>
      <c r="M15" s="4" t="inlineStr">
        <is>
          <t>ϝ</t>
        </is>
      </c>
      <c r="N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34">
        <f>IF(COUNT(L11,L14)=0,"",SUM(L11,L14))</f>
        <v/>
      </c>
      <c r="M16" s="4" t="inlineStr">
        <is>
          <t>FTE</t>
        </is>
      </c>
      <c r="N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36">
        <f>IFERROR(L12/L15,"")</f>
        <v/>
      </c>
      <c r="M17" s="4" t="inlineStr">
        <is>
          <t>ϝ</t>
        </is>
      </c>
      <c r="N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1">
        <f>IF(COUNT(C18:K18)=0,"",SUM(C18:K18))</f>
        <v/>
      </c>
      <c r="M18" s="4" t="inlineStr">
        <is>
          <t>∑</t>
        </is>
      </c>
      <c r="N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>
        <f>IF(COUNT(C19:K19)=0,"",SUM(C19:K19))</f>
        <v/>
      </c>
      <c r="M19" s="4" t="inlineStr">
        <is>
          <t>∑</t>
        </is>
      </c>
      <c r="N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1">
        <f>IF(COUNT(C20:K20)=0,"",SUM(C20:K20))</f>
        <v/>
      </c>
      <c r="M20" s="4" t="inlineStr">
        <is>
          <t>∑</t>
        </is>
      </c>
      <c r="N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31">
        <f>IF(COUNT(L19:L20)=0,"",SUM(L19:L20))</f>
        <v/>
      </c>
      <c r="M21" s="4" t="inlineStr">
        <is>
          <t>ϝ</t>
        </is>
      </c>
      <c r="N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1">
        <f>IF(COUNT(C22:K22)=0,"",SUM(C22:K22))</f>
        <v/>
      </c>
      <c r="M22" s="4" t="inlineStr">
        <is>
          <t>∑</t>
        </is>
      </c>
      <c r="N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1">
        <f>IF(COUNT(C23:K23)=0,"",SUM(C23:K23))</f>
        <v/>
      </c>
      <c r="M23" s="4" t="inlineStr">
        <is>
          <t>∑</t>
        </is>
      </c>
      <c r="N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31">
        <f>IF(COUNT(L22:L23)=0,"",SUM(L22:L23))</f>
        <v/>
      </c>
      <c r="M24" s="4" t="inlineStr">
        <is>
          <t>ϝ</t>
        </is>
      </c>
      <c r="N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36">
        <f>IF(COUNT(L31,L32)&lt;2,"",IF((L32+L31)=0,"",N(L22)/((L32+L31)/2)))</f>
        <v/>
      </c>
      <c r="M25" s="4" t="inlineStr">
        <is>
          <t>ϝ</t>
        </is>
      </c>
      <c r="N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36">
        <f>IF(COUNT(L31,L32)&lt;2,"",IF((L32+L31)=0,"",N(L23)/((L32+L31)/2)))</f>
        <v/>
      </c>
      <c r="M26" s="4" t="inlineStr">
        <is>
          <t>ϝ</t>
        </is>
      </c>
      <c r="N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1">
        <f>IF(COUNT(C27:K27)=0,"",SUM(C27:K27))</f>
        <v/>
      </c>
      <c r="M27" s="4" t="inlineStr">
        <is>
          <t>∑</t>
        </is>
      </c>
      <c r="N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1">
        <f>IF(COUNT(C28:K28)=0,"",SUM(C28:K28))</f>
        <v/>
      </c>
      <c r="M28" s="4" t="inlineStr">
        <is>
          <t>∑</t>
        </is>
      </c>
      <c r="N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36">
        <f>IF(COUNT(L31,L32)&lt;2,"",IF((L32+L31)=0,"",N(L27)/((L32+L31)/2)))</f>
        <v/>
      </c>
      <c r="M29" s="4" t="inlineStr">
        <is>
          <t>ϝ</t>
        </is>
      </c>
      <c r="N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36">
        <f>IF(COUNT(L31,L32)&lt;2,"",IF((L32+L31)=0,"",N(L28)/((L32+L31)/2)))</f>
        <v/>
      </c>
      <c r="M30" s="4" t="inlineStr">
        <is>
          <t>ϝ</t>
        </is>
      </c>
      <c r="N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11">
        <f>IF(AUG!J5="","",AUG!J5)</f>
        <v/>
      </c>
      <c r="K31" s="11">
        <f>IF(AUG!K5="","",AUG!K5)</f>
        <v/>
      </c>
      <c r="L31" s="31">
        <f>IF(COUNT(C31:K31)=0,"",SUM(C31:K31))</f>
        <v/>
      </c>
      <c r="M31" s="4" t="inlineStr">
        <is>
          <t>∑</t>
        </is>
      </c>
      <c r="N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31">
        <f>IF(COUNT(C32:K32)=0,"",SUM(C32:K32))</f>
        <v/>
      </c>
      <c r="M32" s="4" t="inlineStr">
        <is>
          <t>∑</t>
        </is>
      </c>
      <c r="N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36">
        <f>IF(COUNT(L31,L32)&lt;2,"",IF((L32+L31)=0,"",N(L24)/((L32+L31)/2)))</f>
        <v/>
      </c>
      <c r="M33" s="4" t="inlineStr">
        <is>
          <t>ϝ</t>
        </is>
      </c>
      <c r="N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1">
        <f>IF(COUNT(C34:K34)=0,"",SUM(C34:K34))</f>
        <v/>
      </c>
      <c r="M34" s="4" t="inlineStr">
        <is>
          <t>∑</t>
        </is>
      </c>
      <c r="N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1">
        <f>IF(COUNT(C35:K35)=0,"",SUM(C35:K35))</f>
        <v/>
      </c>
      <c r="M35" s="4" t="inlineStr">
        <is>
          <t>∑</t>
        </is>
      </c>
      <c r="N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31">
        <f>IF(COUNT(L34:L35)=0,"",SUM(L34:L35))</f>
        <v/>
      </c>
      <c r="M36" s="4" t="inlineStr">
        <is>
          <t>ϝ</t>
        </is>
      </c>
      <c r="N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31">
        <f>IF(COUNT(L5,L36)=0,"",N(L5)+N(L36))</f>
        <v/>
      </c>
      <c r="M37" s="4" t="inlineStr">
        <is>
          <t>ϝ</t>
        </is>
      </c>
      <c r="N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36">
        <f>IFERROR(L36/L37,"")</f>
        <v/>
      </c>
      <c r="M38" s="4" t="inlineStr">
        <is>
          <t>ϝ</t>
        </is>
      </c>
      <c r="N38" s="3" t="n"/>
    </row>
    <row r="39" ht="15.5" customHeight="1">
      <c r="A39" s="3" t="n"/>
      <c r="B39" s="10" t="inlineStr">
        <is>
          <t>Permanent TimeToHire (Days) YTD</t>
        </is>
      </c>
      <c r="C39" s="14">
        <f>IF('(GEL_Holding)'!$AB$15="","",'(GEL_Holding)'!$AB$15)</f>
        <v/>
      </c>
      <c r="D39" s="14">
        <f>IF('(Dom_CLC)'!$AB$15="","",'(Dom_CLC)'!$AB$15)</f>
        <v/>
      </c>
      <c r="E39" s="14">
        <f>IF('(Car_Label)'!$AB$15="","",'(Car_Label)'!$AB$15)</f>
        <v/>
      </c>
      <c r="F39" s="14">
        <f>IF('(Ecuakao)'!$AB$15="","",'(Ecuakao)'!$AB$15)</f>
        <v/>
      </c>
      <c r="G39" s="14">
        <f>IF('(Hipac)'!$AB$15="","",'(Hipac)'!$AB$15)</f>
        <v/>
      </c>
      <c r="H39" s="14">
        <f>IF('(Jam_Label)'!$AB$15="","",'(Jam_Label)'!$AB$15)</f>
        <v/>
      </c>
      <c r="I39" s="14">
        <f>IF('(Mc_Bride)'!$AB$15="","",'(Mc_Bride)'!$AB$15)</f>
        <v/>
      </c>
      <c r="J39" s="14">
        <f>IF('(Precision)'!$AB$15="","",'(Precision)'!$AB$15)</f>
        <v/>
      </c>
      <c r="K39" s="14">
        <f>IF('(Purity)'!$AB$15="","",'(Purity)'!$AB$15)</f>
        <v/>
      </c>
      <c r="L39" s="33">
        <f>IFERROR(AVERAGE(C39:K39),"")</f>
        <v/>
      </c>
      <c r="M39" s="4" t="inlineStr">
        <is>
          <t>Avg</t>
        </is>
      </c>
      <c r="N39" s="3" t="n"/>
    </row>
    <row r="40" ht="15.5" customHeight="1">
      <c r="A40" s="3" t="n"/>
      <c r="B40" s="10" t="inlineStr">
        <is>
          <t>Temporary TimeToHire (Days) YTD</t>
        </is>
      </c>
      <c r="C40" s="14">
        <f>IF('(GEL_Holding)'!$AD$15="","",'(GEL_Holding)'!$AD$15)</f>
        <v/>
      </c>
      <c r="D40" s="14">
        <f>IF('(Dom_CLC)'!$AD$15="","",'(Dom_CLC)'!$AD$15)</f>
        <v/>
      </c>
      <c r="E40" s="14">
        <f>IF('(Car_Label)'!$AD$15="","",'(Car_Label)'!$AD$15)</f>
        <v/>
      </c>
      <c r="F40" s="14">
        <f>IF('(Ecuakao)'!$AD$15="","",'(Ecuakao)'!$AD$15)</f>
        <v/>
      </c>
      <c r="G40" s="14">
        <f>IF('(Hipac)'!$AD$15="","",'(Hipac)'!$AD$15)</f>
        <v/>
      </c>
      <c r="H40" s="14">
        <f>IF('(Jam_Label)'!$AD$15="","",'(Jam_Label)'!$AD$15)</f>
        <v/>
      </c>
      <c r="I40" s="14">
        <f>IF('(Mc_Bride)'!$AD$15="","",'(Mc_Bride)'!$AD$15)</f>
        <v/>
      </c>
      <c r="J40" s="14">
        <f>IF('(Precision)'!$AD$15="","",'(Precision)'!$AD$15)</f>
        <v/>
      </c>
      <c r="K40" s="14">
        <f>IF('(Purity)'!$AD$15="","",'(Purity)'!$AD$15)</f>
        <v/>
      </c>
      <c r="L40" s="33">
        <f>IFERROR(AVERAGE(C40:K40),"")</f>
        <v/>
      </c>
      <c r="M40" s="4" t="inlineStr">
        <is>
          <t>Avg</t>
        </is>
      </c>
      <c r="N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8">
        <f>IFERROR(AVERAGE(C41:K41),"")</f>
        <v/>
      </c>
      <c r="M41" s="4" t="inlineStr">
        <is>
          <t>Avg</t>
        </is>
      </c>
      <c r="N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1">
        <f>IF(COUNT(C42:K42)=0,"",SUM(C42:K42))</f>
        <v/>
      </c>
      <c r="M42" s="4" t="inlineStr">
        <is>
          <t>∑</t>
        </is>
      </c>
      <c r="N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3">
        <f>IF(COUNT(C43:K43)=0,"",SUM(C43:K43))</f>
        <v/>
      </c>
      <c r="M43" s="4" t="inlineStr">
        <is>
          <t>∑</t>
        </is>
      </c>
      <c r="N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3">
        <f>IF(COUNT(C44:K44)=0,"",SUM(C44:K44))</f>
        <v/>
      </c>
      <c r="M44" s="4" t="inlineStr">
        <is>
          <t>∑</t>
        </is>
      </c>
      <c r="N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33">
        <f>IF(COUNT(L43:L44)=0,"",SUM(L43:L44))</f>
        <v/>
      </c>
      <c r="M45" s="4" t="inlineStr">
        <is>
          <t>ϝ</t>
        </is>
      </c>
      <c r="N45" s="3" t="n"/>
    </row>
    <row r="46" ht="15.5" customHeight="1">
      <c r="A46" s="3" t="n"/>
      <c r="B46" s="13" t="inlineStr">
        <is>
          <t>Absent Rate Non-Certified (%)</t>
        </is>
      </c>
      <c r="C46" s="19">
        <f>IF('(GEL_Holding)'!$G$15="","",'(GEL_Holding)'!$G$15)</f>
        <v/>
      </c>
      <c r="D46" s="19">
        <f>IF('(Dom_CLC)'!$G$15="","",'(Dom_CLC)'!$G$15)</f>
        <v/>
      </c>
      <c r="E46" s="19">
        <f>IF('(Car_Label)'!$G$15="","",'(Car_Label)'!$G$15)</f>
        <v/>
      </c>
      <c r="F46" s="19">
        <f>IF('(Ecuakao)'!$G$15="","",'(Ecuakao)'!$G$15)</f>
        <v/>
      </c>
      <c r="G46" s="19">
        <f>IF('(Hipac)'!$G$15="","",'(Hipac)'!$G$15)</f>
        <v/>
      </c>
      <c r="H46" s="19">
        <f>IF('(Jam_Label)'!$G$15="","",'(Jam_Label)'!$G$15)</f>
        <v/>
      </c>
      <c r="I46" s="19">
        <f>IF('(Mc_Bride)'!$G$15="","",'(Mc_Bride)'!$G$15)</f>
        <v/>
      </c>
      <c r="J46" s="19">
        <f>IF('(Precision)'!$G$15="","",'(Precision)'!$G$15)</f>
        <v/>
      </c>
      <c r="K46" s="19">
        <f>IF('(Purity)'!$G$15="","",'(Purity)'!$G$15)</f>
        <v/>
      </c>
      <c r="L46" s="36">
        <f t="array" ref="L46">IF(COUNT(C46:K46)=0,"",IFERROR(SUMPRODUCT(IFERROR(C46:K46*((C3:K3)+(C4:K4)),0))/SUMPRODUCT(IFERROR(ISNUMBER(C46:K46)*((C3:K3)+(C4:K4)),0)),""))</f>
        <v/>
      </c>
      <c r="M46" s="4" t="inlineStr">
        <is>
          <t>Weighted</t>
        </is>
      </c>
      <c r="N46" s="3" t="n"/>
    </row>
    <row r="47" ht="15.5" customHeight="1">
      <c r="A47" s="3" t="n"/>
      <c r="B47" s="13" t="inlineStr">
        <is>
          <t>Absent Rate Certified (%)</t>
        </is>
      </c>
      <c r="C47" s="19">
        <f>IF('(GEL_Holding)'!$O$15="","",'(GEL_Holding)'!$O$15)</f>
        <v/>
      </c>
      <c r="D47" s="19">
        <f>IF('(Dom_CLC)'!$O$15="","",'(Dom_CLC)'!$O$15)</f>
        <v/>
      </c>
      <c r="E47" s="19">
        <f>IF('(Car_Label)'!$O$15="","",'(Car_Label)'!$O$15)</f>
        <v/>
      </c>
      <c r="F47" s="19">
        <f>IF('(Ecuakao)'!$O$15="","",'(Ecuakao)'!$O$15)</f>
        <v/>
      </c>
      <c r="G47" s="19">
        <f>IF('(Hipac)'!$O$15="","",'(Hipac)'!$O$15)</f>
        <v/>
      </c>
      <c r="H47" s="19">
        <f>IF('(Jam_Label)'!$O$15="","",'(Jam_Label)'!$O$15)</f>
        <v/>
      </c>
      <c r="I47" s="19">
        <f>IF('(Mc_Bride)'!$O$15="","",'(Mc_Bride)'!$O$15)</f>
        <v/>
      </c>
      <c r="J47" s="19">
        <f>IF('(Precision)'!$O$15="","",'(Precision)'!$O$15)</f>
        <v/>
      </c>
      <c r="K47" s="19">
        <f>IF('(Purity)'!$O$15="","",'(Purity)'!$O$15)</f>
        <v/>
      </c>
      <c r="L47" s="36">
        <f t="array" ref="L47">IF(COUNT(C47:K47)=0,"",IFERROR(SUMPRODUCT(IFERROR(C47:K47*((C3:K3)+(C4:K4)),0))/SUMPRODUCT(IFERROR(ISNUMBER(C47:K47)*((C3:K3)+(C4:K4)),0)),""))</f>
        <v/>
      </c>
      <c r="M47" s="4" t="inlineStr">
        <is>
          <t>Weighted</t>
        </is>
      </c>
      <c r="N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36">
        <f>IF(COUNT(L46:L47)=0,"",SUM(L46:L47))</f>
        <v/>
      </c>
      <c r="M48" s="4" t="inlineStr">
        <is>
          <t>Weighted</t>
        </is>
      </c>
      <c r="N48" s="3" t="n"/>
    </row>
    <row r="49" ht="15.5" customHeight="1">
      <c r="A49" s="3" t="n"/>
      <c r="B49" s="18" t="inlineStr">
        <is>
          <t>Weight factor</t>
        </is>
      </c>
      <c r="C49" s="19">
        <f>IFERROR(C5/$L5,"")</f>
        <v/>
      </c>
      <c r="D49" s="19">
        <f>IFERROR(D5/$L5,"")</f>
        <v/>
      </c>
      <c r="E49" s="19">
        <f>IFERROR(E5/$L5,"")</f>
        <v/>
      </c>
      <c r="F49" s="19">
        <f>IFERROR(F5/$L5,"")</f>
        <v/>
      </c>
      <c r="G49" s="19">
        <f>IFERROR(G5/$L5,"")</f>
        <v/>
      </c>
      <c r="H49" s="19">
        <f>IFERROR(H5/$L5,"")</f>
        <v/>
      </c>
      <c r="I49" s="19">
        <f>IFERROR(I5/$L5,"")</f>
        <v/>
      </c>
      <c r="J49" s="19">
        <f>IFERROR(J5/$L5,"")</f>
        <v/>
      </c>
      <c r="K49" s="19">
        <f>IFERROR(K5/$L5,"")</f>
        <v/>
      </c>
      <c r="L49" s="36">
        <f>IF(COUNT(C49:K49)=0,"",SUM(C49:K49))</f>
        <v/>
      </c>
      <c r="M49" s="4" t="inlineStr">
        <is>
          <t>Weight Factor</t>
        </is>
      </c>
      <c r="N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3">
        <f>IF(COUNT(C50:K50)=0,"",SUM(C50:K50))</f>
        <v/>
      </c>
      <c r="M50" s="4" t="inlineStr">
        <is>
          <t>∑</t>
        </is>
      </c>
      <c r="N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3">
        <f>IF(COUNT(C51:K51)=0,"",SUM(C51:K51))</f>
        <v/>
      </c>
      <c r="M51" s="4" t="inlineStr">
        <is>
          <t>∑</t>
        </is>
      </c>
      <c r="N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3">
        <f>IF(COUNT(C52:K52)=0,"",SUM(C52:K52))</f>
        <v/>
      </c>
      <c r="M52" s="4" t="inlineStr">
        <is>
          <t>∑</t>
        </is>
      </c>
      <c r="N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3">
        <f>IF(COUNT(C53:K53)=0,"",SUM(C53:K53))</f>
        <v/>
      </c>
      <c r="M53" s="4" t="inlineStr">
        <is>
          <t>∑</t>
        </is>
      </c>
      <c r="N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3">
        <f>IF(COUNT(C54:K54)=0,"",SUM(C54:K54))</f>
        <v/>
      </c>
      <c r="M54" s="4" t="inlineStr">
        <is>
          <t>∑</t>
        </is>
      </c>
      <c r="N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33">
        <f>IF(COUNT(L50:L54)=0,"",SUM(L50:L54))</f>
        <v/>
      </c>
      <c r="M55" s="4" t="inlineStr">
        <is>
          <t>ϝ</t>
        </is>
      </c>
      <c r="N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3">
        <f>IF(COUNT(C56:K56)=0,"",SUM(C56:K56))</f>
        <v/>
      </c>
      <c r="M56" s="4" t="inlineStr">
        <is>
          <t>∑</t>
        </is>
      </c>
      <c r="N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3">
        <f>IF(COUNT(C57:K57)=0,"",SUM(C57:K57))</f>
        <v/>
      </c>
      <c r="M57" s="4" t="inlineStr">
        <is>
          <t>∑</t>
        </is>
      </c>
      <c r="N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3">
        <f>IF(COUNT(C58:K58)=0,"",SUM(C58:K58))</f>
        <v/>
      </c>
      <c r="M58" s="4" t="inlineStr">
        <is>
          <t>∑</t>
        </is>
      </c>
      <c r="N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3">
        <f>IF(COUNT(C59:K59)=0,"",SUM(C59:K59))</f>
        <v/>
      </c>
      <c r="M59" s="4" t="inlineStr">
        <is>
          <t>∑</t>
        </is>
      </c>
      <c r="N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36">
        <f>IFERROR(L50/L$55,"")</f>
        <v/>
      </c>
      <c r="M60" s="4" t="inlineStr">
        <is>
          <t>ϝ</t>
        </is>
      </c>
      <c r="N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36">
        <f>IFERROR(L51/L$55,"")</f>
        <v/>
      </c>
      <c r="M61" s="4" t="inlineStr">
        <is>
          <t>ϝ</t>
        </is>
      </c>
      <c r="N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36">
        <f>IFERROR(L52/L$55,"")</f>
        <v/>
      </c>
      <c r="M62" s="4" t="inlineStr">
        <is>
          <t>ϝ</t>
        </is>
      </c>
      <c r="N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36">
        <f>IFERROR(L53/L$55,"")</f>
        <v/>
      </c>
      <c r="M63" s="4" t="inlineStr">
        <is>
          <t>ϝ</t>
        </is>
      </c>
      <c r="N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36">
        <f>IFERROR(L54/L$55,"")</f>
        <v/>
      </c>
      <c r="M64" s="4" t="inlineStr">
        <is>
          <t>ϝ</t>
        </is>
      </c>
      <c r="N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36">
        <f>IFERROR(L56/L5,"")</f>
        <v/>
      </c>
      <c r="M65" s="4" t="inlineStr">
        <is>
          <t>ϝ</t>
        </is>
      </c>
      <c r="N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34">
        <f>IFERROR(L55/L5,"")</f>
        <v/>
      </c>
      <c r="M66" s="4" t="inlineStr">
        <is>
          <t>ϝ</t>
        </is>
      </c>
      <c r="N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34">
        <f>IFERROR(L55/L56,"")</f>
        <v/>
      </c>
      <c r="M67" s="4" t="inlineStr">
        <is>
          <t>ϝ</t>
        </is>
      </c>
      <c r="N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34">
        <f>IF(COUNT(L58:L59)=0,"",IFERROR((N(L58)+N(L59))/L5,""))</f>
        <v/>
      </c>
      <c r="M68" s="4" t="inlineStr">
        <is>
          <t>ϝ</t>
        </is>
      </c>
      <c r="N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34">
        <f>IF(COUNT(L58:L59)=0,"",IFERROR((N(L58)+N(L59))/L56,""))</f>
        <v/>
      </c>
      <c r="M69" s="4" t="inlineStr">
        <is>
          <t>ϝ</t>
        </is>
      </c>
      <c r="N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33">
        <f>SUM(C70:K70)</f>
        <v/>
      </c>
      <c r="M70" s="39" t="inlineStr">
        <is>
          <t>∑</t>
        </is>
      </c>
      <c r="N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GEL Manufacturing Holding Co. Ltd.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CLC Domicana (Dominican Republic)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Caribbean Label Crafts Ltd. (Barbados)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Ecuakao (Ecuador)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Hipac Ltd. (Barbados)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Label Craft Jamaica Ltd. (Jamaica)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IF(OCT!$H$5="","",OCT!$H$5)</f>
        <v/>
      </c>
      <c r="D4" s="55" t="n"/>
      <c r="E4" s="56">
        <f>IF(OCT!$H$43="","",OCT!$H$43)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IF(OCT!$H$44="","",OCT!$H$44)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IF(NOV!$H$5="","",NOV!$H$5)</f>
        <v/>
      </c>
      <c r="D5" s="55" t="n"/>
      <c r="E5" s="56">
        <f>IF(NOV!$H$43="","",NOV!$H$43)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IF(NOV!$H$44="","",NOV!$H$44)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IF(DEC!$H$5="","",DEC!$H$5)</f>
        <v/>
      </c>
      <c r="D6" s="55" t="n"/>
      <c r="E6" s="56">
        <f>IF(DEC!$H$43="","",DEC!$H$43)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IF(DEC!$H$44="","",DEC!$H$44)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IF(JAN!$H$5="","",JAN!$H$5)</f>
        <v/>
      </c>
      <c r="D7" s="55" t="n"/>
      <c r="E7" s="56">
        <f>IF(JAN!$H$43="","",JAN!$H$43)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IF(JAN!$H$44="","",JAN!$H$44)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IF(FEB!$H$5="","",FEB!$H$5)</f>
        <v/>
      </c>
      <c r="D8" s="55" t="n"/>
      <c r="E8" s="56">
        <f>IF(FEB!$H$43="","",FEB!$H$43)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IF(FEB!$H$44="","",FEB!$H$44)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IF(MAR!$H$5="","",MAR!$H$5)</f>
        <v/>
      </c>
      <c r="D9" s="55" t="n"/>
      <c r="E9" s="56">
        <f>IF(MAR!$H$43="","",MAR!$H$43)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IF(MAR!$H$44="","",MAR!$H$44)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IF(APR!$H$5="","",APR!$H$5)</f>
        <v/>
      </c>
      <c r="D10" s="55" t="n"/>
      <c r="E10" s="56">
        <f>IF(APR!$H$43="","",APR!$H$43)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IF(APR!$H$44="","",APR!$H$44)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IF(MAY!$H$5="","",MAY!$H$5)</f>
        <v/>
      </c>
      <c r="D11" s="55" t="n"/>
      <c r="E11" s="56">
        <f>IF(MAY!$H$43="","",MAY!$H$43)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IF(MAY!$H$44="","",MAY!$H$44)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IF(JUN!$H$5="","",JUN!$H$5)</f>
        <v/>
      </c>
      <c r="D12" s="55" t="n"/>
      <c r="E12" s="56">
        <f>IF(JUN!$H$43="","",JUN!$H$43)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IF(JUN!$H$44="","",JUN!$H$44)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IF(JUL!$H$5="","",JUL!$H$5)</f>
        <v/>
      </c>
      <c r="D13" s="55" t="n"/>
      <c r="E13" s="56">
        <f>IF(JUL!$H$43="","",JUL!$H$43)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IF(JUL!$H$44="","",JUL!$H$44)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IF(AUG!$H$5="","",AUG!$H$5)</f>
        <v/>
      </c>
      <c r="D14" s="55" t="n"/>
      <c r="E14" s="56">
        <f>IF(AUG!$H$43="","",AUG!$H$43)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IF(AUG!$H$44="","",AUG!$H$44)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IF(SEP!$H$5="","",SEP!$H$5)</f>
        <v/>
      </c>
      <c r="D15" s="55" t="n"/>
      <c r="E15" s="56">
        <f>IF(SEP!$H$43="","",SEP!$H$43)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IF(SEP!$H$44="","",SEP!$H$44)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McBride (Caribbean) Ltd.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IF(OCT!$I$5="","",OCT!$I$5)</f>
        <v/>
      </c>
      <c r="D4" s="55" t="n"/>
      <c r="E4" s="56">
        <f>IF(OCT!$I$43="","",OCT!$I$43)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IF(OCT!$I$44="","",OCT!$I$44)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IF(NOV!$I$5="","",NOV!$I$5)</f>
        <v/>
      </c>
      <c r="D5" s="55" t="n"/>
      <c r="E5" s="56">
        <f>IF(NOV!$I$43="","",NOV!$I$43)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IF(NOV!$I$44="","",NOV!$I$44)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IF(DEC!$I$5="","",DEC!$I$5)</f>
        <v/>
      </c>
      <c r="D6" s="55" t="n"/>
      <c r="E6" s="56">
        <f>IF(DEC!$I$43="","",DEC!$I$43)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IF(DEC!$I$44="","",DEC!$I$44)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IF(JAN!$I$5="","",JAN!$I$5)</f>
        <v/>
      </c>
      <c r="D7" s="55" t="n"/>
      <c r="E7" s="56">
        <f>IF(JAN!$I$43="","",JAN!$I$43)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IF(JAN!$I$44="","",JAN!$I$44)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IF(FEB!$I$5="","",FEB!$I$5)</f>
        <v/>
      </c>
      <c r="D8" s="55" t="n"/>
      <c r="E8" s="56">
        <f>IF(FEB!$I$43="","",FEB!$I$43)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IF(FEB!$I$44="","",FEB!$I$44)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IF(MAR!$I$5="","",MAR!$I$5)</f>
        <v/>
      </c>
      <c r="D9" s="55" t="n"/>
      <c r="E9" s="56">
        <f>IF(MAR!$I$43="","",MAR!$I$43)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IF(MAR!$I$44="","",MAR!$I$44)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IF(APR!$I$5="","",APR!$I$5)</f>
        <v/>
      </c>
      <c r="D10" s="55" t="n"/>
      <c r="E10" s="56">
        <f>IF(APR!$I$43="","",APR!$I$43)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IF(APR!$I$44="","",APR!$I$44)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IF(MAY!$I$5="","",MAY!$I$5)</f>
        <v/>
      </c>
      <c r="D11" s="55" t="n"/>
      <c r="E11" s="56">
        <f>IF(MAY!$I$43="","",MAY!$I$43)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IF(MAY!$I$44="","",MAY!$I$44)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IF(JUN!$I$5="","",JUN!$I$5)</f>
        <v/>
      </c>
      <c r="D12" s="55" t="n"/>
      <c r="E12" s="56">
        <f>IF(JUN!$I$43="","",JUN!$I$43)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IF(JUN!$I$44="","",JUN!$I$44)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IF(JUL!$I$5="","",JUL!$I$5)</f>
        <v/>
      </c>
      <c r="D13" s="55" t="n"/>
      <c r="E13" s="56">
        <f>IF(JUL!$I$43="","",JUL!$I$43)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IF(JUL!$I$44="","",JUL!$I$44)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IF(AUG!$I$5="","",AUG!$I$5)</f>
        <v/>
      </c>
      <c r="D14" s="55" t="n"/>
      <c r="E14" s="56">
        <f>IF(AUG!$I$43="","",AUG!$I$43)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IF(AUG!$I$44="","",AUG!$I$44)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IF(SEP!$I$5="","",SEP!$I$5)</f>
        <v/>
      </c>
      <c r="D15" s="55" t="n"/>
      <c r="E15" s="56">
        <f>IF(SEP!$I$43="","",SEP!$I$43)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IF(SEP!$I$44="","",SEP!$I$44)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Precision Packaging Inc. (Barbados)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IF(OCT!$J$5="","",OCT!$J$5)</f>
        <v/>
      </c>
      <c r="D4" s="55" t="n"/>
      <c r="E4" s="56">
        <f>IF(OCT!$J$43="","",OCT!$J$43)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IF(OCT!$J$44="","",OCT!$J$44)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IF(NOV!$J$5="","",NOV!$J$5)</f>
        <v/>
      </c>
      <c r="D5" s="55" t="n"/>
      <c r="E5" s="56">
        <f>IF(NOV!$J$43="","",NOV!$J$43)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IF(NOV!$J$44="","",NOV!$J$44)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IF(DEC!$J$5="","",DEC!$J$5)</f>
        <v/>
      </c>
      <c r="D6" s="55" t="n"/>
      <c r="E6" s="56">
        <f>IF(DEC!$J$43="","",DEC!$J$43)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IF(DEC!$J$44="","",DEC!$J$44)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IF(JAN!$J$5="","",JAN!$J$5)</f>
        <v/>
      </c>
      <c r="D7" s="55" t="n"/>
      <c r="E7" s="56">
        <f>IF(JAN!$J$43="","",JAN!$J$43)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IF(JAN!$J$44="","",JAN!$J$44)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IF(FEB!$J$5="","",FEB!$J$5)</f>
        <v/>
      </c>
      <c r="D8" s="55" t="n"/>
      <c r="E8" s="56">
        <f>IF(FEB!$J$43="","",FEB!$J$43)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IF(FEB!$J$44="","",FEB!$J$44)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IF(MAR!$J$5="","",MAR!$J$5)</f>
        <v/>
      </c>
      <c r="D9" s="55" t="n"/>
      <c r="E9" s="56">
        <f>IF(MAR!$J$43="","",MAR!$J$43)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IF(MAR!$J$44="","",MAR!$J$44)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IF(APR!$J$5="","",APR!$J$5)</f>
        <v/>
      </c>
      <c r="D10" s="55" t="n"/>
      <c r="E10" s="56">
        <f>IF(APR!$J$43="","",APR!$J$43)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IF(APR!$J$44="","",APR!$J$44)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IF(MAY!$J$5="","",MAY!$J$5)</f>
        <v/>
      </c>
      <c r="D11" s="55" t="n"/>
      <c r="E11" s="56">
        <f>IF(MAY!$J$43="","",MAY!$J$43)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IF(MAY!$J$44="","",MAY!$J$44)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IF(JUN!$J$5="","",JUN!$J$5)</f>
        <v/>
      </c>
      <c r="D12" s="55" t="n"/>
      <c r="E12" s="56">
        <f>IF(JUN!$J$43="","",JUN!$J$43)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IF(JUN!$J$44="","",JUN!$J$44)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IF(JUL!$J$5="","",JUL!$J$5)</f>
        <v/>
      </c>
      <c r="D13" s="55" t="n"/>
      <c r="E13" s="56">
        <f>IF(JUL!$J$43="","",JUL!$J$43)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IF(JUL!$J$44="","",JUL!$J$44)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IF(AUG!$J$5="","",AUG!$J$5)</f>
        <v/>
      </c>
      <c r="D14" s="55" t="n"/>
      <c r="E14" s="56">
        <f>IF(AUG!$J$43="","",AUG!$J$43)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IF(AUG!$J$44="","",AUG!$J$44)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IF(SEP!$J$5="","",SEP!$J$5)</f>
        <v/>
      </c>
      <c r="D15" s="55" t="n"/>
      <c r="E15" s="56">
        <f>IF(SEP!$J$43="","",SEP!$J$43)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IF(SEP!$J$44="","",SEP!$J$44)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Purity Bakeries Ltd. (Barbados)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IF(OCT!$K$5="","",OCT!$K$5)</f>
        <v/>
      </c>
      <c r="D4" s="55" t="n"/>
      <c r="E4" s="56">
        <f>IF(OCT!$K$43="","",OCT!$K$43)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IF(OCT!$K$44="","",OCT!$K$44)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IF(NOV!$K$5="","",NOV!$K$5)</f>
        <v/>
      </c>
      <c r="D5" s="55" t="n"/>
      <c r="E5" s="56">
        <f>IF(NOV!$K$43="","",NOV!$K$43)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IF(NOV!$K$44="","",NOV!$K$44)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IF(DEC!$K$5="","",DEC!$K$5)</f>
        <v/>
      </c>
      <c r="D6" s="55" t="n"/>
      <c r="E6" s="56">
        <f>IF(DEC!$K$43="","",DEC!$K$43)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IF(DEC!$K$44="","",DEC!$K$44)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IF(JAN!$K$5="","",JAN!$K$5)</f>
        <v/>
      </c>
      <c r="D7" s="55" t="n"/>
      <c r="E7" s="56">
        <f>IF(JAN!$K$43="","",JAN!$K$43)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IF(JAN!$K$44="","",JAN!$K$44)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IF(FEB!$K$5="","",FEB!$K$5)</f>
        <v/>
      </c>
      <c r="D8" s="55" t="n"/>
      <c r="E8" s="56">
        <f>IF(FEB!$K$43="","",FEB!$K$43)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IF(FEB!$K$44="","",FEB!$K$44)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IF(MAR!$K$5="","",MAR!$K$5)</f>
        <v/>
      </c>
      <c r="D9" s="55" t="n"/>
      <c r="E9" s="56">
        <f>IF(MAR!$K$43="","",MAR!$K$43)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IF(MAR!$K$44="","",MAR!$K$44)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IF(APR!$K$5="","",APR!$K$5)</f>
        <v/>
      </c>
      <c r="D10" s="55" t="n"/>
      <c r="E10" s="56">
        <f>IF(APR!$K$43="","",APR!$K$43)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IF(APR!$K$44="","",APR!$K$44)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IF(MAY!$K$5="","",MAY!$K$5)</f>
        <v/>
      </c>
      <c r="D11" s="55" t="n"/>
      <c r="E11" s="56">
        <f>IF(MAY!$K$43="","",MAY!$K$43)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IF(MAY!$K$44="","",MAY!$K$44)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IF(JUN!$K$5="","",JUN!$K$5)</f>
        <v/>
      </c>
      <c r="D12" s="55" t="n"/>
      <c r="E12" s="56">
        <f>IF(JUN!$K$43="","",JUN!$K$43)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IF(JUN!$K$44="","",JUN!$K$44)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IF(JUL!$K$5="","",JUL!$K$5)</f>
        <v/>
      </c>
      <c r="D13" s="55" t="n"/>
      <c r="E13" s="56">
        <f>IF(JUL!$K$43="","",JUL!$K$43)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IF(JUL!$K$44="","",JUL!$K$44)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IF(AUG!$K$5="","",AUG!$K$5)</f>
        <v/>
      </c>
      <c r="D14" s="55" t="n"/>
      <c r="E14" s="56">
        <f>IF(AUG!$K$43="","",AUG!$K$43)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IF(AUG!$K$44="","",AUG!$K$44)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IF(SEP!$K$5="","",SEP!$K$5)</f>
        <v/>
      </c>
      <c r="D15" s="55" t="n"/>
      <c r="E15" s="56">
        <f>IF(SEP!$K$43="","",SEP!$K$43)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IF(SEP!$K$44="","",SEP!$K$44)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2026-09-26T17:34:35Z</dcterms:created>
  <dcterms:modified xsi:type="dcterms:W3CDTF">2026-09-26T17:34:42Z</dcterms:modified>
</cp:coreProperties>
</file>