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M&amp;C_Shipp)" sheetId="14" state="visible" r:id="rId14"/>
    <sheet name="(Coreas_Shipp)" sheetId="15" state="visible" r:id="rId15"/>
    <sheet name="(JBH_Shipp)" sheetId="16" state="visible" r:id="rId16"/>
    <sheet name="(Shipping_BRB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I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SHIPPING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OCT!G3</f>
        <v/>
      </c>
      <c r="D3" s="11">
        <f>NOV!G3</f>
        <v/>
      </c>
      <c r="E3" s="11">
        <f>DEC!G3</f>
        <v/>
      </c>
      <c r="F3" s="12">
        <f>IFERROR(AVERAGE(C3:E3),"")</f>
        <v/>
      </c>
      <c r="G3" s="11">
        <f>JAN!G3</f>
        <v/>
      </c>
      <c r="H3" s="11">
        <f>FEB!G3</f>
        <v/>
      </c>
      <c r="I3" s="11">
        <f>MAR!G3</f>
        <v/>
      </c>
      <c r="J3" s="12">
        <f>IFERROR(AVERAGE(G3:I3),"")</f>
        <v/>
      </c>
      <c r="K3" s="11">
        <f>APR!G3</f>
        <v/>
      </c>
      <c r="L3" s="11">
        <f>MAY!G3</f>
        <v/>
      </c>
      <c r="M3" s="11">
        <f>JUN!G3</f>
        <v/>
      </c>
      <c r="N3" s="12">
        <f>IFERROR(AVERAGE(K3:M3),"")</f>
        <v/>
      </c>
      <c r="O3" s="11">
        <f>JUL!G3</f>
        <v/>
      </c>
      <c r="P3" s="11">
        <f>AUG!G3</f>
        <v/>
      </c>
      <c r="Q3" s="11">
        <f>SEP!G3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OCT!G4</f>
        <v/>
      </c>
      <c r="D4" s="11">
        <f>NOV!G4</f>
        <v/>
      </c>
      <c r="E4" s="11">
        <f>DEC!G4</f>
        <v/>
      </c>
      <c r="F4" s="12">
        <f>IFERROR(AVERAGE(C4:E4),"")</f>
        <v/>
      </c>
      <c r="G4" s="11">
        <f>JAN!G4</f>
        <v/>
      </c>
      <c r="H4" s="11">
        <f>FEB!G4</f>
        <v/>
      </c>
      <c r="I4" s="11">
        <f>MAR!G4</f>
        <v/>
      </c>
      <c r="J4" s="12">
        <f>IFERROR(AVERAGE(G4:I4),"")</f>
        <v/>
      </c>
      <c r="K4" s="11">
        <f>APR!G4</f>
        <v/>
      </c>
      <c r="L4" s="11">
        <f>MAY!G4</f>
        <v/>
      </c>
      <c r="M4" s="11">
        <f>JUN!G4</f>
        <v/>
      </c>
      <c r="N4" s="12">
        <f>IFERROR(AVERAGE(K4:M4),"")</f>
        <v/>
      </c>
      <c r="O4" s="11">
        <f>JUL!G4</f>
        <v/>
      </c>
      <c r="P4" s="11">
        <f>AUG!G4</f>
        <v/>
      </c>
      <c r="Q4" s="11">
        <f>SEP!G4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OCT!G5</f>
        <v/>
      </c>
      <c r="D5" s="11">
        <f>NOV!G5</f>
        <v/>
      </c>
      <c r="E5" s="11">
        <f>DEC!G5</f>
        <v/>
      </c>
      <c r="F5" s="12">
        <f>IF(COUNT(F3:F4)=0,"",SUM(F3:F4))</f>
        <v/>
      </c>
      <c r="G5" s="11">
        <f>JAN!G5</f>
        <v/>
      </c>
      <c r="H5" s="11">
        <f>FEB!G5</f>
        <v/>
      </c>
      <c r="I5" s="11">
        <f>MAR!G5</f>
        <v/>
      </c>
      <c r="J5" s="12">
        <f>IF(COUNT(J3:J4)=0,"",SUM(J3:J4))</f>
        <v/>
      </c>
      <c r="K5" s="11">
        <f>APR!G5</f>
        <v/>
      </c>
      <c r="L5" s="11">
        <f>MAY!G5</f>
        <v/>
      </c>
      <c r="M5" s="11">
        <f>JUN!G5</f>
        <v/>
      </c>
      <c r="N5" s="12">
        <f>IF(COUNT(N3:N4)=0,"",SUM(N3:N4))</f>
        <v/>
      </c>
      <c r="O5" s="11">
        <f>JUL!G5</f>
        <v/>
      </c>
      <c r="P5" s="11">
        <f>AUG!G5</f>
        <v/>
      </c>
      <c r="Q5" s="11">
        <f>SEP!G5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OCT!G6</f>
        <v/>
      </c>
      <c r="D6" s="11">
        <f>NOV!G6</f>
        <v/>
      </c>
      <c r="E6" s="11">
        <f>DEC!G6</f>
        <v/>
      </c>
      <c r="F6" s="12">
        <f>IFERROR(AVERAGE(C6:E6),"")</f>
        <v/>
      </c>
      <c r="G6" s="11">
        <f>JAN!G6</f>
        <v/>
      </c>
      <c r="H6" s="11">
        <f>FEB!G6</f>
        <v/>
      </c>
      <c r="I6" s="11">
        <f>MAR!G6</f>
        <v/>
      </c>
      <c r="J6" s="12">
        <f>IFERROR(AVERAGE(G6:I6),"")</f>
        <v/>
      </c>
      <c r="K6" s="11">
        <f>APR!G6</f>
        <v/>
      </c>
      <c r="L6" s="11">
        <f>MAY!G6</f>
        <v/>
      </c>
      <c r="M6" s="11">
        <f>JUN!G6</f>
        <v/>
      </c>
      <c r="N6" s="12">
        <f>IFERROR(AVERAGE(K6:M6),"")</f>
        <v/>
      </c>
      <c r="O6" s="11">
        <f>JUL!G6</f>
        <v/>
      </c>
      <c r="P6" s="11">
        <f>AUG!G6</f>
        <v/>
      </c>
      <c r="Q6" s="11">
        <f>SEP!G6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OCT!G7</f>
        <v/>
      </c>
      <c r="D7" s="11">
        <f>NOV!G7</f>
        <v/>
      </c>
      <c r="E7" s="11">
        <f>DEC!G7</f>
        <v/>
      </c>
      <c r="F7" s="12">
        <f>IFERROR(AVERAGE(C7:E7),"")</f>
        <v/>
      </c>
      <c r="G7" s="11">
        <f>JAN!G7</f>
        <v/>
      </c>
      <c r="H7" s="11">
        <f>FEB!G7</f>
        <v/>
      </c>
      <c r="I7" s="11">
        <f>MAR!G7</f>
        <v/>
      </c>
      <c r="J7" s="12">
        <f>IFERROR(AVERAGE(G7:I7),"")</f>
        <v/>
      </c>
      <c r="K7" s="11">
        <f>APR!G7</f>
        <v/>
      </c>
      <c r="L7" s="11">
        <f>MAY!G7</f>
        <v/>
      </c>
      <c r="M7" s="11">
        <f>JUN!G7</f>
        <v/>
      </c>
      <c r="N7" s="12">
        <f>IFERROR(AVERAGE(K7:M7),"")</f>
        <v/>
      </c>
      <c r="O7" s="11">
        <f>JUL!G7</f>
        <v/>
      </c>
      <c r="P7" s="11">
        <f>AUG!G7</f>
        <v/>
      </c>
      <c r="Q7" s="11">
        <f>SEP!G7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OCT!G8</f>
        <v/>
      </c>
      <c r="D8" s="11">
        <f>NOV!G8</f>
        <v/>
      </c>
      <c r="E8" s="11">
        <f>DEC!G8</f>
        <v/>
      </c>
      <c r="F8" s="12">
        <f>IFERROR(AVERAGE(C8:E8),"")</f>
        <v/>
      </c>
      <c r="G8" s="11">
        <f>JAN!G8</f>
        <v/>
      </c>
      <c r="H8" s="11">
        <f>FEB!G8</f>
        <v/>
      </c>
      <c r="I8" s="11">
        <f>MAR!G8</f>
        <v/>
      </c>
      <c r="J8" s="12">
        <f>IFERROR(AVERAGE(G8:I8),"")</f>
        <v/>
      </c>
      <c r="K8" s="11">
        <f>APR!G8</f>
        <v/>
      </c>
      <c r="L8" s="11">
        <f>MAY!G8</f>
        <v/>
      </c>
      <c r="M8" s="11">
        <f>JUN!G8</f>
        <v/>
      </c>
      <c r="N8" s="12">
        <f>IFERROR(AVERAGE(K8:M8),"")</f>
        <v/>
      </c>
      <c r="O8" s="11">
        <f>JUL!G8</f>
        <v/>
      </c>
      <c r="P8" s="11">
        <f>AUG!G8</f>
        <v/>
      </c>
      <c r="Q8" s="11">
        <f>SEP!G8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OCT!G9</f>
        <v/>
      </c>
      <c r="D9" s="11">
        <f>NOV!G9</f>
        <v/>
      </c>
      <c r="E9" s="11">
        <f>DEC!G9</f>
        <v/>
      </c>
      <c r="F9" s="12">
        <f>IFERROR(AVERAGE(C9:E9),"")</f>
        <v/>
      </c>
      <c r="G9" s="11">
        <f>JAN!G9</f>
        <v/>
      </c>
      <c r="H9" s="11">
        <f>FEB!G9</f>
        <v/>
      </c>
      <c r="I9" s="11">
        <f>MAR!G9</f>
        <v/>
      </c>
      <c r="J9" s="12">
        <f>IFERROR(AVERAGE(G9:I9),"")</f>
        <v/>
      </c>
      <c r="K9" s="11">
        <f>APR!G9</f>
        <v/>
      </c>
      <c r="L9" s="11">
        <f>MAY!G9</f>
        <v/>
      </c>
      <c r="M9" s="11">
        <f>JUN!G9</f>
        <v/>
      </c>
      <c r="N9" s="12">
        <f>IFERROR(AVERAGE(K9:M9),"")</f>
        <v/>
      </c>
      <c r="O9" s="11">
        <f>JUL!G9</f>
        <v/>
      </c>
      <c r="P9" s="11">
        <f>AUG!G9</f>
        <v/>
      </c>
      <c r="Q9" s="11">
        <f>SEP!G9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OCT!G10</f>
        <v/>
      </c>
      <c r="D10" s="14">
        <f>NOV!G10</f>
        <v/>
      </c>
      <c r="E10" s="14">
        <f>DEC!G10</f>
        <v/>
      </c>
      <c r="F10" s="15">
        <f>IFERROR(AVERAGE(C10:E10),"")</f>
        <v/>
      </c>
      <c r="G10" s="14">
        <f>JAN!G10</f>
        <v/>
      </c>
      <c r="H10" s="14">
        <f>FEB!G10</f>
        <v/>
      </c>
      <c r="I10" s="14">
        <f>MAR!G10</f>
        <v/>
      </c>
      <c r="J10" s="15">
        <f>IFERROR(AVERAGE(G10:I10),"")</f>
        <v/>
      </c>
      <c r="K10" s="14">
        <f>APR!G10</f>
        <v/>
      </c>
      <c r="L10" s="14">
        <f>MAY!G10</f>
        <v/>
      </c>
      <c r="M10" s="14">
        <f>JUN!G10</f>
        <v/>
      </c>
      <c r="N10" s="15">
        <f>IFERROR(AVERAGE(K10:M10),"")</f>
        <v/>
      </c>
      <c r="O10" s="14">
        <f>JUL!G10</f>
        <v/>
      </c>
      <c r="P10" s="14">
        <f>AUG!G10</f>
        <v/>
      </c>
      <c r="Q10" s="14">
        <f>SEP!G10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OCT!G11</f>
        <v/>
      </c>
      <c r="D11" s="16">
        <f>NOV!G11</f>
        <v/>
      </c>
      <c r="E11" s="16">
        <f>DEC!G11</f>
        <v/>
      </c>
      <c r="F11" s="17">
        <f>IF(COUNT(F6:F9)=0,"",N(F6)+N(F7)*0.75+N(F8)*0.5+N(F9)*0.25)</f>
        <v/>
      </c>
      <c r="G11" s="16">
        <f>JAN!G11</f>
        <v/>
      </c>
      <c r="H11" s="16">
        <f>FEB!G11</f>
        <v/>
      </c>
      <c r="I11" s="16">
        <f>MAR!G11</f>
        <v/>
      </c>
      <c r="J11" s="17">
        <f>IF(COUNT(J6:J9)=0,"",N(J6)+N(J7)*0.75+N(J8)*0.5+N(J9)*0.25)</f>
        <v/>
      </c>
      <c r="K11" s="16">
        <f>APR!G11</f>
        <v/>
      </c>
      <c r="L11" s="16">
        <f>MAY!G11</f>
        <v/>
      </c>
      <c r="M11" s="16">
        <f>JUN!G11</f>
        <v/>
      </c>
      <c r="N11" s="17">
        <f>IF(COUNT(N6:N9)=0,"",N(N6)+N(N7)*0.75+N(N8)*0.5+N(N9)*0.25)</f>
        <v/>
      </c>
      <c r="O11" s="16">
        <f>JUL!G11</f>
        <v/>
      </c>
      <c r="P11" s="16">
        <f>AUG!G11</f>
        <v/>
      </c>
      <c r="Q11" s="16">
        <f>SEP!G11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OCT!G12</f>
        <v/>
      </c>
      <c r="D12" s="11">
        <f>NOV!G12</f>
        <v/>
      </c>
      <c r="E12" s="11">
        <f>DEC!G12</f>
        <v/>
      </c>
      <c r="F12" s="12">
        <f>IFERROR(AVERAGE(C12:E12),"")</f>
        <v/>
      </c>
      <c r="G12" s="11">
        <f>JAN!G12</f>
        <v/>
      </c>
      <c r="H12" s="11">
        <f>FEB!G12</f>
        <v/>
      </c>
      <c r="I12" s="11">
        <f>MAR!G12</f>
        <v/>
      </c>
      <c r="J12" s="12">
        <f>IFERROR(AVERAGE(G12:I12),"")</f>
        <v/>
      </c>
      <c r="K12" s="11">
        <f>APR!G12</f>
        <v/>
      </c>
      <c r="L12" s="11">
        <f>MAY!G12</f>
        <v/>
      </c>
      <c r="M12" s="11">
        <f>JUN!G12</f>
        <v/>
      </c>
      <c r="N12" s="12">
        <f>IFERROR(AVERAGE(K12:M12),"")</f>
        <v/>
      </c>
      <c r="O12" s="11">
        <f>JUL!G12</f>
        <v/>
      </c>
      <c r="P12" s="11">
        <f>AUG!G12</f>
        <v/>
      </c>
      <c r="Q12" s="11">
        <f>SEP!G12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OCT!G13</f>
        <v/>
      </c>
      <c r="D13" s="14">
        <f>NOV!G13</f>
        <v/>
      </c>
      <c r="E13" s="14">
        <f>DEC!G13</f>
        <v/>
      </c>
      <c r="F13" s="15">
        <f>IFERROR(AVERAGE(C13:E13),"")</f>
        <v/>
      </c>
      <c r="G13" s="14">
        <f>JAN!G13</f>
        <v/>
      </c>
      <c r="H13" s="14">
        <f>FEB!G13</f>
        <v/>
      </c>
      <c r="I13" s="14">
        <f>MAR!G13</f>
        <v/>
      </c>
      <c r="J13" s="15">
        <f>IFERROR(AVERAGE(G13:I13),"")</f>
        <v/>
      </c>
      <c r="K13" s="14">
        <f>APR!G13</f>
        <v/>
      </c>
      <c r="L13" s="14">
        <f>MAY!G13</f>
        <v/>
      </c>
      <c r="M13" s="14">
        <f>JUN!G13</f>
        <v/>
      </c>
      <c r="N13" s="15">
        <f>IFERROR(AVERAGE(K13:M13),"")</f>
        <v/>
      </c>
      <c r="O13" s="14">
        <f>JUL!G13</f>
        <v/>
      </c>
      <c r="P13" s="14">
        <f>AUG!G13</f>
        <v/>
      </c>
      <c r="Q13" s="14">
        <f>SEP!G13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OCT!G14</f>
        <v/>
      </c>
      <c r="D14" s="16">
        <f>NOV!G14</f>
        <v/>
      </c>
      <c r="E14" s="16">
        <f>DEC!G14</f>
        <v/>
      </c>
      <c r="F14" s="17">
        <f>IFERROR(F13/F10,"")</f>
        <v/>
      </c>
      <c r="G14" s="16">
        <f>JAN!G14</f>
        <v/>
      </c>
      <c r="H14" s="16">
        <f>FEB!G14</f>
        <v/>
      </c>
      <c r="I14" s="16">
        <f>MAR!G14</f>
        <v/>
      </c>
      <c r="J14" s="17">
        <f>IFERROR(J13/J10,"")</f>
        <v/>
      </c>
      <c r="K14" s="16">
        <f>APR!G14</f>
        <v/>
      </c>
      <c r="L14" s="16">
        <f>MAY!G14</f>
        <v/>
      </c>
      <c r="M14" s="16">
        <f>JUN!G14</f>
        <v/>
      </c>
      <c r="N14" s="17">
        <f>IFERROR(N13/N10,"")</f>
        <v/>
      </c>
      <c r="O14" s="16">
        <f>JUL!G14</f>
        <v/>
      </c>
      <c r="P14" s="16">
        <f>AUG!G14</f>
        <v/>
      </c>
      <c r="Q14" s="16">
        <f>SEP!G14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OCT!G15</f>
        <v/>
      </c>
      <c r="D15" s="11">
        <f>NOV!G15</f>
        <v/>
      </c>
      <c r="E15" s="11">
        <f>DEC!G15</f>
        <v/>
      </c>
      <c r="F15" s="12">
        <f>IF(COUNT(F5,F12)=0,"",SUM(F5,F12))</f>
        <v/>
      </c>
      <c r="G15" s="11">
        <f>JAN!G15</f>
        <v/>
      </c>
      <c r="H15" s="11">
        <f>FEB!G15</f>
        <v/>
      </c>
      <c r="I15" s="11">
        <f>MAR!G15</f>
        <v/>
      </c>
      <c r="J15" s="12">
        <f>IF(COUNT(J5,J12)=0,"",SUM(J5,J12))</f>
        <v/>
      </c>
      <c r="K15" s="11">
        <f>APR!G15</f>
        <v/>
      </c>
      <c r="L15" s="11">
        <f>MAY!G15</f>
        <v/>
      </c>
      <c r="M15" s="11">
        <f>JUN!G15</f>
        <v/>
      </c>
      <c r="N15" s="12">
        <f>IF(COUNT(N5,N12)=0,"",SUM(N5,N12))</f>
        <v/>
      </c>
      <c r="O15" s="11">
        <f>JUL!G15</f>
        <v/>
      </c>
      <c r="P15" s="11">
        <f>AUG!G15</f>
        <v/>
      </c>
      <c r="Q15" s="11">
        <f>SEP!G15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OCT!G16</f>
        <v/>
      </c>
      <c r="D16" s="16">
        <f>NOV!G16</f>
        <v/>
      </c>
      <c r="E16" s="16">
        <f>DEC!G16</f>
        <v/>
      </c>
      <c r="F16" s="17">
        <f>IF(COUNT(F11,F14)=0,"",SUM(F11,F14))</f>
        <v/>
      </c>
      <c r="G16" s="16">
        <f>JAN!G16</f>
        <v/>
      </c>
      <c r="H16" s="16">
        <f>FEB!G16</f>
        <v/>
      </c>
      <c r="I16" s="16">
        <f>MAR!G16</f>
        <v/>
      </c>
      <c r="J16" s="17">
        <f>IF(COUNT(J11,J14)=0,"",SUM(J11,J14))</f>
        <v/>
      </c>
      <c r="K16" s="16">
        <f>APR!G16</f>
        <v/>
      </c>
      <c r="L16" s="16">
        <f>MAY!G16</f>
        <v/>
      </c>
      <c r="M16" s="16">
        <f>JUN!G16</f>
        <v/>
      </c>
      <c r="N16" s="17">
        <f>IF(COUNT(N11,N14)=0,"",SUM(N11,N14))</f>
        <v/>
      </c>
      <c r="O16" s="16">
        <f>JUL!G16</f>
        <v/>
      </c>
      <c r="P16" s="16">
        <f>AUG!G16</f>
        <v/>
      </c>
      <c r="Q16" s="16">
        <f>SEP!G16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OCT!G17</f>
        <v/>
      </c>
      <c r="D17" s="19">
        <f>NOV!G17</f>
        <v/>
      </c>
      <c r="E17" s="19">
        <f>DEC!G17</f>
        <v/>
      </c>
      <c r="F17" s="20">
        <f>IFERROR(F12/F15,"")</f>
        <v/>
      </c>
      <c r="G17" s="19">
        <f>JAN!G17</f>
        <v/>
      </c>
      <c r="H17" s="19">
        <f>FEB!G17</f>
        <v/>
      </c>
      <c r="I17" s="19">
        <f>MAR!G17</f>
        <v/>
      </c>
      <c r="J17" s="20">
        <f>IFERROR(J12/J15,"")</f>
        <v/>
      </c>
      <c r="K17" s="19">
        <f>APR!G17</f>
        <v/>
      </c>
      <c r="L17" s="19">
        <f>MAY!G17</f>
        <v/>
      </c>
      <c r="M17" s="19">
        <f>JUN!G17</f>
        <v/>
      </c>
      <c r="N17" s="20">
        <f>IFERROR(N12/N15,"")</f>
        <v/>
      </c>
      <c r="O17" s="19">
        <f>JUL!G17</f>
        <v/>
      </c>
      <c r="P17" s="19">
        <f>AUG!G17</f>
        <v/>
      </c>
      <c r="Q17" s="19">
        <f>SEP!G17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OCT!G18</f>
        <v/>
      </c>
      <c r="D18" s="11">
        <f>NOV!G18</f>
        <v/>
      </c>
      <c r="E18" s="11">
        <f>DEC!G18</f>
        <v/>
      </c>
      <c r="F18" s="12">
        <f>IFERROR(AVERAGE(C18:E18),"")</f>
        <v/>
      </c>
      <c r="G18" s="11">
        <f>JAN!G18</f>
        <v/>
      </c>
      <c r="H18" s="11">
        <f>FEB!G18</f>
        <v/>
      </c>
      <c r="I18" s="11">
        <f>MAR!G18</f>
        <v/>
      </c>
      <c r="J18" s="12">
        <f>IFERROR(AVERAGE(G18:I18),"")</f>
        <v/>
      </c>
      <c r="K18" s="11">
        <f>APR!G18</f>
        <v/>
      </c>
      <c r="L18" s="11">
        <f>MAY!G18</f>
        <v/>
      </c>
      <c r="M18" s="11">
        <f>JUN!G18</f>
        <v/>
      </c>
      <c r="N18" s="12">
        <f>IFERROR(AVERAGE(K18:M18),"")</f>
        <v/>
      </c>
      <c r="O18" s="11">
        <f>JUL!G18</f>
        <v/>
      </c>
      <c r="P18" s="11">
        <f>AUG!G18</f>
        <v/>
      </c>
      <c r="Q18" s="11">
        <f>SEP!G18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OCT!G19</f>
        <v/>
      </c>
      <c r="D19" s="11">
        <f>NOV!G19</f>
        <v/>
      </c>
      <c r="E19" s="11">
        <f>DEC!G19</f>
        <v/>
      </c>
      <c r="F19" s="12">
        <f>IF(COUNT(C19:E19)=0,"",SUM(C19:E19))</f>
        <v/>
      </c>
      <c r="G19" s="11">
        <f>JAN!G19</f>
        <v/>
      </c>
      <c r="H19" s="11">
        <f>FEB!G19</f>
        <v/>
      </c>
      <c r="I19" s="11">
        <f>MAR!G19</f>
        <v/>
      </c>
      <c r="J19" s="12">
        <f>IF(COUNT(G19:I19)=0,"",SUM(G19:I19))</f>
        <v/>
      </c>
      <c r="K19" s="11">
        <f>APR!G19</f>
        <v/>
      </c>
      <c r="L19" s="11">
        <f>MAY!G19</f>
        <v/>
      </c>
      <c r="M19" s="11">
        <f>JUN!G19</f>
        <v/>
      </c>
      <c r="N19" s="12">
        <f>IF(COUNT(K19:M19)=0,"",SUM(K19:M19))</f>
        <v/>
      </c>
      <c r="O19" s="11">
        <f>JUL!G19</f>
        <v/>
      </c>
      <c r="P19" s="11">
        <f>AUG!G19</f>
        <v/>
      </c>
      <c r="Q19" s="11">
        <f>SEP!G19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OCT!G20</f>
        <v/>
      </c>
      <c r="D20" s="11">
        <f>NOV!G20</f>
        <v/>
      </c>
      <c r="E20" s="11">
        <f>DEC!G20</f>
        <v/>
      </c>
      <c r="F20" s="12">
        <f>IF(COUNT(C20:E20)=0,"",SUM(C20:E20))</f>
        <v/>
      </c>
      <c r="G20" s="11">
        <f>JAN!G20</f>
        <v/>
      </c>
      <c r="H20" s="11">
        <f>FEB!G20</f>
        <v/>
      </c>
      <c r="I20" s="11">
        <f>MAR!G20</f>
        <v/>
      </c>
      <c r="J20" s="12">
        <f>IF(COUNT(G20:I20)=0,"",SUM(G20:I20))</f>
        <v/>
      </c>
      <c r="K20" s="11">
        <f>APR!G20</f>
        <v/>
      </c>
      <c r="L20" s="11">
        <f>MAY!G20</f>
        <v/>
      </c>
      <c r="M20" s="11">
        <f>JUN!G20</f>
        <v/>
      </c>
      <c r="N20" s="12">
        <f>IF(COUNT(K20:M20)=0,"",SUM(K20:M20))</f>
        <v/>
      </c>
      <c r="O20" s="11">
        <f>JUL!G20</f>
        <v/>
      </c>
      <c r="P20" s="11">
        <f>AUG!G20</f>
        <v/>
      </c>
      <c r="Q20" s="11">
        <f>SEP!G20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OCT!G21</f>
        <v/>
      </c>
      <c r="D21" s="11">
        <f>NOV!G21</f>
        <v/>
      </c>
      <c r="E21" s="11">
        <f>DEC!G21</f>
        <v/>
      </c>
      <c r="F21" s="12">
        <f>IF(COUNT(F19:F20)=0,"",SUM(F19:F20))</f>
        <v/>
      </c>
      <c r="G21" s="11">
        <f>JAN!G21</f>
        <v/>
      </c>
      <c r="H21" s="11">
        <f>FEB!G21</f>
        <v/>
      </c>
      <c r="I21" s="11">
        <f>MAR!G21</f>
        <v/>
      </c>
      <c r="J21" s="12">
        <f>IF(COUNT(J19:J20)=0,"",SUM(J19:J20))</f>
        <v/>
      </c>
      <c r="K21" s="11">
        <f>APR!G21</f>
        <v/>
      </c>
      <c r="L21" s="11">
        <f>MAY!G21</f>
        <v/>
      </c>
      <c r="M21" s="11">
        <f>JUN!G21</f>
        <v/>
      </c>
      <c r="N21" s="12">
        <f>IF(COUNT(N19:N20)=0,"",SUM(N19:N20))</f>
        <v/>
      </c>
      <c r="O21" s="11">
        <f>JUL!G21</f>
        <v/>
      </c>
      <c r="P21" s="11">
        <f>AUG!G21</f>
        <v/>
      </c>
      <c r="Q21" s="11">
        <f>SEP!G21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OCT!G22</f>
        <v/>
      </c>
      <c r="D22" s="11">
        <f>NOV!G22</f>
        <v/>
      </c>
      <c r="E22" s="11">
        <f>DEC!G22</f>
        <v/>
      </c>
      <c r="F22" s="12">
        <f>IF(COUNT(C22:E22)=0,"",SUM(C22:E22))</f>
        <v/>
      </c>
      <c r="G22" s="11">
        <f>JAN!G22</f>
        <v/>
      </c>
      <c r="H22" s="11">
        <f>FEB!G22</f>
        <v/>
      </c>
      <c r="I22" s="11">
        <f>MAR!G22</f>
        <v/>
      </c>
      <c r="J22" s="12">
        <f>IF(COUNT(G22:I22)=0,"",SUM(G22:I22))</f>
        <v/>
      </c>
      <c r="K22" s="11">
        <f>APR!G22</f>
        <v/>
      </c>
      <c r="L22" s="11">
        <f>MAY!G22</f>
        <v/>
      </c>
      <c r="M22" s="11">
        <f>JUN!G22</f>
        <v/>
      </c>
      <c r="N22" s="12">
        <f>IF(COUNT(K22:M22)=0,"",SUM(K22:M22))</f>
        <v/>
      </c>
      <c r="O22" s="11">
        <f>JUL!G22</f>
        <v/>
      </c>
      <c r="P22" s="11">
        <f>AUG!G22</f>
        <v/>
      </c>
      <c r="Q22" s="11">
        <f>SEP!G22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OCT!G23</f>
        <v/>
      </c>
      <c r="D23" s="11">
        <f>NOV!G23</f>
        <v/>
      </c>
      <c r="E23" s="11">
        <f>DEC!G23</f>
        <v/>
      </c>
      <c r="F23" s="12">
        <f>IF(COUNT(C23:E23)=0,"",SUM(C23:E23))</f>
        <v/>
      </c>
      <c r="G23" s="11">
        <f>JAN!G23</f>
        <v/>
      </c>
      <c r="H23" s="11">
        <f>FEB!G23</f>
        <v/>
      </c>
      <c r="I23" s="11">
        <f>MAR!G23</f>
        <v/>
      </c>
      <c r="J23" s="12">
        <f>IF(COUNT(G23:I23)=0,"",SUM(G23:I23))</f>
        <v/>
      </c>
      <c r="K23" s="11">
        <f>APR!G23</f>
        <v/>
      </c>
      <c r="L23" s="11">
        <f>MAY!G23</f>
        <v/>
      </c>
      <c r="M23" s="11">
        <f>JUN!G23</f>
        <v/>
      </c>
      <c r="N23" s="12">
        <f>IF(COUNT(K23:M23)=0,"",SUM(K23:M23))</f>
        <v/>
      </c>
      <c r="O23" s="11">
        <f>JUL!G23</f>
        <v/>
      </c>
      <c r="P23" s="11">
        <f>AUG!G23</f>
        <v/>
      </c>
      <c r="Q23" s="11">
        <f>SEP!G23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OCT!G24</f>
        <v/>
      </c>
      <c r="D24" s="11">
        <f>NOV!G24</f>
        <v/>
      </c>
      <c r="E24" s="11">
        <f>DEC!G24</f>
        <v/>
      </c>
      <c r="F24" s="12">
        <f>IF(COUNT(F22:F23)=0,"",SUM(F22:F23))</f>
        <v/>
      </c>
      <c r="G24" s="11">
        <f>JAN!G24</f>
        <v/>
      </c>
      <c r="H24" s="11">
        <f>FEB!G24</f>
        <v/>
      </c>
      <c r="I24" s="11">
        <f>MAR!G24</f>
        <v/>
      </c>
      <c r="J24" s="12">
        <f>IF(COUNT(J22:J23)=0,"",SUM(J22:J23))</f>
        <v/>
      </c>
      <c r="K24" s="11">
        <f>APR!G24</f>
        <v/>
      </c>
      <c r="L24" s="11">
        <f>MAY!G24</f>
        <v/>
      </c>
      <c r="M24" s="11">
        <f>JUN!G24</f>
        <v/>
      </c>
      <c r="N24" s="12">
        <f>IF(COUNT(N22:N23)=0,"",SUM(N22:N23))</f>
        <v/>
      </c>
      <c r="O24" s="11">
        <f>JUL!G24</f>
        <v/>
      </c>
      <c r="P24" s="11">
        <f>AUG!G24</f>
        <v/>
      </c>
      <c r="Q24" s="11">
        <f>SEP!G24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OCT!G25</f>
        <v/>
      </c>
      <c r="D25" s="19">
        <f>NOV!G25</f>
        <v/>
      </c>
      <c r="E25" s="19">
        <f>DEC!G25</f>
        <v/>
      </c>
      <c r="F25" s="20">
        <f>IF(COUNT(F31,F32)&lt;2,"",IF((F32+F31)=0,"",N(F22)/((F32+F31)/2)))</f>
        <v/>
      </c>
      <c r="G25" s="19">
        <f>JAN!G25</f>
        <v/>
      </c>
      <c r="H25" s="19">
        <f>FEB!G25</f>
        <v/>
      </c>
      <c r="I25" s="19">
        <f>MAR!G25</f>
        <v/>
      </c>
      <c r="J25" s="20">
        <f>IF(COUNT(J31,J32)&lt;2,"",IF((J32+J31)=0,"",N(J22)/((J32+J31)/2)))</f>
        <v/>
      </c>
      <c r="K25" s="19">
        <f>APR!G25</f>
        <v/>
      </c>
      <c r="L25" s="19">
        <f>MAY!G25</f>
        <v/>
      </c>
      <c r="M25" s="19">
        <f>JUN!G25</f>
        <v/>
      </c>
      <c r="N25" s="20">
        <f>IF(COUNT(N31,N32)&lt;2,"",IF((N32+N31)=0,"",N(N22)/((N32+N31)/2)))</f>
        <v/>
      </c>
      <c r="O25" s="19">
        <f>JUL!G25</f>
        <v/>
      </c>
      <c r="P25" s="19">
        <f>AUG!G25</f>
        <v/>
      </c>
      <c r="Q25" s="19">
        <f>SEP!G25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OCT!G26</f>
        <v/>
      </c>
      <c r="D26" s="19">
        <f>NOV!G26</f>
        <v/>
      </c>
      <c r="E26" s="19">
        <f>DEC!G26</f>
        <v/>
      </c>
      <c r="F26" s="20">
        <f>IF(COUNT(F31,F32)&lt;2,"",IF((F32+F31)=0,"",N(F23)/((F32+F31)/2)))</f>
        <v/>
      </c>
      <c r="G26" s="19">
        <f>JAN!G26</f>
        <v/>
      </c>
      <c r="H26" s="19">
        <f>FEB!G26</f>
        <v/>
      </c>
      <c r="I26" s="19">
        <f>MAR!G26</f>
        <v/>
      </c>
      <c r="J26" s="20">
        <f>IF(COUNT(J31,J32)&lt;2,"",IF((J32+J31)=0,"",N(J23)/((J32+J31)/2)))</f>
        <v/>
      </c>
      <c r="K26" s="19">
        <f>APR!G26</f>
        <v/>
      </c>
      <c r="L26" s="19">
        <f>MAY!G26</f>
        <v/>
      </c>
      <c r="M26" s="19">
        <f>JUN!G26</f>
        <v/>
      </c>
      <c r="N26" s="20">
        <f>IF(COUNT(N31,N32)&lt;2,"",IF((N32+N31)=0,"",N(N23)/((N32+N31)/2)))</f>
        <v/>
      </c>
      <c r="O26" s="19">
        <f>JUL!G26</f>
        <v/>
      </c>
      <c r="P26" s="19">
        <f>AUG!G26</f>
        <v/>
      </c>
      <c r="Q26" s="19">
        <f>SEP!G26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OCT!G27</f>
        <v/>
      </c>
      <c r="D27" s="11">
        <f>NOV!G27</f>
        <v/>
      </c>
      <c r="E27" s="11">
        <f>DEC!G27</f>
        <v/>
      </c>
      <c r="F27" s="12">
        <f>IF(COUNT(C27:E27)=0,"",SUM(C27:E27))</f>
        <v/>
      </c>
      <c r="G27" s="11">
        <f>JAN!G27</f>
        <v/>
      </c>
      <c r="H27" s="11">
        <f>FEB!G27</f>
        <v/>
      </c>
      <c r="I27" s="11">
        <f>MAR!G27</f>
        <v/>
      </c>
      <c r="J27" s="12">
        <f>IF(COUNT(G27:I27)=0,"",SUM(G27:I27))</f>
        <v/>
      </c>
      <c r="K27" s="11">
        <f>APR!G27</f>
        <v/>
      </c>
      <c r="L27" s="11">
        <f>MAY!G27</f>
        <v/>
      </c>
      <c r="M27" s="11">
        <f>JUN!G27</f>
        <v/>
      </c>
      <c r="N27" s="12">
        <f>IF(COUNT(K27:M27)=0,"",SUM(K27:M27))</f>
        <v/>
      </c>
      <c r="O27" s="11">
        <f>JUL!G27</f>
        <v/>
      </c>
      <c r="P27" s="11">
        <f>AUG!G27</f>
        <v/>
      </c>
      <c r="Q27" s="11">
        <f>SEP!G27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OCT!G28</f>
        <v/>
      </c>
      <c r="D28" s="11">
        <f>NOV!G28</f>
        <v/>
      </c>
      <c r="E28" s="11">
        <f>DEC!G28</f>
        <v/>
      </c>
      <c r="F28" s="12">
        <f>IF(COUNT(C28:E28)=0,"",SUM(C28:E28))</f>
        <v/>
      </c>
      <c r="G28" s="11">
        <f>JAN!G28</f>
        <v/>
      </c>
      <c r="H28" s="11">
        <f>FEB!G28</f>
        <v/>
      </c>
      <c r="I28" s="11">
        <f>MAR!G28</f>
        <v/>
      </c>
      <c r="J28" s="12">
        <f>IF(COUNT(G28:I28)=0,"",SUM(G28:I28))</f>
        <v/>
      </c>
      <c r="K28" s="11">
        <f>APR!G28</f>
        <v/>
      </c>
      <c r="L28" s="11">
        <f>MAY!G28</f>
        <v/>
      </c>
      <c r="M28" s="11">
        <f>JUN!G28</f>
        <v/>
      </c>
      <c r="N28" s="12">
        <f>IF(COUNT(K28:M28)=0,"",SUM(K28:M28))</f>
        <v/>
      </c>
      <c r="O28" s="11">
        <f>JUL!G28</f>
        <v/>
      </c>
      <c r="P28" s="11">
        <f>AUG!G28</f>
        <v/>
      </c>
      <c r="Q28" s="11">
        <f>SEP!G28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OCT!G29</f>
        <v/>
      </c>
      <c r="D29" s="19">
        <f>NOV!G29</f>
        <v/>
      </c>
      <c r="E29" s="19">
        <f>DEC!G29</f>
        <v/>
      </c>
      <c r="F29" s="20">
        <f>IF(COUNT(F31,F32)&lt;2,"",IF((F32+F31)=0,"",N(F27)/((F32+F31)/2)))</f>
        <v/>
      </c>
      <c r="G29" s="19">
        <f>JAN!G29</f>
        <v/>
      </c>
      <c r="H29" s="19">
        <f>FEB!G29</f>
        <v/>
      </c>
      <c r="I29" s="19">
        <f>MAR!G29</f>
        <v/>
      </c>
      <c r="J29" s="20">
        <f>IF(COUNT(J31,J32)&lt;2,"",IF((J32+J31)=0,"",N(J27)/((J32+J31)/2)))</f>
        <v/>
      </c>
      <c r="K29" s="19">
        <f>APR!G29</f>
        <v/>
      </c>
      <c r="L29" s="19">
        <f>MAY!G29</f>
        <v/>
      </c>
      <c r="M29" s="19">
        <f>JUN!G29</f>
        <v/>
      </c>
      <c r="N29" s="20">
        <f>IF(COUNT(N31,N32)&lt;2,"",IF((N32+N31)=0,"",N(N27)/((N32+N31)/2)))</f>
        <v/>
      </c>
      <c r="O29" s="19">
        <f>JUL!G29</f>
        <v/>
      </c>
      <c r="P29" s="19">
        <f>AUG!G29</f>
        <v/>
      </c>
      <c r="Q29" s="19">
        <f>SEP!G29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OCT!G30</f>
        <v/>
      </c>
      <c r="D30" s="19">
        <f>NOV!G30</f>
        <v/>
      </c>
      <c r="E30" s="19">
        <f>DEC!G30</f>
        <v/>
      </c>
      <c r="F30" s="20">
        <f>IF(COUNT(F31,F32)&lt;2,"",IF((F32+F31)=0,"",N(F28)/((F32+F31)/2)))</f>
        <v/>
      </c>
      <c r="G30" s="19">
        <f>JAN!G30</f>
        <v/>
      </c>
      <c r="H30" s="19">
        <f>FEB!G30</f>
        <v/>
      </c>
      <c r="I30" s="19">
        <f>MAR!G30</f>
        <v/>
      </c>
      <c r="J30" s="20">
        <f>IF(COUNT(J31,J32)&lt;2,"",IF((J32+J31)=0,"",N(J28)/((J32+J31)/2)))</f>
        <v/>
      </c>
      <c r="K30" s="19">
        <f>APR!G30</f>
        <v/>
      </c>
      <c r="L30" s="19">
        <f>MAY!G30</f>
        <v/>
      </c>
      <c r="M30" s="19">
        <f>JUN!G30</f>
        <v/>
      </c>
      <c r="N30" s="20">
        <f>IF(COUNT(N31,N32)&lt;2,"",IF((N32+N31)=0,"",N(N28)/((N32+N31)/2)))</f>
        <v/>
      </c>
      <c r="O30" s="19">
        <f>JUL!G30</f>
        <v/>
      </c>
      <c r="P30" s="19">
        <f>AUG!G30</f>
        <v/>
      </c>
      <c r="Q30" s="19">
        <f>SEP!G30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OCT!G31</f>
        <v/>
      </c>
      <c r="D31" s="11">
        <f>NOV!G31</f>
        <v/>
      </c>
      <c r="E31" s="11">
        <f>DEC!G31</f>
        <v/>
      </c>
      <c r="F31" s="12">
        <f>IFERROR(AVERAGE(C31:E31),"")</f>
        <v/>
      </c>
      <c r="G31" s="11">
        <f>JAN!G31</f>
        <v/>
      </c>
      <c r="H31" s="11">
        <f>FEB!G31</f>
        <v/>
      </c>
      <c r="I31" s="11">
        <f>MAR!G31</f>
        <v/>
      </c>
      <c r="J31" s="12">
        <f>IFERROR(AVERAGE(G31:I31),"")</f>
        <v/>
      </c>
      <c r="K31" s="11">
        <f>APR!G31</f>
        <v/>
      </c>
      <c r="L31" s="11">
        <f>MAY!G31</f>
        <v/>
      </c>
      <c r="M31" s="11">
        <f>JUN!G31</f>
        <v/>
      </c>
      <c r="N31" s="12">
        <f>IFERROR(AVERAGE(K31:M31),"")</f>
        <v/>
      </c>
      <c r="O31" s="11">
        <f>JUL!G31</f>
        <v/>
      </c>
      <c r="P31" s="11">
        <f>AUG!G31</f>
        <v/>
      </c>
      <c r="Q31" s="11">
        <f>SEP!G31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OCT!G32</f>
        <v/>
      </c>
      <c r="D32" s="11">
        <f>NOV!G32</f>
        <v/>
      </c>
      <c r="E32" s="11">
        <f>DEC!G32</f>
        <v/>
      </c>
      <c r="F32" s="12">
        <f>IFERROR(AVERAGE(C32:E32),"")</f>
        <v/>
      </c>
      <c r="G32" s="11">
        <f>JAN!G32</f>
        <v/>
      </c>
      <c r="H32" s="11">
        <f>FEB!G32</f>
        <v/>
      </c>
      <c r="I32" s="11">
        <f>MAR!G32</f>
        <v/>
      </c>
      <c r="J32" s="12">
        <f>IFERROR(AVERAGE(G32:I32),"")</f>
        <v/>
      </c>
      <c r="K32" s="11">
        <f>APR!G32</f>
        <v/>
      </c>
      <c r="L32" s="11">
        <f>MAY!G32</f>
        <v/>
      </c>
      <c r="M32" s="11">
        <f>JUN!G32</f>
        <v/>
      </c>
      <c r="N32" s="12">
        <f>IFERROR(AVERAGE(K32:M32),"")</f>
        <v/>
      </c>
      <c r="O32" s="11">
        <f>JUL!G32</f>
        <v/>
      </c>
      <c r="P32" s="11">
        <f>AUG!G32</f>
        <v/>
      </c>
      <c r="Q32" s="11">
        <f>SEP!G32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OCT!G33</f>
        <v/>
      </c>
      <c r="D33" s="19">
        <f>NOV!G33</f>
        <v/>
      </c>
      <c r="E33" s="19">
        <f>DEC!G33</f>
        <v/>
      </c>
      <c r="F33" s="20">
        <f>IF(COUNT(F31,F32)&lt;2,"",IF((F32+F31)=0,"",N(F24)/((F32+F31)/2)))</f>
        <v/>
      </c>
      <c r="G33" s="19">
        <f>JAN!G33</f>
        <v/>
      </c>
      <c r="H33" s="19">
        <f>FEB!G33</f>
        <v/>
      </c>
      <c r="I33" s="19">
        <f>MAR!G33</f>
        <v/>
      </c>
      <c r="J33" s="20">
        <f>IF(COUNT(J31,J32)&lt;2,"",IF((J32+J31)=0,"",N(J24)/((J32+J31)/2)))</f>
        <v/>
      </c>
      <c r="K33" s="19">
        <f>APR!G33</f>
        <v/>
      </c>
      <c r="L33" s="19">
        <f>MAY!G33</f>
        <v/>
      </c>
      <c r="M33" s="19">
        <f>JUN!G33</f>
        <v/>
      </c>
      <c r="N33" s="20">
        <f>IF(COUNT(N31,N32)&lt;2,"",IF((N32+N31)=0,"",N(N24)/((N32+N31)/2)))</f>
        <v/>
      </c>
      <c r="O33" s="19">
        <f>JUL!G33</f>
        <v/>
      </c>
      <c r="P33" s="19">
        <f>AUG!G33</f>
        <v/>
      </c>
      <c r="Q33" s="19">
        <f>SEP!G33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OCT!G34</f>
        <v/>
      </c>
      <c r="D34" s="11">
        <f>NOV!G34</f>
        <v/>
      </c>
      <c r="E34" s="11">
        <f>DEC!G34</f>
        <v/>
      </c>
      <c r="F34" s="12">
        <f>IFERROR(AVERAGE(C34:E34),"")</f>
        <v/>
      </c>
      <c r="G34" s="11">
        <f>JAN!G34</f>
        <v/>
      </c>
      <c r="H34" s="11">
        <f>FEB!G34</f>
        <v/>
      </c>
      <c r="I34" s="11">
        <f>MAR!G34</f>
        <v/>
      </c>
      <c r="J34" s="12">
        <f>IFERROR(AVERAGE(G34:I34),"")</f>
        <v/>
      </c>
      <c r="K34" s="11">
        <f>APR!G34</f>
        <v/>
      </c>
      <c r="L34" s="11">
        <f>MAY!G34</f>
        <v/>
      </c>
      <c r="M34" s="11">
        <f>JUN!G34</f>
        <v/>
      </c>
      <c r="N34" s="12">
        <f>IFERROR(AVERAGE(K34:M34),"")</f>
        <v/>
      </c>
      <c r="O34" s="11">
        <f>JUL!G34</f>
        <v/>
      </c>
      <c r="P34" s="11">
        <f>AUG!G34</f>
        <v/>
      </c>
      <c r="Q34" s="11">
        <f>SEP!G34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OCT!G35</f>
        <v/>
      </c>
      <c r="D35" s="11">
        <f>NOV!G35</f>
        <v/>
      </c>
      <c r="E35" s="11">
        <f>DEC!G35</f>
        <v/>
      </c>
      <c r="F35" s="12">
        <f>IFERROR(AVERAGE(C35:E35),"")</f>
        <v/>
      </c>
      <c r="G35" s="11">
        <f>JAN!G35</f>
        <v/>
      </c>
      <c r="H35" s="11">
        <f>FEB!G35</f>
        <v/>
      </c>
      <c r="I35" s="11">
        <f>MAR!G35</f>
        <v/>
      </c>
      <c r="J35" s="12">
        <f>IFERROR(AVERAGE(G35:I35),"")</f>
        <v/>
      </c>
      <c r="K35" s="11">
        <f>APR!G35</f>
        <v/>
      </c>
      <c r="L35" s="11">
        <f>MAY!G35</f>
        <v/>
      </c>
      <c r="M35" s="11">
        <f>JUN!G35</f>
        <v/>
      </c>
      <c r="N35" s="12">
        <f>IFERROR(AVERAGE(K35:M35),"")</f>
        <v/>
      </c>
      <c r="O35" s="11">
        <f>JUL!G35</f>
        <v/>
      </c>
      <c r="P35" s="11">
        <f>AUG!G35</f>
        <v/>
      </c>
      <c r="Q35" s="11">
        <f>SEP!G35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OCT!G36</f>
        <v/>
      </c>
      <c r="D36" s="11">
        <f>NOV!G36</f>
        <v/>
      </c>
      <c r="E36" s="11">
        <f>DEC!G36</f>
        <v/>
      </c>
      <c r="F36" s="12">
        <f>IF(COUNT(F34:F35)=0,"",SUM(F34:F35))</f>
        <v/>
      </c>
      <c r="G36" s="11">
        <f>JAN!G36</f>
        <v/>
      </c>
      <c r="H36" s="11">
        <f>FEB!G36</f>
        <v/>
      </c>
      <c r="I36" s="11">
        <f>MAR!G36</f>
        <v/>
      </c>
      <c r="J36" s="12">
        <f>IF(COUNT(J34:J35)=0,"",SUM(J34:J35))</f>
        <v/>
      </c>
      <c r="K36" s="11">
        <f>APR!G36</f>
        <v/>
      </c>
      <c r="L36" s="11">
        <f>MAY!G36</f>
        <v/>
      </c>
      <c r="M36" s="11">
        <f>JUN!G36</f>
        <v/>
      </c>
      <c r="N36" s="12">
        <f>IF(COUNT(N34:N35)=0,"",SUM(N34:N35))</f>
        <v/>
      </c>
      <c r="O36" s="11">
        <f>JUL!G36</f>
        <v/>
      </c>
      <c r="P36" s="11">
        <f>AUG!G36</f>
        <v/>
      </c>
      <c r="Q36" s="11">
        <f>SEP!G36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OCT!G37</f>
        <v/>
      </c>
      <c r="D37" s="11">
        <f>NOV!G37</f>
        <v/>
      </c>
      <c r="E37" s="11">
        <f>DEC!G37</f>
        <v/>
      </c>
      <c r="F37" s="12">
        <f>IF(COUNT(F5,F36)=0,"",N(F5)+N(F36))</f>
        <v/>
      </c>
      <c r="G37" s="11">
        <f>JAN!G37</f>
        <v/>
      </c>
      <c r="H37" s="11">
        <f>FEB!G37</f>
        <v/>
      </c>
      <c r="I37" s="11">
        <f>MAR!G37</f>
        <v/>
      </c>
      <c r="J37" s="12">
        <f>IF(COUNT(J5,J36)=0,"",N(J5)+N(J36))</f>
        <v/>
      </c>
      <c r="K37" s="11">
        <f>APR!G37</f>
        <v/>
      </c>
      <c r="L37" s="11">
        <f>MAY!G37</f>
        <v/>
      </c>
      <c r="M37" s="11">
        <f>JUN!G37</f>
        <v/>
      </c>
      <c r="N37" s="12">
        <f>IF(COUNT(N5,N36)=0,"",N(N5)+N(N36))</f>
        <v/>
      </c>
      <c r="O37" s="11">
        <f>JUL!G37</f>
        <v/>
      </c>
      <c r="P37" s="11">
        <f>AUG!G37</f>
        <v/>
      </c>
      <c r="Q37" s="11">
        <f>SEP!G37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OCT!G38</f>
        <v/>
      </c>
      <c r="D38" s="19">
        <f>NOV!G38</f>
        <v/>
      </c>
      <c r="E38" s="19">
        <f>DEC!G38</f>
        <v/>
      </c>
      <c r="F38" s="20">
        <f>IFERROR(F36/F37,"")</f>
        <v/>
      </c>
      <c r="G38" s="19">
        <f>JAN!G38</f>
        <v/>
      </c>
      <c r="H38" s="19">
        <f>FEB!G38</f>
        <v/>
      </c>
      <c r="I38" s="19">
        <f>MAR!G38</f>
        <v/>
      </c>
      <c r="J38" s="20">
        <f>IFERROR(J36/J37,"")</f>
        <v/>
      </c>
      <c r="K38" s="19">
        <f>APR!G38</f>
        <v/>
      </c>
      <c r="L38" s="19">
        <f>MAY!G38</f>
        <v/>
      </c>
      <c r="M38" s="19">
        <f>JUN!G38</f>
        <v/>
      </c>
      <c r="N38" s="20">
        <f>IFERROR(N36/N37,"")</f>
        <v/>
      </c>
      <c r="O38" s="19">
        <f>JUL!G38</f>
        <v/>
      </c>
      <c r="P38" s="19">
        <f>AUG!G38</f>
        <v/>
      </c>
      <c r="Q38" s="19">
        <f>SEP!G38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OCT!G39</f>
        <v/>
      </c>
      <c r="D39" s="14">
        <f>NOV!G39</f>
        <v/>
      </c>
      <c r="E39" s="14">
        <f>DEC!G39</f>
        <v/>
      </c>
      <c r="F39" s="15">
        <f>IFERROR(LOOKUP(2,1/ISNUMBER(C39:E39),C39:E39),"")</f>
        <v/>
      </c>
      <c r="G39" s="14">
        <f>JAN!G39</f>
        <v/>
      </c>
      <c r="H39" s="14">
        <f>FEB!G39</f>
        <v/>
      </c>
      <c r="I39" s="14">
        <f>MAR!G39</f>
        <v/>
      </c>
      <c r="J39" s="15">
        <f>IFERROR(LOOKUP(2,1/ISNUMBER(G39:I39),G39:I39),"")</f>
        <v/>
      </c>
      <c r="K39" s="14">
        <f>APR!G39</f>
        <v/>
      </c>
      <c r="L39" s="14">
        <f>MAY!G39</f>
        <v/>
      </c>
      <c r="M39" s="14">
        <f>JUN!G39</f>
        <v/>
      </c>
      <c r="N39" s="15">
        <f>IFERROR(LOOKUP(2,1/ISNUMBER(K39:M39),K39:M39),"")</f>
        <v/>
      </c>
      <c r="O39" s="14">
        <f>JUL!G39</f>
        <v/>
      </c>
      <c r="P39" s="14">
        <f>AUG!G39</f>
        <v/>
      </c>
      <c r="Q39" s="14">
        <f>SEP!G39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OCT!G40</f>
        <v/>
      </c>
      <c r="D40" s="14">
        <f>NOV!G40</f>
        <v/>
      </c>
      <c r="E40" s="14">
        <f>DEC!G40</f>
        <v/>
      </c>
      <c r="F40" s="15">
        <f>IFERROR(LOOKUP(2,1/ISNUMBER(C40:E40),C40:E40),"")</f>
        <v/>
      </c>
      <c r="G40" s="14">
        <f>JAN!G40</f>
        <v/>
      </c>
      <c r="H40" s="14">
        <f>FEB!G40</f>
        <v/>
      </c>
      <c r="I40" s="14">
        <f>MAR!G40</f>
        <v/>
      </c>
      <c r="J40" s="15">
        <f>IFERROR(LOOKUP(2,1/ISNUMBER(G40:I40),G40:I40),"")</f>
        <v/>
      </c>
      <c r="K40" s="14">
        <f>APR!G40</f>
        <v/>
      </c>
      <c r="L40" s="14">
        <f>MAY!G40</f>
        <v/>
      </c>
      <c r="M40" s="14">
        <f>JUN!G40</f>
        <v/>
      </c>
      <c r="N40" s="15">
        <f>IFERROR(LOOKUP(2,1/ISNUMBER(K40:M40),K40:M40),"")</f>
        <v/>
      </c>
      <c r="O40" s="14">
        <f>JUL!G40</f>
        <v/>
      </c>
      <c r="P40" s="14">
        <f>AUG!G40</f>
        <v/>
      </c>
      <c r="Q40" s="14">
        <f>SEP!G40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OCT!G41</f>
        <v/>
      </c>
      <c r="D41" s="23">
        <f>NOV!G41</f>
        <v/>
      </c>
      <c r="E41" s="23">
        <f>DEC!G41</f>
        <v/>
      </c>
      <c r="F41" s="24">
        <f>IFERROR(AVERAGE(C41:E41),"")</f>
        <v/>
      </c>
      <c r="G41" s="23">
        <f>JAN!G41</f>
        <v/>
      </c>
      <c r="H41" s="23">
        <f>FEB!G41</f>
        <v/>
      </c>
      <c r="I41" s="23">
        <f>MAR!G41</f>
        <v/>
      </c>
      <c r="J41" s="24">
        <f>IFERROR(AVERAGE(G41:I41),"")</f>
        <v/>
      </c>
      <c r="K41" s="23">
        <f>APR!G41</f>
        <v/>
      </c>
      <c r="L41" s="23">
        <f>MAY!G41</f>
        <v/>
      </c>
      <c r="M41" s="23">
        <f>JUN!G41</f>
        <v/>
      </c>
      <c r="N41" s="24">
        <f>IFERROR(AVERAGE(K41:M41),"")</f>
        <v/>
      </c>
      <c r="O41" s="23">
        <f>JUL!G41</f>
        <v/>
      </c>
      <c r="P41" s="23">
        <f>AUG!G41</f>
        <v/>
      </c>
      <c r="Q41" s="23">
        <f>SEP!G41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OCT!G42</f>
        <v/>
      </c>
      <c r="D42" s="11">
        <f>NOV!G42</f>
        <v/>
      </c>
      <c r="E42" s="11">
        <f>DEC!G42</f>
        <v/>
      </c>
      <c r="F42" s="12">
        <f>IF(COUNT(C42:E42)=0,"",SUM(C42:E42))</f>
        <v/>
      </c>
      <c r="G42" s="11">
        <f>JAN!G42</f>
        <v/>
      </c>
      <c r="H42" s="11">
        <f>FEB!G42</f>
        <v/>
      </c>
      <c r="I42" s="11">
        <f>MAR!G42</f>
        <v/>
      </c>
      <c r="J42" s="12">
        <f>IF(COUNT(G42:I42)=0,"",SUM(G42:I42))</f>
        <v/>
      </c>
      <c r="K42" s="11">
        <f>APR!G42</f>
        <v/>
      </c>
      <c r="L42" s="11">
        <f>MAY!G42</f>
        <v/>
      </c>
      <c r="M42" s="11">
        <f>JUN!G42</f>
        <v/>
      </c>
      <c r="N42" s="12">
        <f>IF(COUNT(K42:M42)=0,"",SUM(K42:M42))</f>
        <v/>
      </c>
      <c r="O42" s="11">
        <f>JUL!G42</f>
        <v/>
      </c>
      <c r="P42" s="11">
        <f>AUG!G42</f>
        <v/>
      </c>
      <c r="Q42" s="11">
        <f>SEP!G42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OCT!G43</f>
        <v/>
      </c>
      <c r="D43" s="14">
        <f>NOV!G43</f>
        <v/>
      </c>
      <c r="E43" s="14">
        <f>DEC!G43</f>
        <v/>
      </c>
      <c r="F43" s="15">
        <f>IF(COUNT(C43:E43)=0,"",SUM(C43:E43))</f>
        <v/>
      </c>
      <c r="G43" s="14">
        <f>JAN!G43</f>
        <v/>
      </c>
      <c r="H43" s="14">
        <f>FEB!G43</f>
        <v/>
      </c>
      <c r="I43" s="14">
        <f>MAR!G43</f>
        <v/>
      </c>
      <c r="J43" s="15">
        <f>IF(COUNT(G43:I43)=0,"",SUM(G43:I43))</f>
        <v/>
      </c>
      <c r="K43" s="14">
        <f>APR!G43</f>
        <v/>
      </c>
      <c r="L43" s="14">
        <f>MAY!G43</f>
        <v/>
      </c>
      <c r="M43" s="14">
        <f>JUN!G43</f>
        <v/>
      </c>
      <c r="N43" s="15">
        <f>IF(COUNT(K43:M43)=0,"",SUM(K43:M43))</f>
        <v/>
      </c>
      <c r="O43" s="14">
        <f>JUL!G43</f>
        <v/>
      </c>
      <c r="P43" s="14">
        <f>AUG!G43</f>
        <v/>
      </c>
      <c r="Q43" s="14">
        <f>SEP!G43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OCT!G44</f>
        <v/>
      </c>
      <c r="D44" s="14">
        <f>NOV!G44</f>
        <v/>
      </c>
      <c r="E44" s="14">
        <f>DEC!G44</f>
        <v/>
      </c>
      <c r="F44" s="15">
        <f>IF(COUNT(C44:E44)=0,"",SUM(C44:E44))</f>
        <v/>
      </c>
      <c r="G44" s="14">
        <f>JAN!G44</f>
        <v/>
      </c>
      <c r="H44" s="14">
        <f>FEB!G44</f>
        <v/>
      </c>
      <c r="I44" s="14">
        <f>MAR!G44</f>
        <v/>
      </c>
      <c r="J44" s="15">
        <f>IF(COUNT(G44:I44)=0,"",SUM(G44:I44))</f>
        <v/>
      </c>
      <c r="K44" s="14">
        <f>APR!G44</f>
        <v/>
      </c>
      <c r="L44" s="14">
        <f>MAY!G44</f>
        <v/>
      </c>
      <c r="M44" s="14">
        <f>JUN!G44</f>
        <v/>
      </c>
      <c r="N44" s="15">
        <f>IF(COUNT(K44:M44)=0,"",SUM(K44:M44))</f>
        <v/>
      </c>
      <c r="O44" s="14">
        <f>JUL!G44</f>
        <v/>
      </c>
      <c r="P44" s="14">
        <f>AUG!G44</f>
        <v/>
      </c>
      <c r="Q44" s="14">
        <f>SEP!G44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OCT!G45</f>
        <v/>
      </c>
      <c r="D45" s="14">
        <f>NOV!G45</f>
        <v/>
      </c>
      <c r="E45" s="14">
        <f>DEC!G45</f>
        <v/>
      </c>
      <c r="F45" s="15">
        <f>IF(COUNT(F43:F44)=0,"",SUM(F43:F44))</f>
        <v/>
      </c>
      <c r="G45" s="14">
        <f>JAN!G45</f>
        <v/>
      </c>
      <c r="H45" s="14">
        <f>FEB!G45</f>
        <v/>
      </c>
      <c r="I45" s="14">
        <f>MAR!G45</f>
        <v/>
      </c>
      <c r="J45" s="15">
        <f>IF(COUNT(J43:J44)=0,"",SUM(J43:J44))</f>
        <v/>
      </c>
      <c r="K45" s="14">
        <f>APR!G45</f>
        <v/>
      </c>
      <c r="L45" s="14">
        <f>MAY!G45</f>
        <v/>
      </c>
      <c r="M45" s="14">
        <f>JUN!G45</f>
        <v/>
      </c>
      <c r="N45" s="15">
        <f>IF(COUNT(N43:N44)=0,"",SUM(N43:N44))</f>
        <v/>
      </c>
      <c r="O45" s="14">
        <f>JUL!G45</f>
        <v/>
      </c>
      <c r="P45" s="14">
        <f>AUG!G45</f>
        <v/>
      </c>
      <c r="Q45" s="14">
        <f>SEP!G45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OCT!G46</f>
        <v/>
      </c>
      <c r="D46" s="19">
        <f>NOV!G46</f>
        <v/>
      </c>
      <c r="E46" s="19">
        <f>DEC!G46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JAN!G46</f>
        <v/>
      </c>
      <c r="H46" s="19">
        <f>FEB!G46</f>
        <v/>
      </c>
      <c r="I46" s="19">
        <f>MAR!G46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APR!G46</f>
        <v/>
      </c>
      <c r="L46" s="19">
        <f>MAY!G46</f>
        <v/>
      </c>
      <c r="M46" s="19">
        <f>JUN!G46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JUL!G46</f>
        <v/>
      </c>
      <c r="P46" s="19">
        <f>AUG!G46</f>
        <v/>
      </c>
      <c r="Q46" s="19">
        <f>SEP!G46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OCT!G47</f>
        <v/>
      </c>
      <c r="D47" s="19">
        <f>NOV!G47</f>
        <v/>
      </c>
      <c r="E47" s="19">
        <f>DEC!G47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JAN!G47</f>
        <v/>
      </c>
      <c r="H47" s="19">
        <f>FEB!G47</f>
        <v/>
      </c>
      <c r="I47" s="19">
        <f>MAR!G47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APR!G47</f>
        <v/>
      </c>
      <c r="L47" s="19">
        <f>MAY!G47</f>
        <v/>
      </c>
      <c r="M47" s="19">
        <f>JUN!G47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JUL!G47</f>
        <v/>
      </c>
      <c r="P47" s="19">
        <f>AUG!G47</f>
        <v/>
      </c>
      <c r="Q47" s="19">
        <f>SEP!G47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OCT!G48</f>
        <v/>
      </c>
      <c r="D48" s="19">
        <f>NOV!G48</f>
        <v/>
      </c>
      <c r="E48" s="19">
        <f>DEC!G48</f>
        <v/>
      </c>
      <c r="F48" s="20">
        <f>IF(COUNT(F46:F47)=0,"",SUM(F46:F47))</f>
        <v/>
      </c>
      <c r="G48" s="19">
        <f>JAN!G48</f>
        <v/>
      </c>
      <c r="H48" s="19">
        <f>FEB!G48</f>
        <v/>
      </c>
      <c r="I48" s="19">
        <f>MAR!G48</f>
        <v/>
      </c>
      <c r="J48" s="20">
        <f>IF(COUNT(J46:J47)=0,"",SUM(J46:J47))</f>
        <v/>
      </c>
      <c r="K48" s="19">
        <f>APR!G48</f>
        <v/>
      </c>
      <c r="L48" s="19">
        <f>MAY!G48</f>
        <v/>
      </c>
      <c r="M48" s="19">
        <f>JUN!G48</f>
        <v/>
      </c>
      <c r="N48" s="20">
        <f>IF(COUNT(N46:N47)=0,"",SUM(N46:N47))</f>
        <v/>
      </c>
      <c r="O48" s="19">
        <f>JUL!G48</f>
        <v/>
      </c>
      <c r="P48" s="19">
        <f>AUG!G48</f>
        <v/>
      </c>
      <c r="Q48" s="19">
        <f>SEP!G48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OCT!G49</f>
        <v/>
      </c>
      <c r="D49" s="19">
        <f>NOV!G49</f>
        <v/>
      </c>
      <c r="E49" s="19">
        <f>DEC!G49</f>
        <v/>
      </c>
      <c r="F49" s="20">
        <f>IFERROR(AVERAGE(C49:E49),"")</f>
        <v/>
      </c>
      <c r="G49" s="19">
        <f>JAN!G49</f>
        <v/>
      </c>
      <c r="H49" s="19">
        <f>FEB!G49</f>
        <v/>
      </c>
      <c r="I49" s="19">
        <f>MAR!G49</f>
        <v/>
      </c>
      <c r="J49" s="20">
        <f>IFERROR(AVERAGE(G49:I49),"")</f>
        <v/>
      </c>
      <c r="K49" s="19">
        <f>APR!G49</f>
        <v/>
      </c>
      <c r="L49" s="19">
        <f>MAY!G49</f>
        <v/>
      </c>
      <c r="M49" s="19">
        <f>JUN!G49</f>
        <v/>
      </c>
      <c r="N49" s="20">
        <f>IFERROR(AVERAGE(K49:M49),"")</f>
        <v/>
      </c>
      <c r="O49" s="19">
        <f>JUL!G49</f>
        <v/>
      </c>
      <c r="P49" s="19">
        <f>AUG!G49</f>
        <v/>
      </c>
      <c r="Q49" s="19">
        <f>SEP!G49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OCT!G50</f>
        <v/>
      </c>
      <c r="D50" s="14">
        <f>NOV!G50</f>
        <v/>
      </c>
      <c r="E50" s="14">
        <f>DEC!G50</f>
        <v/>
      </c>
      <c r="F50" s="15">
        <f>IF(COUNT(C50:E50)=0,"",SUM(C50:E50))</f>
        <v/>
      </c>
      <c r="G50" s="14">
        <f>JAN!G50</f>
        <v/>
      </c>
      <c r="H50" s="14">
        <f>FEB!G50</f>
        <v/>
      </c>
      <c r="I50" s="14">
        <f>MAR!G50</f>
        <v/>
      </c>
      <c r="J50" s="15">
        <f>IF(COUNT(G50:I50)=0,"",SUM(G50:I50))</f>
        <v/>
      </c>
      <c r="K50" s="14">
        <f>APR!G50</f>
        <v/>
      </c>
      <c r="L50" s="14">
        <f>MAY!G50</f>
        <v/>
      </c>
      <c r="M50" s="14">
        <f>JUN!G50</f>
        <v/>
      </c>
      <c r="N50" s="15">
        <f>IF(COUNT(K50:M50)=0,"",SUM(K50:M50))</f>
        <v/>
      </c>
      <c r="O50" s="14">
        <f>JUL!G50</f>
        <v/>
      </c>
      <c r="P50" s="14">
        <f>AUG!G50</f>
        <v/>
      </c>
      <c r="Q50" s="14">
        <f>SEP!G50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OCT!G51</f>
        <v/>
      </c>
      <c r="D51" s="14">
        <f>NOV!G51</f>
        <v/>
      </c>
      <c r="E51" s="14">
        <f>DEC!G51</f>
        <v/>
      </c>
      <c r="F51" s="15">
        <f>IF(COUNT(C51:E51)=0,"",SUM(C51:E51))</f>
        <v/>
      </c>
      <c r="G51" s="14">
        <f>JAN!G51</f>
        <v/>
      </c>
      <c r="H51" s="14">
        <f>FEB!G51</f>
        <v/>
      </c>
      <c r="I51" s="14">
        <f>MAR!G51</f>
        <v/>
      </c>
      <c r="J51" s="15">
        <f>IF(COUNT(G51:I51)=0,"",SUM(G51:I51))</f>
        <v/>
      </c>
      <c r="K51" s="14">
        <f>APR!G51</f>
        <v/>
      </c>
      <c r="L51" s="14">
        <f>MAY!G51</f>
        <v/>
      </c>
      <c r="M51" s="14">
        <f>JUN!G51</f>
        <v/>
      </c>
      <c r="N51" s="15">
        <f>IF(COUNT(K51:M51)=0,"",SUM(K51:M51))</f>
        <v/>
      </c>
      <c r="O51" s="14">
        <f>JUL!G51</f>
        <v/>
      </c>
      <c r="P51" s="14">
        <f>AUG!G51</f>
        <v/>
      </c>
      <c r="Q51" s="14">
        <f>SEP!G51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OCT!G52</f>
        <v/>
      </c>
      <c r="D52" s="14">
        <f>NOV!G52</f>
        <v/>
      </c>
      <c r="E52" s="14">
        <f>DEC!G52</f>
        <v/>
      </c>
      <c r="F52" s="15">
        <f>IF(COUNT(C52:E52)=0,"",SUM(C52:E52))</f>
        <v/>
      </c>
      <c r="G52" s="14">
        <f>JAN!G52</f>
        <v/>
      </c>
      <c r="H52" s="14">
        <f>FEB!G52</f>
        <v/>
      </c>
      <c r="I52" s="14">
        <f>MAR!G52</f>
        <v/>
      </c>
      <c r="J52" s="15">
        <f>IF(COUNT(G52:I52)=0,"",SUM(G52:I52))</f>
        <v/>
      </c>
      <c r="K52" s="14">
        <f>APR!G52</f>
        <v/>
      </c>
      <c r="L52" s="14">
        <f>MAY!G52</f>
        <v/>
      </c>
      <c r="M52" s="14">
        <f>JUN!G52</f>
        <v/>
      </c>
      <c r="N52" s="15">
        <f>IF(COUNT(K52:M52)=0,"",SUM(K52:M52))</f>
        <v/>
      </c>
      <c r="O52" s="14">
        <f>JUL!G52</f>
        <v/>
      </c>
      <c r="P52" s="14">
        <f>AUG!G52</f>
        <v/>
      </c>
      <c r="Q52" s="14">
        <f>SEP!G52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OCT!G53</f>
        <v/>
      </c>
      <c r="D53" s="14">
        <f>NOV!G53</f>
        <v/>
      </c>
      <c r="E53" s="14">
        <f>DEC!G53</f>
        <v/>
      </c>
      <c r="F53" s="15">
        <f>IF(COUNT(C53:E53)=0,"",SUM(C53:E53))</f>
        <v/>
      </c>
      <c r="G53" s="14">
        <f>JAN!G53</f>
        <v/>
      </c>
      <c r="H53" s="14">
        <f>FEB!G53</f>
        <v/>
      </c>
      <c r="I53" s="14">
        <f>MAR!G53</f>
        <v/>
      </c>
      <c r="J53" s="15">
        <f>IF(COUNT(G53:I53)=0,"",SUM(G53:I53))</f>
        <v/>
      </c>
      <c r="K53" s="14">
        <f>APR!G53</f>
        <v/>
      </c>
      <c r="L53" s="14">
        <f>MAY!G53</f>
        <v/>
      </c>
      <c r="M53" s="14">
        <f>JUN!G53</f>
        <v/>
      </c>
      <c r="N53" s="15">
        <f>IF(COUNT(K53:M53)=0,"",SUM(K53:M53))</f>
        <v/>
      </c>
      <c r="O53" s="14">
        <f>JUL!G53</f>
        <v/>
      </c>
      <c r="P53" s="14">
        <f>AUG!G53</f>
        <v/>
      </c>
      <c r="Q53" s="14">
        <f>SEP!G53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OCT!G54</f>
        <v/>
      </c>
      <c r="D54" s="14">
        <f>NOV!G54</f>
        <v/>
      </c>
      <c r="E54" s="14">
        <f>DEC!G54</f>
        <v/>
      </c>
      <c r="F54" s="15">
        <f>IF(COUNT(C54:E54)=0,"",SUM(C54:E54))</f>
        <v/>
      </c>
      <c r="G54" s="14">
        <f>JAN!G54</f>
        <v/>
      </c>
      <c r="H54" s="14">
        <f>FEB!G54</f>
        <v/>
      </c>
      <c r="I54" s="14">
        <f>MAR!G54</f>
        <v/>
      </c>
      <c r="J54" s="15">
        <f>IF(COUNT(G54:I54)=0,"",SUM(G54:I54))</f>
        <v/>
      </c>
      <c r="K54" s="14">
        <f>APR!G54</f>
        <v/>
      </c>
      <c r="L54" s="14">
        <f>MAY!G54</f>
        <v/>
      </c>
      <c r="M54" s="14">
        <f>JUN!G54</f>
        <v/>
      </c>
      <c r="N54" s="15">
        <f>IF(COUNT(K54:M54)=0,"",SUM(K54:M54))</f>
        <v/>
      </c>
      <c r="O54" s="14">
        <f>JUL!G54</f>
        <v/>
      </c>
      <c r="P54" s="14">
        <f>AUG!G54</f>
        <v/>
      </c>
      <c r="Q54" s="14">
        <f>SEP!G54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OCT!G55</f>
        <v/>
      </c>
      <c r="D55" s="14">
        <f>NOV!G55</f>
        <v/>
      </c>
      <c r="E55" s="14">
        <f>DEC!G55</f>
        <v/>
      </c>
      <c r="F55" s="15">
        <f>IF(COUNT(F50:F54)=0,"",SUM(F50:F54))</f>
        <v/>
      </c>
      <c r="G55" s="14">
        <f>JAN!G55</f>
        <v/>
      </c>
      <c r="H55" s="14">
        <f>FEB!G55</f>
        <v/>
      </c>
      <c r="I55" s="14">
        <f>MAR!G55</f>
        <v/>
      </c>
      <c r="J55" s="15">
        <f>IF(COUNT(J50:J54)=0,"",SUM(J50:J54))</f>
        <v/>
      </c>
      <c r="K55" s="14">
        <f>APR!G55</f>
        <v/>
      </c>
      <c r="L55" s="14">
        <f>MAY!G55</f>
        <v/>
      </c>
      <c r="M55" s="14">
        <f>JUN!G55</f>
        <v/>
      </c>
      <c r="N55" s="15">
        <f>IF(COUNT(N50:N54)=0,"",SUM(N50:N54))</f>
        <v/>
      </c>
      <c r="O55" s="14">
        <f>JUL!G55</f>
        <v/>
      </c>
      <c r="P55" s="14">
        <f>AUG!G55</f>
        <v/>
      </c>
      <c r="Q55" s="14">
        <f>SEP!G55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OCT!G56</f>
        <v/>
      </c>
      <c r="D56" s="14">
        <f>NOV!G56</f>
        <v/>
      </c>
      <c r="E56" s="14">
        <f>DEC!G56</f>
        <v/>
      </c>
      <c r="F56" s="15">
        <f>IF(COUNT(C56:E56)=0,"",SUM(C56:E56))</f>
        <v/>
      </c>
      <c r="G56" s="14">
        <f>JAN!G56</f>
        <v/>
      </c>
      <c r="H56" s="14">
        <f>FEB!G56</f>
        <v/>
      </c>
      <c r="I56" s="14">
        <f>MAR!G56</f>
        <v/>
      </c>
      <c r="J56" s="15">
        <f>IF(COUNT(G56:I56)=0,"",SUM(G56:I56))</f>
        <v/>
      </c>
      <c r="K56" s="14">
        <f>APR!G56</f>
        <v/>
      </c>
      <c r="L56" s="14">
        <f>MAY!G56</f>
        <v/>
      </c>
      <c r="M56" s="14">
        <f>JUN!G56</f>
        <v/>
      </c>
      <c r="N56" s="15">
        <f>IF(COUNT(K56:M56)=0,"",SUM(K56:M56))</f>
        <v/>
      </c>
      <c r="O56" s="14">
        <f>JUL!G56</f>
        <v/>
      </c>
      <c r="P56" s="14">
        <f>AUG!G56</f>
        <v/>
      </c>
      <c r="Q56" s="14">
        <f>SEP!G56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OCT!G57</f>
        <v/>
      </c>
      <c r="D57" s="14">
        <f>NOV!G57</f>
        <v/>
      </c>
      <c r="E57" s="14">
        <f>DEC!G57</f>
        <v/>
      </c>
      <c r="F57" s="15">
        <f>IF(COUNT(C57:E57)=0,"",SUM(C57:E57))</f>
        <v/>
      </c>
      <c r="G57" s="14">
        <f>JAN!G57</f>
        <v/>
      </c>
      <c r="H57" s="14">
        <f>FEB!G57</f>
        <v/>
      </c>
      <c r="I57" s="14">
        <f>MAR!G57</f>
        <v/>
      </c>
      <c r="J57" s="15">
        <f>IF(COUNT(G57:I57)=0,"",SUM(G57:I57))</f>
        <v/>
      </c>
      <c r="K57" s="14">
        <f>APR!G57</f>
        <v/>
      </c>
      <c r="L57" s="14">
        <f>MAY!G57</f>
        <v/>
      </c>
      <c r="M57" s="14">
        <f>JUN!G57</f>
        <v/>
      </c>
      <c r="N57" s="15">
        <f>IF(COUNT(K57:M57)=0,"",SUM(K57:M57))</f>
        <v/>
      </c>
      <c r="O57" s="14">
        <f>JUL!G57</f>
        <v/>
      </c>
      <c r="P57" s="14">
        <f>AUG!G57</f>
        <v/>
      </c>
      <c r="Q57" s="14">
        <f>SEP!G57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OCT!G58</f>
        <v/>
      </c>
      <c r="D58" s="14">
        <f>NOV!G58</f>
        <v/>
      </c>
      <c r="E58" s="14">
        <f>DEC!G58</f>
        <v/>
      </c>
      <c r="F58" s="15">
        <f>IF(COUNT(C58:E58)=0,"",SUM(C58:E58))</f>
        <v/>
      </c>
      <c r="G58" s="14">
        <f>JAN!G58</f>
        <v/>
      </c>
      <c r="H58" s="14">
        <f>FEB!G58</f>
        <v/>
      </c>
      <c r="I58" s="14">
        <f>MAR!G58</f>
        <v/>
      </c>
      <c r="J58" s="15">
        <f>IF(COUNT(G58:I58)=0,"",SUM(G58:I58))</f>
        <v/>
      </c>
      <c r="K58" s="14">
        <f>APR!G58</f>
        <v/>
      </c>
      <c r="L58" s="14">
        <f>MAY!G58</f>
        <v/>
      </c>
      <c r="M58" s="14">
        <f>JUN!G58</f>
        <v/>
      </c>
      <c r="N58" s="15">
        <f>IF(COUNT(K58:M58)=0,"",SUM(K58:M58))</f>
        <v/>
      </c>
      <c r="O58" s="14">
        <f>JUL!G58</f>
        <v/>
      </c>
      <c r="P58" s="14">
        <f>AUG!G58</f>
        <v/>
      </c>
      <c r="Q58" s="14">
        <f>SEP!G58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OCT!G59</f>
        <v/>
      </c>
      <c r="D59" s="14">
        <f>NOV!G59</f>
        <v/>
      </c>
      <c r="E59" s="14">
        <f>DEC!G59</f>
        <v/>
      </c>
      <c r="F59" s="15">
        <f>IF(COUNT(C59:E59)=0,"",SUM(C59:E59))</f>
        <v/>
      </c>
      <c r="G59" s="14">
        <f>JAN!G59</f>
        <v/>
      </c>
      <c r="H59" s="14">
        <f>FEB!G59</f>
        <v/>
      </c>
      <c r="I59" s="14">
        <f>MAR!G59</f>
        <v/>
      </c>
      <c r="J59" s="15">
        <f>IF(COUNT(G59:I59)=0,"",SUM(G59:I59))</f>
        <v/>
      </c>
      <c r="K59" s="14">
        <f>APR!G59</f>
        <v/>
      </c>
      <c r="L59" s="14">
        <f>MAY!G59</f>
        <v/>
      </c>
      <c r="M59" s="14">
        <f>JUN!G59</f>
        <v/>
      </c>
      <c r="N59" s="15">
        <f>IF(COUNT(K59:M59)=0,"",SUM(K59:M59))</f>
        <v/>
      </c>
      <c r="O59" s="14">
        <f>JUL!G59</f>
        <v/>
      </c>
      <c r="P59" s="14">
        <f>AUG!G59</f>
        <v/>
      </c>
      <c r="Q59" s="14">
        <f>SEP!G59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OCT!G60</f>
        <v/>
      </c>
      <c r="D60" s="19">
        <f>NOV!G60</f>
        <v/>
      </c>
      <c r="E60" s="19">
        <f>DEC!G60</f>
        <v/>
      </c>
      <c r="F60" s="20">
        <f>IFERROR(F50/F$55,"")</f>
        <v/>
      </c>
      <c r="G60" s="19">
        <f>JAN!G60</f>
        <v/>
      </c>
      <c r="H60" s="19">
        <f>FEB!G60</f>
        <v/>
      </c>
      <c r="I60" s="19">
        <f>MAR!G60</f>
        <v/>
      </c>
      <c r="J60" s="20">
        <f>IFERROR(J50/J$55,"")</f>
        <v/>
      </c>
      <c r="K60" s="19">
        <f>APR!G60</f>
        <v/>
      </c>
      <c r="L60" s="19">
        <f>MAY!G60</f>
        <v/>
      </c>
      <c r="M60" s="19">
        <f>JUN!G60</f>
        <v/>
      </c>
      <c r="N60" s="20">
        <f>IFERROR(N50/N$55,"")</f>
        <v/>
      </c>
      <c r="O60" s="19">
        <f>JUL!G60</f>
        <v/>
      </c>
      <c r="P60" s="19">
        <f>AUG!G60</f>
        <v/>
      </c>
      <c r="Q60" s="19">
        <f>SEP!G60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OCT!G61</f>
        <v/>
      </c>
      <c r="D61" s="19">
        <f>NOV!G61</f>
        <v/>
      </c>
      <c r="E61" s="19">
        <f>DEC!G61</f>
        <v/>
      </c>
      <c r="F61" s="20">
        <f>IFERROR(F51/F$55,"")</f>
        <v/>
      </c>
      <c r="G61" s="19">
        <f>JAN!G61</f>
        <v/>
      </c>
      <c r="H61" s="19">
        <f>FEB!G61</f>
        <v/>
      </c>
      <c r="I61" s="19">
        <f>MAR!G61</f>
        <v/>
      </c>
      <c r="J61" s="20">
        <f>IFERROR(J51/J$55,"")</f>
        <v/>
      </c>
      <c r="K61" s="19">
        <f>APR!G61</f>
        <v/>
      </c>
      <c r="L61" s="19">
        <f>MAY!G61</f>
        <v/>
      </c>
      <c r="M61" s="19">
        <f>JUN!G61</f>
        <v/>
      </c>
      <c r="N61" s="20">
        <f>IFERROR(N51/N$55,"")</f>
        <v/>
      </c>
      <c r="O61" s="19">
        <f>JUL!G61</f>
        <v/>
      </c>
      <c r="P61" s="19">
        <f>AUG!G61</f>
        <v/>
      </c>
      <c r="Q61" s="19">
        <f>SEP!G61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OCT!G62</f>
        <v/>
      </c>
      <c r="D62" s="19">
        <f>NOV!G62</f>
        <v/>
      </c>
      <c r="E62" s="19">
        <f>DEC!G62</f>
        <v/>
      </c>
      <c r="F62" s="20">
        <f>IFERROR(F52/F$55,"")</f>
        <v/>
      </c>
      <c r="G62" s="19">
        <f>JAN!G62</f>
        <v/>
      </c>
      <c r="H62" s="19">
        <f>FEB!G62</f>
        <v/>
      </c>
      <c r="I62" s="19">
        <f>MAR!G62</f>
        <v/>
      </c>
      <c r="J62" s="20">
        <f>IFERROR(J52/J$55,"")</f>
        <v/>
      </c>
      <c r="K62" s="19">
        <f>APR!G62</f>
        <v/>
      </c>
      <c r="L62" s="19">
        <f>MAY!G62</f>
        <v/>
      </c>
      <c r="M62" s="19">
        <f>JUN!G62</f>
        <v/>
      </c>
      <c r="N62" s="20">
        <f>IFERROR(N52/N$55,"")</f>
        <v/>
      </c>
      <c r="O62" s="19">
        <f>JUL!G62</f>
        <v/>
      </c>
      <c r="P62" s="19">
        <f>AUG!G62</f>
        <v/>
      </c>
      <c r="Q62" s="19">
        <f>SEP!G62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OCT!G63</f>
        <v/>
      </c>
      <c r="D63" s="19">
        <f>NOV!G63</f>
        <v/>
      </c>
      <c r="E63" s="19">
        <f>DEC!G63</f>
        <v/>
      </c>
      <c r="F63" s="20">
        <f>IFERROR(F53/F$55,"")</f>
        <v/>
      </c>
      <c r="G63" s="19">
        <f>JAN!G63</f>
        <v/>
      </c>
      <c r="H63" s="19">
        <f>FEB!G63</f>
        <v/>
      </c>
      <c r="I63" s="19">
        <f>MAR!G63</f>
        <v/>
      </c>
      <c r="J63" s="20">
        <f>IFERROR(J53/J$55,"")</f>
        <v/>
      </c>
      <c r="K63" s="19">
        <f>APR!G63</f>
        <v/>
      </c>
      <c r="L63" s="19">
        <f>MAY!G63</f>
        <v/>
      </c>
      <c r="M63" s="19">
        <f>JUN!G63</f>
        <v/>
      </c>
      <c r="N63" s="20">
        <f>IFERROR(N53/N$55,"")</f>
        <v/>
      </c>
      <c r="O63" s="19">
        <f>JUL!G63</f>
        <v/>
      </c>
      <c r="P63" s="19">
        <f>AUG!G63</f>
        <v/>
      </c>
      <c r="Q63" s="19">
        <f>SEP!G63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OCT!G64</f>
        <v/>
      </c>
      <c r="D64" s="19">
        <f>NOV!G64</f>
        <v/>
      </c>
      <c r="E64" s="19">
        <f>DEC!G64</f>
        <v/>
      </c>
      <c r="F64" s="20">
        <f>IFERROR(F54/F$55,"")</f>
        <v/>
      </c>
      <c r="G64" s="19">
        <f>JAN!G64</f>
        <v/>
      </c>
      <c r="H64" s="19">
        <f>FEB!G64</f>
        <v/>
      </c>
      <c r="I64" s="19">
        <f>MAR!G64</f>
        <v/>
      </c>
      <c r="J64" s="20">
        <f>IFERROR(J54/J$55,"")</f>
        <v/>
      </c>
      <c r="K64" s="19">
        <f>APR!G64</f>
        <v/>
      </c>
      <c r="L64" s="19">
        <f>MAY!G64</f>
        <v/>
      </c>
      <c r="M64" s="19">
        <f>JUN!G64</f>
        <v/>
      </c>
      <c r="N64" s="20">
        <f>IFERROR(N54/N$55,"")</f>
        <v/>
      </c>
      <c r="O64" s="19">
        <f>JUL!G64</f>
        <v/>
      </c>
      <c r="P64" s="19">
        <f>AUG!G64</f>
        <v/>
      </c>
      <c r="Q64" s="19">
        <f>SEP!G64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OCT!G65</f>
        <v/>
      </c>
      <c r="D65" s="19">
        <f>NOV!G65</f>
        <v/>
      </c>
      <c r="E65" s="19">
        <f>DEC!G65</f>
        <v/>
      </c>
      <c r="F65" s="20">
        <f>IFERROR(F56/SUM(C5:E5),"")</f>
        <v/>
      </c>
      <c r="G65" s="19">
        <f>JAN!G65</f>
        <v/>
      </c>
      <c r="H65" s="19">
        <f>FEB!G65</f>
        <v/>
      </c>
      <c r="I65" s="19">
        <f>MAR!G65</f>
        <v/>
      </c>
      <c r="J65" s="20">
        <f>IFERROR(J56/SUM(G5:I5),"")</f>
        <v/>
      </c>
      <c r="K65" s="19">
        <f>APR!G65</f>
        <v/>
      </c>
      <c r="L65" s="19">
        <f>MAY!G65</f>
        <v/>
      </c>
      <c r="M65" s="19">
        <f>JUN!G65</f>
        <v/>
      </c>
      <c r="N65" s="20">
        <f>IFERROR(N56/SUM(K5:M5),"")</f>
        <v/>
      </c>
      <c r="O65" s="19">
        <f>JUL!G65</f>
        <v/>
      </c>
      <c r="P65" s="19">
        <f>AUG!G65</f>
        <v/>
      </c>
      <c r="Q65" s="19">
        <f>SEP!G65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OCT!G66</f>
        <v/>
      </c>
      <c r="D66" s="16">
        <f>NOV!G66</f>
        <v/>
      </c>
      <c r="E66" s="16">
        <f>DEC!G66</f>
        <v/>
      </c>
      <c r="F66" s="17">
        <f>IFERROR(F55/F5,"")</f>
        <v/>
      </c>
      <c r="G66" s="16">
        <f>JAN!G66</f>
        <v/>
      </c>
      <c r="H66" s="16">
        <f>FEB!G66</f>
        <v/>
      </c>
      <c r="I66" s="16">
        <f>MAR!G66</f>
        <v/>
      </c>
      <c r="J66" s="17">
        <f>IFERROR(J55/J5,"")</f>
        <v/>
      </c>
      <c r="K66" s="16">
        <f>APR!G66</f>
        <v/>
      </c>
      <c r="L66" s="16">
        <f>MAY!G66</f>
        <v/>
      </c>
      <c r="M66" s="16">
        <f>JUN!G66</f>
        <v/>
      </c>
      <c r="N66" s="17">
        <f>IFERROR(N55/N5,"")</f>
        <v/>
      </c>
      <c r="O66" s="16">
        <f>JUL!G66</f>
        <v/>
      </c>
      <c r="P66" s="16">
        <f>AUG!G66</f>
        <v/>
      </c>
      <c r="Q66" s="16">
        <f>SEP!G66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OCT!G67</f>
        <v/>
      </c>
      <c r="D67" s="16">
        <f>NOV!G67</f>
        <v/>
      </c>
      <c r="E67" s="16">
        <f>DEC!G67</f>
        <v/>
      </c>
      <c r="F67" s="17">
        <f>IFERROR(F55/F56,"")</f>
        <v/>
      </c>
      <c r="G67" s="16">
        <f>JAN!G67</f>
        <v/>
      </c>
      <c r="H67" s="16">
        <f>FEB!G67</f>
        <v/>
      </c>
      <c r="I67" s="16">
        <f>MAR!G67</f>
        <v/>
      </c>
      <c r="J67" s="17">
        <f>IFERROR(J55/J56,"")</f>
        <v/>
      </c>
      <c r="K67" s="16">
        <f>APR!G67</f>
        <v/>
      </c>
      <c r="L67" s="16">
        <f>MAY!G67</f>
        <v/>
      </c>
      <c r="M67" s="16">
        <f>JUN!G67</f>
        <v/>
      </c>
      <c r="N67" s="17">
        <f>IFERROR(N55/N56,"")</f>
        <v/>
      </c>
      <c r="O67" s="16">
        <f>JUL!G67</f>
        <v/>
      </c>
      <c r="P67" s="16">
        <f>AUG!G67</f>
        <v/>
      </c>
      <c r="Q67" s="16">
        <f>SEP!G67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OCT!G68</f>
        <v/>
      </c>
      <c r="D68" s="16">
        <f>NOV!G68</f>
        <v/>
      </c>
      <c r="E68" s="16">
        <f>DEC!G68</f>
        <v/>
      </c>
      <c r="F68" s="17">
        <f>IF(COUNT(F58:F59)=0,"",IFERROR((N(F58)+N(F59))/F5,""))</f>
        <v/>
      </c>
      <c r="G68" s="16">
        <f>JAN!G68</f>
        <v/>
      </c>
      <c r="H68" s="16">
        <f>FEB!G68</f>
        <v/>
      </c>
      <c r="I68" s="16">
        <f>MAR!G68</f>
        <v/>
      </c>
      <c r="J68" s="17">
        <f>IF(COUNT(J58:J59)=0,"",IFERROR((N(J58)+N(J59))/J5,""))</f>
        <v/>
      </c>
      <c r="K68" s="16">
        <f>APR!G68</f>
        <v/>
      </c>
      <c r="L68" s="16">
        <f>MAY!G68</f>
        <v/>
      </c>
      <c r="M68" s="16">
        <f>JUN!G68</f>
        <v/>
      </c>
      <c r="N68" s="17">
        <f>IF(COUNT(N58:N59)=0,"",IFERROR((N(N58)+N(N59))/N5,""))</f>
        <v/>
      </c>
      <c r="O68" s="16">
        <f>JUL!G68</f>
        <v/>
      </c>
      <c r="P68" s="16">
        <f>AUG!G68</f>
        <v/>
      </c>
      <c r="Q68" s="16">
        <f>SEP!G68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OCT!G69</f>
        <v/>
      </c>
      <c r="D69" s="16">
        <f>NOV!G69</f>
        <v/>
      </c>
      <c r="E69" s="16">
        <f>DEC!G69</f>
        <v/>
      </c>
      <c r="F69" s="17">
        <f>IF(COUNT(F58:F59)=0,"",IFERROR((N(F58)+N(F59))/F56,""))</f>
        <v/>
      </c>
      <c r="G69" s="16">
        <f>JAN!G69</f>
        <v/>
      </c>
      <c r="H69" s="16">
        <f>FEB!G69</f>
        <v/>
      </c>
      <c r="I69" s="16">
        <f>MAR!G69</f>
        <v/>
      </c>
      <c r="J69" s="17">
        <f>IF(COUNT(J58:J59)=0,"",IFERROR((N(J58)+N(J59))/J56,""))</f>
        <v/>
      </c>
      <c r="K69" s="16">
        <f>APR!G69</f>
        <v/>
      </c>
      <c r="L69" s="16">
        <f>MAY!G69</f>
        <v/>
      </c>
      <c r="M69" s="16">
        <f>JUN!G69</f>
        <v/>
      </c>
      <c r="N69" s="17">
        <f>IF(COUNT(N58:N59)=0,"",IFERROR((N(N58)+N(N59))/N56,""))</f>
        <v/>
      </c>
      <c r="O69" s="16">
        <f>JUL!G69</f>
        <v/>
      </c>
      <c r="P69" s="16">
        <f>AUG!G69</f>
        <v/>
      </c>
      <c r="Q69" s="16">
        <f>SEP!G69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OCT!G70</f>
        <v/>
      </c>
      <c r="D70" s="14">
        <f>NOV!G70</f>
        <v/>
      </c>
      <c r="E70" s="14">
        <f>DEC!G70</f>
        <v/>
      </c>
      <c r="F70" s="14">
        <f>SUM(C70:E70)</f>
        <v/>
      </c>
      <c r="G70" s="14">
        <f>JAN!G70</f>
        <v/>
      </c>
      <c r="H70" s="14">
        <f>FEB!G70</f>
        <v/>
      </c>
      <c r="I70" s="14">
        <f>MAR!G70</f>
        <v/>
      </c>
      <c r="J70" s="14">
        <f>SUM(G70:I70)</f>
        <v/>
      </c>
      <c r="K70" s="14">
        <f>APR!G70</f>
        <v/>
      </c>
      <c r="L70" s="14">
        <f>MAY!G70</f>
        <v/>
      </c>
      <c r="M70" s="14">
        <f>JUN!G70</f>
        <v/>
      </c>
      <c r="N70" s="14">
        <f>SUM(K70:M70)</f>
        <v/>
      </c>
      <c r="O70" s="14">
        <f>JUL!G70</f>
        <v/>
      </c>
      <c r="P70" s="14">
        <f>AUG!G70</f>
        <v/>
      </c>
      <c r="Q70" s="14">
        <f>SEP!G70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30" t="n"/>
      <c r="D31" s="30" t="n"/>
      <c r="E31" s="30" t="n"/>
      <c r="F31" s="30" t="n"/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IF('(M&amp;C_Shipp)'!$AB$4="","",'(M&amp;C_Shipp)'!$AB$4)</f>
        <v/>
      </c>
      <c r="D39" s="14">
        <f>IF('(Coreas_Shipp)'!$AB$4="","",'(Coreas_Shipp)'!$AB$4)</f>
        <v/>
      </c>
      <c r="E39" s="14">
        <f>IF('(JBH_Shipp)'!$AB$4="","",'(JBH_Shipp)'!$AB$4)</f>
        <v/>
      </c>
      <c r="F39" s="14">
        <f>IF('(Shipping_BRB)'!$AB$4="","",'(Shipping_BRB)'!$AB$4)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IF('(M&amp;C_Shipp)'!$AD$4="","",'(M&amp;C_Shipp)'!$AD$4)</f>
        <v/>
      </c>
      <c r="D40" s="14">
        <f>IF('(Coreas_Shipp)'!$AD$4="","",'(Coreas_Shipp)'!$AD$4)</f>
        <v/>
      </c>
      <c r="E40" s="14">
        <f>IF('(JBH_Shipp)'!$AD$4="","",'(JBH_Shipp)'!$AD$4)</f>
        <v/>
      </c>
      <c r="F40" s="14">
        <f>IF('(Shipping_BRB)'!$AD$4="","",'(Shipping_BRB)'!$AD$4)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IF('(M&amp;C_Shipp)'!$G$4="","",'(M&amp;C_Shipp)'!$G$4)</f>
        <v/>
      </c>
      <c r="D46" s="19">
        <f>IF('(Coreas_Shipp)'!$G$4="","",'(Coreas_Shipp)'!$G$4)</f>
        <v/>
      </c>
      <c r="E46" s="19">
        <f>IF('(JBH_Shipp)'!$G$4="","",'(JBH_Shipp)'!$G$4)</f>
        <v/>
      </c>
      <c r="F46" s="19">
        <f>IF('(Shipping_BRB)'!$G$4="","",'(Shipping_BRB)'!$G$4)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IF('(M&amp;C_Shipp)'!$O$4="","",'(M&amp;C_Shipp)'!$O$4)</f>
        <v/>
      </c>
      <c r="D47" s="19">
        <f>IF('(Coreas_Shipp)'!$O$4="","",'(Coreas_Shipp)'!$O$4)</f>
        <v/>
      </c>
      <c r="E47" s="19">
        <f>IF('(JBH_Shipp)'!$O$4="","",'(JBH_Shipp)'!$O$4)</f>
        <v/>
      </c>
      <c r="F47" s="19">
        <f>IF('(Shipping_BRB)'!$O$4="","",'(Shipping_BRB)'!$O$4)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11">
        <f>IF(OCT!D5="","",OCT!D5)</f>
        <v/>
      </c>
      <c r="E31" s="11">
        <f>IF(OCT!E5="","",OCT!E5)</f>
        <v/>
      </c>
      <c r="F31" s="11">
        <f>IF(OCT!F5="","",OCT!F5)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IF('(M&amp;C_Shipp)'!$AB$5="","",'(M&amp;C_Shipp)'!$AB$5)</f>
        <v/>
      </c>
      <c r="D39" s="14">
        <f>IF('(Coreas_Shipp)'!$AB$5="","",'(Coreas_Shipp)'!$AB$5)</f>
        <v/>
      </c>
      <c r="E39" s="14">
        <f>IF('(JBH_Shipp)'!$AB$5="","",'(JBH_Shipp)'!$AB$5)</f>
        <v/>
      </c>
      <c r="F39" s="14">
        <f>IF('(Shipping_BRB)'!$AB$5="","",'(Shipping_BRB)'!$AB$5)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IF('(M&amp;C_Shipp)'!$AD$5="","",'(M&amp;C_Shipp)'!$AD$5)</f>
        <v/>
      </c>
      <c r="D40" s="14">
        <f>IF('(Coreas_Shipp)'!$AD$5="","",'(Coreas_Shipp)'!$AD$5)</f>
        <v/>
      </c>
      <c r="E40" s="14">
        <f>IF('(JBH_Shipp)'!$AD$5="","",'(JBH_Shipp)'!$AD$5)</f>
        <v/>
      </c>
      <c r="F40" s="14">
        <f>IF('(Shipping_BRB)'!$AD$5="","",'(Shipping_BRB)'!$AD$5)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IF('(M&amp;C_Shipp)'!$G$5="","",'(M&amp;C_Shipp)'!$G$5)</f>
        <v/>
      </c>
      <c r="D46" s="19">
        <f>IF('(Coreas_Shipp)'!$G$5="","",'(Coreas_Shipp)'!$G$5)</f>
        <v/>
      </c>
      <c r="E46" s="19">
        <f>IF('(JBH_Shipp)'!$G$5="","",'(JBH_Shipp)'!$G$5)</f>
        <v/>
      </c>
      <c r="F46" s="19">
        <f>IF('(Shipping_BRB)'!$G$5="","",'(Shipping_BRB)'!$G$5)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IF('(M&amp;C_Shipp)'!$O$5="","",'(M&amp;C_Shipp)'!$O$5)</f>
        <v/>
      </c>
      <c r="D47" s="19">
        <f>IF('(Coreas_Shipp)'!$O$5="","",'(Coreas_Shipp)'!$O$5)</f>
        <v/>
      </c>
      <c r="E47" s="19">
        <f>IF('(JBH_Shipp)'!$O$5="","",'(JBH_Shipp)'!$O$5)</f>
        <v/>
      </c>
      <c r="F47" s="19">
        <f>IF('(Shipping_BRB)'!$O$5="","",'(Shipping_BRB)'!$O$5)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11">
        <f>IF(NOV!D5="","",NOV!D5)</f>
        <v/>
      </c>
      <c r="E31" s="11">
        <f>IF(NOV!E5="","",NOV!E5)</f>
        <v/>
      </c>
      <c r="F31" s="11">
        <f>IF(NOV!F5="","",NOV!F5)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IF('(M&amp;C_Shipp)'!$AB$6="","",'(M&amp;C_Shipp)'!$AB$6)</f>
        <v/>
      </c>
      <c r="D39" s="14">
        <f>IF('(Coreas_Shipp)'!$AB$6="","",'(Coreas_Shipp)'!$AB$6)</f>
        <v/>
      </c>
      <c r="E39" s="14">
        <f>IF('(JBH_Shipp)'!$AB$6="","",'(JBH_Shipp)'!$AB$6)</f>
        <v/>
      </c>
      <c r="F39" s="14">
        <f>IF('(Shipping_BRB)'!$AB$6="","",'(Shipping_BRB)'!$AB$6)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IF('(M&amp;C_Shipp)'!$AD$6="","",'(M&amp;C_Shipp)'!$AD$6)</f>
        <v/>
      </c>
      <c r="D40" s="14">
        <f>IF('(Coreas_Shipp)'!$AD$6="","",'(Coreas_Shipp)'!$AD$6)</f>
        <v/>
      </c>
      <c r="E40" s="14">
        <f>IF('(JBH_Shipp)'!$AD$6="","",'(JBH_Shipp)'!$AD$6)</f>
        <v/>
      </c>
      <c r="F40" s="14">
        <f>IF('(Shipping_BRB)'!$AD$6="","",'(Shipping_BRB)'!$AD$6)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IF('(M&amp;C_Shipp)'!$G$6="","",'(M&amp;C_Shipp)'!$G$6)</f>
        <v/>
      </c>
      <c r="D46" s="19">
        <f>IF('(Coreas_Shipp)'!$G$6="","",'(Coreas_Shipp)'!$G$6)</f>
        <v/>
      </c>
      <c r="E46" s="19">
        <f>IF('(JBH_Shipp)'!$G$6="","",'(JBH_Shipp)'!$G$6)</f>
        <v/>
      </c>
      <c r="F46" s="19">
        <f>IF('(Shipping_BRB)'!$G$6="","",'(Shipping_BRB)'!$G$6)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IF('(M&amp;C_Shipp)'!$O$6="","",'(M&amp;C_Shipp)'!$O$6)</f>
        <v/>
      </c>
      <c r="D47" s="19">
        <f>IF('(Coreas_Shipp)'!$O$6="","",'(Coreas_Shipp)'!$O$6)</f>
        <v/>
      </c>
      <c r="E47" s="19">
        <f>IF('(JBH_Shipp)'!$O$6="","",'(JBH_Shipp)'!$O$6)</f>
        <v/>
      </c>
      <c r="F47" s="19">
        <f>IF('(Shipping_BRB)'!$O$6="","",'(Shipping_BRB)'!$O$6)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11">
        <f>IF(DEC!D5="","",DEC!D5)</f>
        <v/>
      </c>
      <c r="E31" s="11">
        <f>IF(DEC!E5="","",DEC!E5)</f>
        <v/>
      </c>
      <c r="F31" s="11">
        <f>IF(DEC!F5="","",DEC!F5)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IF('(M&amp;C_Shipp)'!$AB$7="","",'(M&amp;C_Shipp)'!$AB$7)</f>
        <v/>
      </c>
      <c r="D39" s="14">
        <f>IF('(Coreas_Shipp)'!$AB$7="","",'(Coreas_Shipp)'!$AB$7)</f>
        <v/>
      </c>
      <c r="E39" s="14">
        <f>IF('(JBH_Shipp)'!$AB$7="","",'(JBH_Shipp)'!$AB$7)</f>
        <v/>
      </c>
      <c r="F39" s="14">
        <f>IF('(Shipping_BRB)'!$AB$7="","",'(Shipping_BRB)'!$AB$7)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IF('(M&amp;C_Shipp)'!$AD$7="","",'(M&amp;C_Shipp)'!$AD$7)</f>
        <v/>
      </c>
      <c r="D40" s="14">
        <f>IF('(Coreas_Shipp)'!$AD$7="","",'(Coreas_Shipp)'!$AD$7)</f>
        <v/>
      </c>
      <c r="E40" s="14">
        <f>IF('(JBH_Shipp)'!$AD$7="","",'(JBH_Shipp)'!$AD$7)</f>
        <v/>
      </c>
      <c r="F40" s="14">
        <f>IF('(Shipping_BRB)'!$AD$7="","",'(Shipping_BRB)'!$AD$7)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IF('(M&amp;C_Shipp)'!$G$7="","",'(M&amp;C_Shipp)'!$G$7)</f>
        <v/>
      </c>
      <c r="D46" s="19">
        <f>IF('(Coreas_Shipp)'!$G$7="","",'(Coreas_Shipp)'!$G$7)</f>
        <v/>
      </c>
      <c r="E46" s="19">
        <f>IF('(JBH_Shipp)'!$G$7="","",'(JBH_Shipp)'!$G$7)</f>
        <v/>
      </c>
      <c r="F46" s="19">
        <f>IF('(Shipping_BRB)'!$G$7="","",'(Shipping_BRB)'!$G$7)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IF('(M&amp;C_Shipp)'!$O$7="","",'(M&amp;C_Shipp)'!$O$7)</f>
        <v/>
      </c>
      <c r="D47" s="19">
        <f>IF('(Coreas_Shipp)'!$O$7="","",'(Coreas_Shipp)'!$O$7)</f>
        <v/>
      </c>
      <c r="E47" s="19">
        <f>IF('(JBH_Shipp)'!$O$7="","",'(JBH_Shipp)'!$O$7)</f>
        <v/>
      </c>
      <c r="F47" s="19">
        <f>IF('(Shipping_BRB)'!$O$7="","",'(Shipping_BRB)'!$O$7)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11">
        <f>IF(JAN!D5="","",JAN!D5)</f>
        <v/>
      </c>
      <c r="E31" s="11">
        <f>IF(JAN!E5="","",JAN!E5)</f>
        <v/>
      </c>
      <c r="F31" s="11">
        <f>IF(JAN!F5="","",JAN!F5)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IF('(M&amp;C_Shipp)'!$AB$8="","",'(M&amp;C_Shipp)'!$AB$8)</f>
        <v/>
      </c>
      <c r="D39" s="14">
        <f>IF('(Coreas_Shipp)'!$AB$8="","",'(Coreas_Shipp)'!$AB$8)</f>
        <v/>
      </c>
      <c r="E39" s="14">
        <f>IF('(JBH_Shipp)'!$AB$8="","",'(JBH_Shipp)'!$AB$8)</f>
        <v/>
      </c>
      <c r="F39" s="14">
        <f>IF('(Shipping_BRB)'!$AB$8="","",'(Shipping_BRB)'!$AB$8)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IF('(M&amp;C_Shipp)'!$AD$8="","",'(M&amp;C_Shipp)'!$AD$8)</f>
        <v/>
      </c>
      <c r="D40" s="14">
        <f>IF('(Coreas_Shipp)'!$AD$8="","",'(Coreas_Shipp)'!$AD$8)</f>
        <v/>
      </c>
      <c r="E40" s="14">
        <f>IF('(JBH_Shipp)'!$AD$8="","",'(JBH_Shipp)'!$AD$8)</f>
        <v/>
      </c>
      <c r="F40" s="14">
        <f>IF('(Shipping_BRB)'!$AD$8="","",'(Shipping_BRB)'!$AD$8)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IF('(M&amp;C_Shipp)'!$G$8="","",'(M&amp;C_Shipp)'!$G$8)</f>
        <v/>
      </c>
      <c r="D46" s="19">
        <f>IF('(Coreas_Shipp)'!$G$8="","",'(Coreas_Shipp)'!$G$8)</f>
        <v/>
      </c>
      <c r="E46" s="19">
        <f>IF('(JBH_Shipp)'!$G$8="","",'(JBH_Shipp)'!$G$8)</f>
        <v/>
      </c>
      <c r="F46" s="19">
        <f>IF('(Shipping_BRB)'!$G$8="","",'(Shipping_BRB)'!$G$8)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IF('(M&amp;C_Shipp)'!$O$8="","",'(M&amp;C_Shipp)'!$O$8)</f>
        <v/>
      </c>
      <c r="D47" s="19">
        <f>IF('(Coreas_Shipp)'!$O$8="","",'(Coreas_Shipp)'!$O$8)</f>
        <v/>
      </c>
      <c r="E47" s="19">
        <f>IF('(JBH_Shipp)'!$O$8="","",'(JBH_Shipp)'!$O$8)</f>
        <v/>
      </c>
      <c r="F47" s="19">
        <f>IF('(Shipping_BRB)'!$O$8="","",'(Shipping_BRB)'!$O$8)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11">
        <f>IF(FEB!D5="","",FEB!D5)</f>
        <v/>
      </c>
      <c r="E31" s="11">
        <f>IF(FEB!E5="","",FEB!E5)</f>
        <v/>
      </c>
      <c r="F31" s="11">
        <f>IF(FEB!F5="","",FEB!F5)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IF('(M&amp;C_Shipp)'!$AB$9="","",'(M&amp;C_Shipp)'!$AB$9)</f>
        <v/>
      </c>
      <c r="D39" s="14">
        <f>IF('(Coreas_Shipp)'!$AB$9="","",'(Coreas_Shipp)'!$AB$9)</f>
        <v/>
      </c>
      <c r="E39" s="14">
        <f>IF('(JBH_Shipp)'!$AB$9="","",'(JBH_Shipp)'!$AB$9)</f>
        <v/>
      </c>
      <c r="F39" s="14">
        <f>IF('(Shipping_BRB)'!$AB$9="","",'(Shipping_BRB)'!$AB$9)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IF('(M&amp;C_Shipp)'!$AD$9="","",'(M&amp;C_Shipp)'!$AD$9)</f>
        <v/>
      </c>
      <c r="D40" s="14">
        <f>IF('(Coreas_Shipp)'!$AD$9="","",'(Coreas_Shipp)'!$AD$9)</f>
        <v/>
      </c>
      <c r="E40" s="14">
        <f>IF('(JBH_Shipp)'!$AD$9="","",'(JBH_Shipp)'!$AD$9)</f>
        <v/>
      </c>
      <c r="F40" s="14">
        <f>IF('(Shipping_BRB)'!$AD$9="","",'(Shipping_BRB)'!$AD$9)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IF('(M&amp;C_Shipp)'!$G$9="","",'(M&amp;C_Shipp)'!$G$9)</f>
        <v/>
      </c>
      <c r="D46" s="19">
        <f>IF('(Coreas_Shipp)'!$G$9="","",'(Coreas_Shipp)'!$G$9)</f>
        <v/>
      </c>
      <c r="E46" s="19">
        <f>IF('(JBH_Shipp)'!$G$9="","",'(JBH_Shipp)'!$G$9)</f>
        <v/>
      </c>
      <c r="F46" s="19">
        <f>IF('(Shipping_BRB)'!$G$9="","",'(Shipping_BRB)'!$G$9)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IF('(M&amp;C_Shipp)'!$O$9="","",'(M&amp;C_Shipp)'!$O$9)</f>
        <v/>
      </c>
      <c r="D47" s="19">
        <f>IF('(Coreas_Shipp)'!$O$9="","",'(Coreas_Shipp)'!$O$9)</f>
        <v/>
      </c>
      <c r="E47" s="19">
        <f>IF('(JBH_Shipp)'!$O$9="","",'(JBH_Shipp)'!$O$9)</f>
        <v/>
      </c>
      <c r="F47" s="19">
        <f>IF('(Shipping_BRB)'!$O$9="","",'(Shipping_BRB)'!$O$9)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11">
        <f>IF(MAR!D5="","",MAR!D5)</f>
        <v/>
      </c>
      <c r="E31" s="11">
        <f>IF(MAR!E5="","",MAR!E5)</f>
        <v/>
      </c>
      <c r="F31" s="11">
        <f>IF(MAR!F5="","",MAR!F5)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IF('(M&amp;C_Shipp)'!$AB$10="","",'(M&amp;C_Shipp)'!$AB$10)</f>
        <v/>
      </c>
      <c r="D39" s="14">
        <f>IF('(Coreas_Shipp)'!$AB$10="","",'(Coreas_Shipp)'!$AB$10)</f>
        <v/>
      </c>
      <c r="E39" s="14">
        <f>IF('(JBH_Shipp)'!$AB$10="","",'(JBH_Shipp)'!$AB$10)</f>
        <v/>
      </c>
      <c r="F39" s="14">
        <f>IF('(Shipping_BRB)'!$AB$10="","",'(Shipping_BRB)'!$AB$10)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IF('(M&amp;C_Shipp)'!$AD$10="","",'(M&amp;C_Shipp)'!$AD$10)</f>
        <v/>
      </c>
      <c r="D40" s="14">
        <f>IF('(Coreas_Shipp)'!$AD$10="","",'(Coreas_Shipp)'!$AD$10)</f>
        <v/>
      </c>
      <c r="E40" s="14">
        <f>IF('(JBH_Shipp)'!$AD$10="","",'(JBH_Shipp)'!$AD$10)</f>
        <v/>
      </c>
      <c r="F40" s="14">
        <f>IF('(Shipping_BRB)'!$AD$10="","",'(Shipping_BRB)'!$AD$10)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IF('(M&amp;C_Shipp)'!$G$10="","",'(M&amp;C_Shipp)'!$G$10)</f>
        <v/>
      </c>
      <c r="D46" s="19">
        <f>IF('(Coreas_Shipp)'!$G$10="","",'(Coreas_Shipp)'!$G$10)</f>
        <v/>
      </c>
      <c r="E46" s="19">
        <f>IF('(JBH_Shipp)'!$G$10="","",'(JBH_Shipp)'!$G$10)</f>
        <v/>
      </c>
      <c r="F46" s="19">
        <f>IF('(Shipping_BRB)'!$G$10="","",'(Shipping_BRB)'!$G$10)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IF('(M&amp;C_Shipp)'!$O$10="","",'(M&amp;C_Shipp)'!$O$10)</f>
        <v/>
      </c>
      <c r="D47" s="19">
        <f>IF('(Coreas_Shipp)'!$O$10="","",'(Coreas_Shipp)'!$O$10)</f>
        <v/>
      </c>
      <c r="E47" s="19">
        <f>IF('(JBH_Shipp)'!$O$10="","",'(JBH_Shipp)'!$O$10)</f>
        <v/>
      </c>
      <c r="F47" s="19">
        <f>IF('(Shipping_BRB)'!$O$10="","",'(Shipping_BRB)'!$O$10)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11">
        <f>IF(APR!D5="","",APR!D5)</f>
        <v/>
      </c>
      <c r="E31" s="11">
        <f>IF(APR!E5="","",APR!E5)</f>
        <v/>
      </c>
      <c r="F31" s="11">
        <f>IF(APR!F5="","",APR!F5)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IF('(M&amp;C_Shipp)'!$AB$11="","",'(M&amp;C_Shipp)'!$AB$11)</f>
        <v/>
      </c>
      <c r="D39" s="14">
        <f>IF('(Coreas_Shipp)'!$AB$11="","",'(Coreas_Shipp)'!$AB$11)</f>
        <v/>
      </c>
      <c r="E39" s="14">
        <f>IF('(JBH_Shipp)'!$AB$11="","",'(JBH_Shipp)'!$AB$11)</f>
        <v/>
      </c>
      <c r="F39" s="14">
        <f>IF('(Shipping_BRB)'!$AB$11="","",'(Shipping_BRB)'!$AB$11)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IF('(M&amp;C_Shipp)'!$AD$11="","",'(M&amp;C_Shipp)'!$AD$11)</f>
        <v/>
      </c>
      <c r="D40" s="14">
        <f>IF('(Coreas_Shipp)'!$AD$11="","",'(Coreas_Shipp)'!$AD$11)</f>
        <v/>
      </c>
      <c r="E40" s="14">
        <f>IF('(JBH_Shipp)'!$AD$11="","",'(JBH_Shipp)'!$AD$11)</f>
        <v/>
      </c>
      <c r="F40" s="14">
        <f>IF('(Shipping_BRB)'!$AD$11="","",'(Shipping_BRB)'!$AD$11)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IF('(M&amp;C_Shipp)'!$G$11="","",'(M&amp;C_Shipp)'!$G$11)</f>
        <v/>
      </c>
      <c r="D46" s="19">
        <f>IF('(Coreas_Shipp)'!$G$11="","",'(Coreas_Shipp)'!$G$11)</f>
        <v/>
      </c>
      <c r="E46" s="19">
        <f>IF('(JBH_Shipp)'!$G$11="","",'(JBH_Shipp)'!$G$11)</f>
        <v/>
      </c>
      <c r="F46" s="19">
        <f>IF('(Shipping_BRB)'!$G$11="","",'(Shipping_BRB)'!$G$11)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IF('(M&amp;C_Shipp)'!$O$11="","",'(M&amp;C_Shipp)'!$O$11)</f>
        <v/>
      </c>
      <c r="D47" s="19">
        <f>IF('(Coreas_Shipp)'!$O$11="","",'(Coreas_Shipp)'!$O$11)</f>
        <v/>
      </c>
      <c r="E47" s="19">
        <f>IF('(JBH_Shipp)'!$O$11="","",'(JBH_Shipp)'!$O$11)</f>
        <v/>
      </c>
      <c r="F47" s="19">
        <f>IF('(Shipping_BRB)'!$O$11="","",'(Shipping_BRB)'!$O$11)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11">
        <f>IF(MAY!D5="","",MAY!D5)</f>
        <v/>
      </c>
      <c r="E31" s="11">
        <f>IF(MAY!E5="","",MAY!E5)</f>
        <v/>
      </c>
      <c r="F31" s="11">
        <f>IF(MAY!F5="","",MAY!F5)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IF('(M&amp;C_Shipp)'!$AB$12="","",'(M&amp;C_Shipp)'!$AB$12)</f>
        <v/>
      </c>
      <c r="D39" s="14">
        <f>IF('(Coreas_Shipp)'!$AB$12="","",'(Coreas_Shipp)'!$AB$12)</f>
        <v/>
      </c>
      <c r="E39" s="14">
        <f>IF('(JBH_Shipp)'!$AB$12="","",'(JBH_Shipp)'!$AB$12)</f>
        <v/>
      </c>
      <c r="F39" s="14">
        <f>IF('(Shipping_BRB)'!$AB$12="","",'(Shipping_BRB)'!$AB$12)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IF('(M&amp;C_Shipp)'!$AD$12="","",'(M&amp;C_Shipp)'!$AD$12)</f>
        <v/>
      </c>
      <c r="D40" s="14">
        <f>IF('(Coreas_Shipp)'!$AD$12="","",'(Coreas_Shipp)'!$AD$12)</f>
        <v/>
      </c>
      <c r="E40" s="14">
        <f>IF('(JBH_Shipp)'!$AD$12="","",'(JBH_Shipp)'!$AD$12)</f>
        <v/>
      </c>
      <c r="F40" s="14">
        <f>IF('(Shipping_BRB)'!$AD$12="","",'(Shipping_BRB)'!$AD$12)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IF('(M&amp;C_Shipp)'!$G$12="","",'(M&amp;C_Shipp)'!$G$12)</f>
        <v/>
      </c>
      <c r="D46" s="19">
        <f>IF('(Coreas_Shipp)'!$G$12="","",'(Coreas_Shipp)'!$G$12)</f>
        <v/>
      </c>
      <c r="E46" s="19">
        <f>IF('(JBH_Shipp)'!$G$12="","",'(JBH_Shipp)'!$G$12)</f>
        <v/>
      </c>
      <c r="F46" s="19">
        <f>IF('(Shipping_BRB)'!$G$12="","",'(Shipping_BRB)'!$G$12)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IF('(M&amp;C_Shipp)'!$O$12="","",'(M&amp;C_Shipp)'!$O$12)</f>
        <v/>
      </c>
      <c r="D47" s="19">
        <f>IF('(Coreas_Shipp)'!$O$12="","",'(Coreas_Shipp)'!$O$12)</f>
        <v/>
      </c>
      <c r="E47" s="19">
        <f>IF('(JBH_Shipp)'!$O$12="","",'(JBH_Shipp)'!$O$12)</f>
        <v/>
      </c>
      <c r="F47" s="19">
        <f>IF('(Shipping_BRB)'!$O$12="","",'(Shipping_BRB)'!$O$12)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11">
        <f>IF(JUN!D5="","",JUN!D5)</f>
        <v/>
      </c>
      <c r="E31" s="11">
        <f>IF(JUN!E5="","",JUN!E5)</f>
        <v/>
      </c>
      <c r="F31" s="11">
        <f>IF(JUN!F5="","",JUN!F5)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IF('(M&amp;C_Shipp)'!$AB$13="","",'(M&amp;C_Shipp)'!$AB$13)</f>
        <v/>
      </c>
      <c r="D39" s="14">
        <f>IF('(Coreas_Shipp)'!$AB$13="","",'(Coreas_Shipp)'!$AB$13)</f>
        <v/>
      </c>
      <c r="E39" s="14">
        <f>IF('(JBH_Shipp)'!$AB$13="","",'(JBH_Shipp)'!$AB$13)</f>
        <v/>
      </c>
      <c r="F39" s="14">
        <f>IF('(Shipping_BRB)'!$AB$13="","",'(Shipping_BRB)'!$AB$13)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IF('(M&amp;C_Shipp)'!$AD$13="","",'(M&amp;C_Shipp)'!$AD$13)</f>
        <v/>
      </c>
      <c r="D40" s="14">
        <f>IF('(Coreas_Shipp)'!$AD$13="","",'(Coreas_Shipp)'!$AD$13)</f>
        <v/>
      </c>
      <c r="E40" s="14">
        <f>IF('(JBH_Shipp)'!$AD$13="","",'(JBH_Shipp)'!$AD$13)</f>
        <v/>
      </c>
      <c r="F40" s="14">
        <f>IF('(Shipping_BRB)'!$AD$13="","",'(Shipping_BRB)'!$AD$13)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IF('(M&amp;C_Shipp)'!$G$13="","",'(M&amp;C_Shipp)'!$G$13)</f>
        <v/>
      </c>
      <c r="D46" s="19">
        <f>IF('(Coreas_Shipp)'!$G$13="","",'(Coreas_Shipp)'!$G$13)</f>
        <v/>
      </c>
      <c r="E46" s="19">
        <f>IF('(JBH_Shipp)'!$G$13="","",'(JBH_Shipp)'!$G$13)</f>
        <v/>
      </c>
      <c r="F46" s="19">
        <f>IF('(Shipping_BRB)'!$G$13="","",'(Shipping_BRB)'!$G$13)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IF('(M&amp;C_Shipp)'!$O$13="","",'(M&amp;C_Shipp)'!$O$13)</f>
        <v/>
      </c>
      <c r="D47" s="19">
        <f>IF('(Coreas_Shipp)'!$O$13="","",'(Coreas_Shipp)'!$O$13)</f>
        <v/>
      </c>
      <c r="E47" s="19">
        <f>IF('(JBH_Shipp)'!$O$13="","",'(JBH_Shipp)'!$O$13)</f>
        <v/>
      </c>
      <c r="F47" s="19">
        <f>IF('(Shipping_BRB)'!$O$13="","",'(Shipping_BRB)'!$O$13)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11">
        <f>IF(JUL!D5="","",JUL!D5)</f>
        <v/>
      </c>
      <c r="E31" s="11">
        <f>IF(JUL!E5="","",JUL!E5)</f>
        <v/>
      </c>
      <c r="F31" s="11">
        <f>IF(JUL!F5="","",JUL!F5)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IF('(M&amp;C_Shipp)'!$AB$14="","",'(M&amp;C_Shipp)'!$AB$14)</f>
        <v/>
      </c>
      <c r="D39" s="14">
        <f>IF('(Coreas_Shipp)'!$AB$14="","",'(Coreas_Shipp)'!$AB$14)</f>
        <v/>
      </c>
      <c r="E39" s="14">
        <f>IF('(JBH_Shipp)'!$AB$14="","",'(JBH_Shipp)'!$AB$14)</f>
        <v/>
      </c>
      <c r="F39" s="14">
        <f>IF('(Shipping_BRB)'!$AB$14="","",'(Shipping_BRB)'!$AB$14)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IF('(M&amp;C_Shipp)'!$AD$14="","",'(M&amp;C_Shipp)'!$AD$14)</f>
        <v/>
      </c>
      <c r="D40" s="14">
        <f>IF('(Coreas_Shipp)'!$AD$14="","",'(Coreas_Shipp)'!$AD$14)</f>
        <v/>
      </c>
      <c r="E40" s="14">
        <f>IF('(JBH_Shipp)'!$AD$14="","",'(JBH_Shipp)'!$AD$14)</f>
        <v/>
      </c>
      <c r="F40" s="14">
        <f>IF('(Shipping_BRB)'!$AD$14="","",'(Shipping_BRB)'!$AD$14)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IF('(M&amp;C_Shipp)'!$G$14="","",'(M&amp;C_Shipp)'!$G$14)</f>
        <v/>
      </c>
      <c r="D46" s="19">
        <f>IF('(Coreas_Shipp)'!$G$14="","",'(Coreas_Shipp)'!$G$14)</f>
        <v/>
      </c>
      <c r="E46" s="19">
        <f>IF('(JBH_Shipp)'!$G$14="","",'(JBH_Shipp)'!$G$14)</f>
        <v/>
      </c>
      <c r="F46" s="19">
        <f>IF('(Shipping_BRB)'!$G$14="","",'(Shipping_BRB)'!$G$14)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IF('(M&amp;C_Shipp)'!$O$14="","",'(M&amp;C_Shipp)'!$O$14)</f>
        <v/>
      </c>
      <c r="D47" s="19">
        <f>IF('(Coreas_Shipp)'!$O$14="","",'(Coreas_Shipp)'!$O$14)</f>
        <v/>
      </c>
      <c r="E47" s="19">
        <f>IF('(JBH_Shipp)'!$O$14="","",'(JBH_Shipp)'!$O$14)</f>
        <v/>
      </c>
      <c r="F47" s="19">
        <f>IF('(Shipping_BRB)'!$O$14="","",'(Shipping_BRB)'!$O$14)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26953125" customWidth="1" min="4" max="4"/>
    <col width="15.26953125" customWidth="1" min="5" max="5"/>
    <col width="15.26953125" customWidth="1" min="6" max="6"/>
    <col width="15.7265625" customWidth="1" min="7" max="7"/>
    <col width="21" customWidth="1" min="8" max="8"/>
    <col width="11.81640625" customWidth="1" min="9" max="9"/>
  </cols>
  <sheetData>
    <row r="1" ht="30" customHeight="1">
      <c r="A1" s="1" t="n"/>
      <c r="B1" s="2" t="inlineStr">
        <is>
          <t>SHIPPING</t>
        </is>
      </c>
      <c r="C1" s="26" t="n"/>
      <c r="D1" s="26" t="n"/>
      <c r="E1" s="26" t="n"/>
      <c r="F1" s="26" t="n"/>
      <c r="G1" s="3" t="n"/>
      <c r="H1" s="3" t="n"/>
      <c r="I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M&amp;C Shipping</t>
        </is>
      </c>
      <c r="D2" s="27" t="inlineStr">
        <is>
          <t>Coreas Hazells (Shipping)</t>
        </is>
      </c>
      <c r="E2" s="27" t="inlineStr">
        <is>
          <t>Jonas Browne &amp; Hubbard (Shipping)</t>
        </is>
      </c>
      <c r="F2" s="27" t="inlineStr">
        <is>
          <t>Goddards Shipping Barbados</t>
        </is>
      </c>
      <c r="G2" s="28" t="inlineStr">
        <is>
          <t>TOTAL</t>
        </is>
      </c>
      <c r="H2" s="4" t="inlineStr">
        <is>
          <t>Total by Division</t>
        </is>
      </c>
      <c r="I2" s="29">
        <f>N(I11)&lt;&gt;0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0" t="n"/>
      <c r="E3" s="30" t="n"/>
      <c r="F3" s="30" t="n"/>
      <c r="G3" s="31">
        <f>IF(COUNT(C3:F3)=0,"",SUM(C3:F3))</f>
        <v/>
      </c>
      <c r="H3" s="4" t="inlineStr">
        <is>
          <t>∑</t>
        </is>
      </c>
      <c r="I3" s="3" t="n"/>
    </row>
    <row r="4" ht="15.5" customHeight="1">
      <c r="A4" s="3" t="n"/>
      <c r="B4" s="10" t="inlineStr">
        <is>
          <t>Temporary (Fix Term) Headcount</t>
        </is>
      </c>
      <c r="C4" s="30" t="n"/>
      <c r="D4" s="30" t="n"/>
      <c r="E4" s="30" t="n"/>
      <c r="F4" s="30" t="n"/>
      <c r="G4" s="31">
        <f>IF(COUNT(C4:F4)=0,"",SUM(C4:F4))</f>
        <v/>
      </c>
      <c r="H4" s="4" t="inlineStr">
        <is>
          <t>∑</t>
        </is>
      </c>
      <c r="I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11">
        <f>IF(COUNT(D3:D4)=0,"",SUM(D3:D4))</f>
        <v/>
      </c>
      <c r="E5" s="11">
        <f>IF(COUNT(E3:E4)=0,"",SUM(E3:E4))</f>
        <v/>
      </c>
      <c r="F5" s="11">
        <f>IF(COUNT(F3:F4)=0,"",SUM(F3:F4))</f>
        <v/>
      </c>
      <c r="G5" s="31">
        <f>IF(COUNT(G3:G4)=0,"",SUM(G3:G4))</f>
        <v/>
      </c>
      <c r="H5" s="4" t="inlineStr">
        <is>
          <t>ϝ</t>
        </is>
      </c>
      <c r="I5" s="3" t="n"/>
    </row>
    <row r="6" ht="15.5" customHeight="1">
      <c r="A6" s="3" t="n"/>
      <c r="B6" s="10" t="inlineStr">
        <is>
          <t>Headcount = 1.00</t>
        </is>
      </c>
      <c r="C6" s="30" t="n"/>
      <c r="D6" s="30" t="n"/>
      <c r="E6" s="30" t="n"/>
      <c r="F6" s="30" t="n"/>
      <c r="G6" s="31">
        <f>IF(COUNT(C6:F6)=0,"",SUM(C6:F6))</f>
        <v/>
      </c>
      <c r="H6" s="4" t="inlineStr">
        <is>
          <t>∑</t>
        </is>
      </c>
      <c r="I6" s="3" t="n"/>
    </row>
    <row r="7" ht="15.5" customHeight="1">
      <c r="A7" s="3" t="n"/>
      <c r="B7" s="10" t="inlineStr">
        <is>
          <t>Headcount = 0.75</t>
        </is>
      </c>
      <c r="C7" s="30" t="n"/>
      <c r="D7" s="30" t="n"/>
      <c r="E7" s="30" t="n"/>
      <c r="F7" s="30" t="n"/>
      <c r="G7" s="31">
        <f>IF(COUNT(C7:F7)=0,"",SUM(C7:F7))</f>
        <v/>
      </c>
      <c r="H7" s="4" t="inlineStr">
        <is>
          <t>∑</t>
        </is>
      </c>
      <c r="I7" s="3" t="n"/>
    </row>
    <row r="8" ht="15.5" customHeight="1">
      <c r="A8" s="3" t="n"/>
      <c r="B8" s="10" t="inlineStr">
        <is>
          <t>Headcount = 0.50</t>
        </is>
      </c>
      <c r="C8" s="30" t="n"/>
      <c r="D8" s="30" t="n"/>
      <c r="E8" s="30" t="n"/>
      <c r="F8" s="30" t="n"/>
      <c r="G8" s="31">
        <f>IF(COUNT(C8:F8)=0,"",SUM(C8:F8))</f>
        <v/>
      </c>
      <c r="H8" s="4" t="inlineStr">
        <is>
          <t>∑</t>
        </is>
      </c>
      <c r="I8" s="3" t="n"/>
    </row>
    <row r="9" ht="15.5" customHeight="1">
      <c r="A9" s="3" t="n"/>
      <c r="B9" s="10" t="inlineStr">
        <is>
          <t>Headcount = 0.25</t>
        </is>
      </c>
      <c r="C9" s="30" t="n"/>
      <c r="D9" s="30" t="n"/>
      <c r="E9" s="30" t="n"/>
      <c r="F9" s="30" t="n"/>
      <c r="G9" s="31">
        <f>IF(COUNT(C9:F9)=0,"",SUM(C9:F9))</f>
        <v/>
      </c>
      <c r="H9" s="4" t="inlineStr">
        <is>
          <t>∑</t>
        </is>
      </c>
      <c r="I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2" t="n"/>
      <c r="E10" s="32" t="n"/>
      <c r="F10" s="32" t="n"/>
      <c r="G10" s="33">
        <f>IFERROR(AVERAGE(C10:F10),"")</f>
        <v/>
      </c>
      <c r="H10" s="4" t="inlineStr">
        <is>
          <t>Avg</t>
        </is>
      </c>
      <c r="I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16">
        <f>IF(COUNT(D6:D9)=0,"",N(D6)+N(D7)*0.75+N(D8)*0.5+N(D9)*0.25)</f>
        <v/>
      </c>
      <c r="E11" s="16">
        <f>IF(COUNT(E6:E9)=0,"",N(E6)+N(E7)*0.75+N(E8)*0.5+N(E9)*0.25)</f>
        <v/>
      </c>
      <c r="F11" s="16">
        <f>IF(COUNT(F6:F9)=0,"",N(F6)+N(F7)*0.75+N(F8)*0.5+N(F9)*0.25)</f>
        <v/>
      </c>
      <c r="G11" s="34">
        <f>IF(COUNT(G6:G9)=0,"",N(G6)+N(G7)*0.75+N(G8)*0.5+N(G9)*0.25)</f>
        <v/>
      </c>
      <c r="H11" s="4" t="inlineStr">
        <is>
          <t>FTE</t>
        </is>
      </c>
      <c r="I11" s="35">
        <f>IF(COUNT(G5:G9)=0,"",N(G6)+N(G7)+N(G8)+N(G9)-N(G5))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0" t="n"/>
      <c r="E12" s="30" t="n"/>
      <c r="F12" s="30" t="n"/>
      <c r="G12" s="31">
        <f>IF(COUNT(C12:F12)=0,"",SUM(C12:F12))</f>
        <v/>
      </c>
      <c r="H12" s="4" t="inlineStr">
        <is>
          <t>∑</t>
        </is>
      </c>
      <c r="I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2" t="n"/>
      <c r="E13" s="32" t="n"/>
      <c r="F13" s="32" t="n"/>
      <c r="G13" s="33">
        <f>IF(COUNT(C13:F13)=0,"",SUM(C13:F13))</f>
        <v/>
      </c>
      <c r="H13" s="4" t="inlineStr">
        <is>
          <t>∑</t>
        </is>
      </c>
      <c r="I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16">
        <f>IFERROR(D13/D10,"")</f>
        <v/>
      </c>
      <c r="E14" s="16">
        <f>IFERROR(E13/E10,"")</f>
        <v/>
      </c>
      <c r="F14" s="16">
        <f>IFERROR(F13/F10,"")</f>
        <v/>
      </c>
      <c r="G14" s="34">
        <f>IF(COUNT(C14:F14)=0,"",SUM(C14:F14))</f>
        <v/>
      </c>
      <c r="H14" s="4" t="inlineStr">
        <is>
          <t>FTE</t>
        </is>
      </c>
      <c r="I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11">
        <f>IF(COUNT(D5,D12)=0,"",SUM(D5,D12))</f>
        <v/>
      </c>
      <c r="E15" s="11">
        <f>IF(COUNT(E5,E12)=0,"",SUM(E5,E12))</f>
        <v/>
      </c>
      <c r="F15" s="11">
        <f>IF(COUNT(F5,F12)=0,"",SUM(F5,F12))</f>
        <v/>
      </c>
      <c r="G15" s="31">
        <f>IF(COUNT(G5,G12)=0,"",SUM(G5,G12))</f>
        <v/>
      </c>
      <c r="H15" s="4" t="inlineStr">
        <is>
          <t>ϝ</t>
        </is>
      </c>
      <c r="I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16">
        <f>IF(COUNT(D11,D14)=0,"",SUM(D11,D14))</f>
        <v/>
      </c>
      <c r="E16" s="16">
        <f>IF(COUNT(E11,E14)=0,"",SUM(E11,E14))</f>
        <v/>
      </c>
      <c r="F16" s="16">
        <f>IF(COUNT(F11,F14)=0,"",SUM(F11,F14))</f>
        <v/>
      </c>
      <c r="G16" s="34">
        <f>IF(COUNT(G11,G14)=0,"",SUM(G11,G14))</f>
        <v/>
      </c>
      <c r="H16" s="4" t="inlineStr">
        <is>
          <t>FTE</t>
        </is>
      </c>
      <c r="I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19">
        <f>IFERROR(D12/D15,"")</f>
        <v/>
      </c>
      <c r="E17" s="19">
        <f>IFERROR(E12/E15,"")</f>
        <v/>
      </c>
      <c r="F17" s="19">
        <f>IFERROR(F12/F15,"")</f>
        <v/>
      </c>
      <c r="G17" s="36">
        <f>IFERROR(G12/G15,"")</f>
        <v/>
      </c>
      <c r="H17" s="4" t="inlineStr">
        <is>
          <t>ϝ</t>
        </is>
      </c>
      <c r="I17" s="3" t="n"/>
    </row>
    <row r="18" ht="15.5" customHeight="1">
      <c r="A18" s="3" t="n"/>
      <c r="B18" s="10" t="inlineStr">
        <is>
          <t>FTE HR Team</t>
        </is>
      </c>
      <c r="C18" s="30" t="n"/>
      <c r="D18" s="30" t="n"/>
      <c r="E18" s="30" t="n"/>
      <c r="F18" s="30" t="n"/>
      <c r="G18" s="31">
        <f>IF(COUNT(C18:F18)=0,"",SUM(C18:F18))</f>
        <v/>
      </c>
      <c r="H18" s="4" t="inlineStr">
        <is>
          <t>∑</t>
        </is>
      </c>
      <c r="I18" s="3" t="n"/>
    </row>
    <row r="19" ht="15.5" customHeight="1">
      <c r="A19" s="3" t="n"/>
      <c r="B19" s="10" t="inlineStr">
        <is>
          <t>Permanent Hires</t>
        </is>
      </c>
      <c r="C19" s="30" t="n"/>
      <c r="D19" s="30" t="n"/>
      <c r="E19" s="30" t="n"/>
      <c r="F19" s="30" t="n"/>
      <c r="G19" s="31">
        <f>IF(COUNT(C19:F19)=0,"",SUM(C19:F19))</f>
        <v/>
      </c>
      <c r="H19" s="4" t="inlineStr">
        <is>
          <t>∑</t>
        </is>
      </c>
      <c r="I19" s="3" t="n"/>
    </row>
    <row r="20" ht="15.5" customHeight="1">
      <c r="A20" s="3" t="n"/>
      <c r="B20" s="10" t="inlineStr">
        <is>
          <t>Temporary Hires</t>
        </is>
      </c>
      <c r="C20" s="30" t="n"/>
      <c r="D20" s="30" t="n"/>
      <c r="E20" s="30" t="n"/>
      <c r="F20" s="30" t="n"/>
      <c r="G20" s="31">
        <f>IF(COUNT(C20:F20)=0,"",SUM(C20:F20))</f>
        <v/>
      </c>
      <c r="H20" s="4" t="inlineStr">
        <is>
          <t>∑</t>
        </is>
      </c>
      <c r="I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11">
        <f>IF(COUNT(D19:D20)=0,"",SUM(D19:D20))</f>
        <v/>
      </c>
      <c r="E21" s="11">
        <f>IF(COUNT(E19:E20)=0,"",SUM(E19:E20))</f>
        <v/>
      </c>
      <c r="F21" s="11">
        <f>IF(COUNT(F19:F20)=0,"",SUM(F19:F20))</f>
        <v/>
      </c>
      <c r="G21" s="31">
        <f>IF(COUNT(G19:G20)=0,"",SUM(G19:G20))</f>
        <v/>
      </c>
      <c r="H21" s="4" t="inlineStr">
        <is>
          <t>ϝ</t>
        </is>
      </c>
      <c r="I21" s="3" t="n"/>
    </row>
    <row r="22" ht="15.5" customHeight="1">
      <c r="A22" s="3" t="n"/>
      <c r="B22" s="10" t="inlineStr">
        <is>
          <t>Permanent Exits</t>
        </is>
      </c>
      <c r="C22" s="30" t="n"/>
      <c r="D22" s="30" t="n"/>
      <c r="E22" s="30" t="n"/>
      <c r="F22" s="30" t="n"/>
      <c r="G22" s="31">
        <f>IF(COUNT(C22:F22)=0,"",SUM(C22:F22))</f>
        <v/>
      </c>
      <c r="H22" s="4" t="inlineStr">
        <is>
          <t>∑</t>
        </is>
      </c>
      <c r="I22" s="3" t="n"/>
    </row>
    <row r="23" ht="15.5" customHeight="1">
      <c r="A23" s="3" t="n"/>
      <c r="B23" s="10" t="inlineStr">
        <is>
          <t>Temporary Exits</t>
        </is>
      </c>
      <c r="C23" s="30" t="n"/>
      <c r="D23" s="30" t="n"/>
      <c r="E23" s="30" t="n"/>
      <c r="F23" s="30" t="n"/>
      <c r="G23" s="31">
        <f>IF(COUNT(C23:F23)=0,"",SUM(C23:F23))</f>
        <v/>
      </c>
      <c r="H23" s="4" t="inlineStr">
        <is>
          <t>∑</t>
        </is>
      </c>
      <c r="I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11">
        <f>IF(COUNT(D22:D23)=0,"",SUM(D22:D23))</f>
        <v/>
      </c>
      <c r="E24" s="11">
        <f>IF(COUNT(E22:E23)=0,"",SUM(E22:E23))</f>
        <v/>
      </c>
      <c r="F24" s="11">
        <f>IF(COUNT(F22:F23)=0,"",SUM(F22:F23))</f>
        <v/>
      </c>
      <c r="G24" s="31">
        <f>IF(COUNT(G22:G23)=0,"",SUM(G22:G23))</f>
        <v/>
      </c>
      <c r="H24" s="4" t="inlineStr">
        <is>
          <t>ϝ</t>
        </is>
      </c>
      <c r="I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19">
        <f>IF(COUNT(D31,D32)&lt;2,"",IF((D32+D31)=0,"",N(D22)/((D32+D31)/2)))</f>
        <v/>
      </c>
      <c r="E25" s="19">
        <f>IF(COUNT(E31,E32)&lt;2,"",IF((E32+E31)=0,"",N(E22)/((E32+E31)/2)))</f>
        <v/>
      </c>
      <c r="F25" s="19">
        <f>IF(COUNT(F31,F32)&lt;2,"",IF((F32+F31)=0,"",N(F22)/((F32+F31)/2)))</f>
        <v/>
      </c>
      <c r="G25" s="36">
        <f>IF(COUNT(G31,G32)&lt;2,"",IF((G32+G31)=0,"",N(G22)/((G32+G31)/2)))</f>
        <v/>
      </c>
      <c r="H25" s="4" t="inlineStr">
        <is>
          <t>ϝ</t>
        </is>
      </c>
      <c r="I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19">
        <f>IF(COUNT(D31,D32)&lt;2,"",IF((D32+D31)=0,"",N(D23)/((D32+D31)/2)))</f>
        <v/>
      </c>
      <c r="E26" s="19">
        <f>IF(COUNT(E31,E32)&lt;2,"",IF((E32+E31)=0,"",N(E23)/((E32+E31)/2)))</f>
        <v/>
      </c>
      <c r="F26" s="19">
        <f>IF(COUNT(F31,F32)&lt;2,"",IF((F32+F31)=0,"",N(F23)/((F32+F31)/2)))</f>
        <v/>
      </c>
      <c r="G26" s="36">
        <f>IF(COUNT(G31,G32)&lt;2,"",IF((G32+G31)=0,"",N(G23)/((G32+G31)/2)))</f>
        <v/>
      </c>
      <c r="H26" s="4" t="inlineStr">
        <is>
          <t>ϝ</t>
        </is>
      </c>
      <c r="I26" s="3" t="n"/>
    </row>
    <row r="27" ht="15.5" customHeight="1">
      <c r="A27" s="3" t="n"/>
      <c r="B27" s="22" t="inlineStr">
        <is>
          <t>Voluntary Terminations</t>
        </is>
      </c>
      <c r="C27" s="30" t="n"/>
      <c r="D27" s="30" t="n"/>
      <c r="E27" s="30" t="n"/>
      <c r="F27" s="30" t="n"/>
      <c r="G27" s="31">
        <f>IF(COUNT(C27:F27)=0,"",SUM(C27:F27))</f>
        <v/>
      </c>
      <c r="H27" s="4" t="inlineStr">
        <is>
          <t>∑</t>
        </is>
      </c>
      <c r="I27" s="3" t="n"/>
    </row>
    <row r="28" ht="15.5" customHeight="1">
      <c r="A28" s="3" t="n"/>
      <c r="B28" s="22" t="inlineStr">
        <is>
          <t>Involuntary Terminations</t>
        </is>
      </c>
      <c r="C28" s="30" t="n"/>
      <c r="D28" s="30" t="n"/>
      <c r="E28" s="30" t="n"/>
      <c r="F28" s="30" t="n"/>
      <c r="G28" s="31">
        <f>IF(COUNT(C28:F28)=0,"",SUM(C28:F28))</f>
        <v/>
      </c>
      <c r="H28" s="4" t="inlineStr">
        <is>
          <t>∑</t>
        </is>
      </c>
      <c r="I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19">
        <f>IF(COUNT(D31,D32)&lt;2,"",IF((D32+D31)=0,"",N(D27)/((D32+D31)/2)))</f>
        <v/>
      </c>
      <c r="E29" s="19">
        <f>IF(COUNT(E31,E32)&lt;2,"",IF((E32+E31)=0,"",N(E27)/((E32+E31)/2)))</f>
        <v/>
      </c>
      <c r="F29" s="19">
        <f>IF(COUNT(F31,F32)&lt;2,"",IF((F32+F31)=0,"",N(F27)/((F32+F31)/2)))</f>
        <v/>
      </c>
      <c r="G29" s="36">
        <f>IF(COUNT(G31,G32)&lt;2,"",IF((G32+G31)=0,"",N(G27)/((G32+G31)/2)))</f>
        <v/>
      </c>
      <c r="H29" s="4" t="inlineStr">
        <is>
          <t>ϝ</t>
        </is>
      </c>
      <c r="I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19">
        <f>IF(COUNT(D31,D32)&lt;2,"",IF((D32+D31)=0,"",N(D28)/((D32+D31)/2)))</f>
        <v/>
      </c>
      <c r="E30" s="19">
        <f>IF(COUNT(E31,E32)&lt;2,"",IF((E32+E31)=0,"",N(E28)/((E32+E31)/2)))</f>
        <v/>
      </c>
      <c r="F30" s="19">
        <f>IF(COUNT(F31,F32)&lt;2,"",IF((F32+F31)=0,"",N(F28)/((F32+F31)/2)))</f>
        <v/>
      </c>
      <c r="G30" s="36">
        <f>IF(COUNT(G31,G32)&lt;2,"",IF((G32+G31)=0,"",N(G28)/((G32+G31)/2)))</f>
        <v/>
      </c>
      <c r="H30" s="4" t="inlineStr">
        <is>
          <t>ϝ</t>
        </is>
      </c>
      <c r="I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11">
        <f>IF(AUG!D5="","",AUG!D5)</f>
        <v/>
      </c>
      <c r="E31" s="11">
        <f>IF(AUG!E5="","",AUG!E5)</f>
        <v/>
      </c>
      <c r="F31" s="11">
        <f>IF(AUG!F5="","",AUG!F5)</f>
        <v/>
      </c>
      <c r="G31" s="31">
        <f>IF(COUNT(C31:F31)=0,"",SUM(C31:F31))</f>
        <v/>
      </c>
      <c r="H31" s="4" t="inlineStr">
        <is>
          <t>∑</t>
        </is>
      </c>
      <c r="I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11">
        <f>IF(D5="","",D5)</f>
        <v/>
      </c>
      <c r="E32" s="11">
        <f>IF(E5="","",E5)</f>
        <v/>
      </c>
      <c r="F32" s="11">
        <f>IF(F5="","",F5)</f>
        <v/>
      </c>
      <c r="G32" s="31">
        <f>IF(COUNT(C32:F32)=0,"",SUM(C32:F32))</f>
        <v/>
      </c>
      <c r="H32" s="4" t="inlineStr">
        <is>
          <t>∑</t>
        </is>
      </c>
      <c r="I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19">
        <f>IF(COUNT(D31,D32)&lt;2,"",IF((D32+D31)=0,"",N(D24)/((D32+D31)/2)))</f>
        <v/>
      </c>
      <c r="E33" s="19">
        <f>IF(COUNT(E31,E32)&lt;2,"",IF((E32+E31)=0,"",N(E24)/((E32+E31)/2)))</f>
        <v/>
      </c>
      <c r="F33" s="19">
        <f>IF(COUNT(F31,F32)&lt;2,"",IF((F32+F31)=0,"",N(F24)/((F32+F31)/2)))</f>
        <v/>
      </c>
      <c r="G33" s="36">
        <f>IF(COUNT(G31,G32)&lt;2,"",IF((G32+G31)=0,"",N(G24)/((G32+G31)/2)))</f>
        <v/>
      </c>
      <c r="H33" s="4" t="inlineStr">
        <is>
          <t>ϝ</t>
        </is>
      </c>
      <c r="I33" s="3" t="n"/>
    </row>
    <row r="34" ht="15.75" customHeight="1">
      <c r="A34" s="3" t="n"/>
      <c r="B34" s="22" t="inlineStr">
        <is>
          <t>Permanent Vacancies</t>
        </is>
      </c>
      <c r="C34" s="30" t="n"/>
      <c r="D34" s="30" t="n"/>
      <c r="E34" s="30" t="n"/>
      <c r="F34" s="30" t="n"/>
      <c r="G34" s="31">
        <f>IF(COUNT(C34:F34)=0,"",SUM(C34:F34))</f>
        <v/>
      </c>
      <c r="H34" s="4" t="inlineStr">
        <is>
          <t>∑</t>
        </is>
      </c>
      <c r="I34" s="3" t="n"/>
    </row>
    <row r="35" ht="15.75" customHeight="1">
      <c r="A35" s="3" t="n"/>
      <c r="B35" s="22" t="inlineStr">
        <is>
          <t>Temporary Vacancies</t>
        </is>
      </c>
      <c r="C35" s="30" t="n"/>
      <c r="D35" s="30" t="n"/>
      <c r="E35" s="30" t="n"/>
      <c r="F35" s="30" t="n"/>
      <c r="G35" s="31">
        <f>IF(COUNT(C35:F35)=0,"",SUM(C35:F35))</f>
        <v/>
      </c>
      <c r="H35" s="4" t="inlineStr">
        <is>
          <t>∑</t>
        </is>
      </c>
      <c r="I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11">
        <f>IF(COUNT(D34:D35)=0,"",SUM(D34:D35))</f>
        <v/>
      </c>
      <c r="E36" s="11">
        <f>IF(COUNT(E34:E35)=0,"",SUM(E34:E35))</f>
        <v/>
      </c>
      <c r="F36" s="11">
        <f>IF(COUNT(F34:F35)=0,"",SUM(F34:F35))</f>
        <v/>
      </c>
      <c r="G36" s="31">
        <f>IF(COUNT(G34:G35)=0,"",SUM(G34:G35))</f>
        <v/>
      </c>
      <c r="H36" s="4" t="inlineStr">
        <is>
          <t>ϝ</t>
        </is>
      </c>
      <c r="I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11">
        <f>IF(COUNT(D5,D36)=0,"",N(D5)+N(D36))</f>
        <v/>
      </c>
      <c r="E37" s="11">
        <f>IF(COUNT(E5,E36)=0,"",N(E5)+N(E36))</f>
        <v/>
      </c>
      <c r="F37" s="11">
        <f>IF(COUNT(F5,F36)=0,"",N(F5)+N(F36))</f>
        <v/>
      </c>
      <c r="G37" s="31">
        <f>IF(COUNT(G5,G36)=0,"",N(G5)+N(G36))</f>
        <v/>
      </c>
      <c r="H37" s="4" t="inlineStr">
        <is>
          <t>ϝ</t>
        </is>
      </c>
      <c r="I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19">
        <f>IFERROR(D36/D37,"")</f>
        <v/>
      </c>
      <c r="E38" s="19">
        <f>IFERROR(E36/E37,"")</f>
        <v/>
      </c>
      <c r="F38" s="19">
        <f>IFERROR(F36/F37,"")</f>
        <v/>
      </c>
      <c r="G38" s="36">
        <f>IFERROR(G36/G37,"")</f>
        <v/>
      </c>
      <c r="H38" s="4" t="inlineStr">
        <is>
          <t>ϝ</t>
        </is>
      </c>
      <c r="I38" s="3" t="n"/>
    </row>
    <row r="39" ht="15.5" customHeight="1">
      <c r="A39" s="3" t="n"/>
      <c r="B39" s="10" t="inlineStr">
        <is>
          <t>Permanent TimeToHire (Days) YTD</t>
        </is>
      </c>
      <c r="C39" s="14">
        <f>IF('(M&amp;C_Shipp)'!$AB$15="","",'(M&amp;C_Shipp)'!$AB$15)</f>
        <v/>
      </c>
      <c r="D39" s="14">
        <f>IF('(Coreas_Shipp)'!$AB$15="","",'(Coreas_Shipp)'!$AB$15)</f>
        <v/>
      </c>
      <c r="E39" s="14">
        <f>IF('(JBH_Shipp)'!$AB$15="","",'(JBH_Shipp)'!$AB$15)</f>
        <v/>
      </c>
      <c r="F39" s="14">
        <f>IF('(Shipping_BRB)'!$AB$15="","",'(Shipping_BRB)'!$AB$15)</f>
        <v/>
      </c>
      <c r="G39" s="33">
        <f>IFERROR(AVERAGE(C39:F39),"")</f>
        <v/>
      </c>
      <c r="H39" s="4" t="inlineStr">
        <is>
          <t>Avg</t>
        </is>
      </c>
      <c r="I39" s="3" t="n"/>
    </row>
    <row r="40" ht="15.5" customHeight="1">
      <c r="A40" s="3" t="n"/>
      <c r="B40" s="10" t="inlineStr">
        <is>
          <t>Temporary TimeToHire (Days) YTD</t>
        </is>
      </c>
      <c r="C40" s="14">
        <f>IF('(M&amp;C_Shipp)'!$AD$15="","",'(M&amp;C_Shipp)'!$AD$15)</f>
        <v/>
      </c>
      <c r="D40" s="14">
        <f>IF('(Coreas_Shipp)'!$AD$15="","",'(Coreas_Shipp)'!$AD$15)</f>
        <v/>
      </c>
      <c r="E40" s="14">
        <f>IF('(JBH_Shipp)'!$AD$15="","",'(JBH_Shipp)'!$AD$15)</f>
        <v/>
      </c>
      <c r="F40" s="14">
        <f>IF('(Shipping_BRB)'!$AD$15="","",'(Shipping_BRB)'!$AD$15)</f>
        <v/>
      </c>
      <c r="G40" s="33">
        <f>IFERROR(AVERAGE(C40:F40),"")</f>
        <v/>
      </c>
      <c r="H40" s="4" t="inlineStr">
        <is>
          <t>Avg</t>
        </is>
      </c>
      <c r="I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7" t="n"/>
      <c r="E41" s="37" t="n"/>
      <c r="F41" s="37" t="n"/>
      <c r="G41" s="38">
        <f>IFERROR(AVERAGE(C41:F41),"")</f>
        <v/>
      </c>
      <c r="H41" s="4" t="inlineStr">
        <is>
          <t>Avg</t>
        </is>
      </c>
      <c r="I41" s="3" t="n"/>
    </row>
    <row r="42" ht="15.5" customHeight="1">
      <c r="A42" s="3" t="n"/>
      <c r="B42" s="10" t="inlineStr">
        <is>
          <t>EE Objectives Completed (#)</t>
        </is>
      </c>
      <c r="C42" s="30" t="n"/>
      <c r="D42" s="30" t="n"/>
      <c r="E42" s="30" t="n"/>
      <c r="F42" s="30" t="n"/>
      <c r="G42" s="31">
        <f>IF(COUNT(C42:F42)=0,"",SUM(C42:F42))</f>
        <v/>
      </c>
      <c r="H42" s="4" t="inlineStr">
        <is>
          <t>∑</t>
        </is>
      </c>
      <c r="I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2" t="n"/>
      <c r="E43" s="32" t="n"/>
      <c r="F43" s="32" t="n"/>
      <c r="G43" s="33">
        <f>IF(COUNT(C43:F43)=0,"",SUM(C43:F43))</f>
        <v/>
      </c>
      <c r="H43" s="4" t="inlineStr">
        <is>
          <t>∑</t>
        </is>
      </c>
      <c r="I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2" t="n"/>
      <c r="E44" s="32" t="n"/>
      <c r="F44" s="32" t="n"/>
      <c r="G44" s="33">
        <f>IF(COUNT(C44:F44)=0,"",SUM(C44:F44))</f>
        <v/>
      </c>
      <c r="H44" s="4" t="inlineStr">
        <is>
          <t>∑</t>
        </is>
      </c>
      <c r="I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14">
        <f>IF(COUNT(D43:D44)=0,"",SUM(D43:D44))</f>
        <v/>
      </c>
      <c r="E45" s="14">
        <f>IF(COUNT(E43:E44)=0,"",SUM(E43:E44))</f>
        <v/>
      </c>
      <c r="F45" s="14">
        <f>IF(COUNT(F43:F44)=0,"",SUM(F43:F44))</f>
        <v/>
      </c>
      <c r="G45" s="33">
        <f>IF(COUNT(G43:G44)=0,"",SUM(G43:G44))</f>
        <v/>
      </c>
      <c r="H45" s="4" t="inlineStr">
        <is>
          <t>ϝ</t>
        </is>
      </c>
      <c r="I45" s="3" t="n"/>
    </row>
    <row r="46" ht="15.5" customHeight="1">
      <c r="A46" s="3" t="n"/>
      <c r="B46" s="13" t="inlineStr">
        <is>
          <t>Absent Rate Non-Certified (%)</t>
        </is>
      </c>
      <c r="C46" s="19">
        <f>IF('(M&amp;C_Shipp)'!$G$15="","",'(M&amp;C_Shipp)'!$G$15)</f>
        <v/>
      </c>
      <c r="D46" s="19">
        <f>IF('(Coreas_Shipp)'!$G$15="","",'(Coreas_Shipp)'!$G$15)</f>
        <v/>
      </c>
      <c r="E46" s="19">
        <f>IF('(JBH_Shipp)'!$G$15="","",'(JBH_Shipp)'!$G$15)</f>
        <v/>
      </c>
      <c r="F46" s="19">
        <f>IF('(Shipping_BRB)'!$G$15="","",'(Shipping_BRB)'!$G$15)</f>
        <v/>
      </c>
      <c r="G46" s="36">
        <f t="array" ref="G46">IF(COUNT(C46:F46)=0,"",IFERROR(SUMPRODUCT(IFERROR(C46:F46*((C3:F3)+(C4:F4)),0))/SUMPRODUCT(IFERROR(ISNUMBER(C46:F46)*((C3:F3)+(C4:F4)),0)),""))</f>
        <v/>
      </c>
      <c r="H46" s="4" t="inlineStr">
        <is>
          <t>Weighted</t>
        </is>
      </c>
      <c r="I46" s="3" t="n"/>
    </row>
    <row r="47" ht="15.5" customHeight="1">
      <c r="A47" s="3" t="n"/>
      <c r="B47" s="13" t="inlineStr">
        <is>
          <t>Absent Rate Certified (%)</t>
        </is>
      </c>
      <c r="C47" s="19">
        <f>IF('(M&amp;C_Shipp)'!$O$15="","",'(M&amp;C_Shipp)'!$O$15)</f>
        <v/>
      </c>
      <c r="D47" s="19">
        <f>IF('(Coreas_Shipp)'!$O$15="","",'(Coreas_Shipp)'!$O$15)</f>
        <v/>
      </c>
      <c r="E47" s="19">
        <f>IF('(JBH_Shipp)'!$O$15="","",'(JBH_Shipp)'!$O$15)</f>
        <v/>
      </c>
      <c r="F47" s="19">
        <f>IF('(Shipping_BRB)'!$O$15="","",'(Shipping_BRB)'!$O$15)</f>
        <v/>
      </c>
      <c r="G47" s="36">
        <f t="array" ref="G47">IF(COUNT(C47:F47)=0,"",IFERROR(SUMPRODUCT(IFERROR(C47:F47*((C3:F3)+(C4:F4)),0))/SUMPRODUCT(IFERROR(ISNUMBER(C47:F47)*((C3:F3)+(C4:F4)),0)),""))</f>
        <v/>
      </c>
      <c r="H47" s="4" t="inlineStr">
        <is>
          <t>Weighted</t>
        </is>
      </c>
      <c r="I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19">
        <f>IF(COUNT(D46:D47)=0,"",SUM(D46:D47))</f>
        <v/>
      </c>
      <c r="E48" s="19">
        <f>IF(COUNT(E46:E47)=0,"",SUM(E46:E47))</f>
        <v/>
      </c>
      <c r="F48" s="19">
        <f>IF(COUNT(F46:F47)=0,"",SUM(F46:F47))</f>
        <v/>
      </c>
      <c r="G48" s="36">
        <f>IF(COUNT(G46:G47)=0,"",SUM(G46:G47))</f>
        <v/>
      </c>
      <c r="H48" s="4" t="inlineStr">
        <is>
          <t>Weighted</t>
        </is>
      </c>
      <c r="I48" s="3" t="n"/>
    </row>
    <row r="49" ht="15.5" customHeight="1">
      <c r="A49" s="3" t="n"/>
      <c r="B49" s="18" t="inlineStr">
        <is>
          <t>Weight factor</t>
        </is>
      </c>
      <c r="C49" s="19">
        <f>IFERROR(C5/$G5,"")</f>
        <v/>
      </c>
      <c r="D49" s="19">
        <f>IFERROR(D5/$G5,"")</f>
        <v/>
      </c>
      <c r="E49" s="19">
        <f>IFERROR(E5/$G5,"")</f>
        <v/>
      </c>
      <c r="F49" s="19">
        <f>IFERROR(F5/$G5,"")</f>
        <v/>
      </c>
      <c r="G49" s="36">
        <f>IF(COUNT(C49:F49)=0,"",SUM(C49:F49))</f>
        <v/>
      </c>
      <c r="H49" s="4" t="inlineStr">
        <is>
          <t>Weight Factor</t>
        </is>
      </c>
      <c r="I49" s="3" t="n"/>
    </row>
    <row r="50" ht="15.5" customHeight="1">
      <c r="A50" s="3" t="n"/>
      <c r="B50" s="10" t="inlineStr">
        <is>
          <t>Leadership (Hours)</t>
        </is>
      </c>
      <c r="C50" s="32" t="n"/>
      <c r="D50" s="32" t="n"/>
      <c r="E50" s="32" t="n"/>
      <c r="F50" s="32" t="n"/>
      <c r="G50" s="33">
        <f>IF(COUNT(C50:F50)=0,"",SUM(C50:F50))</f>
        <v/>
      </c>
      <c r="H50" s="4" t="inlineStr">
        <is>
          <t>∑</t>
        </is>
      </c>
      <c r="I50" s="3" t="n"/>
    </row>
    <row r="51" ht="15.5" customHeight="1">
      <c r="A51" s="3" t="n"/>
      <c r="B51" s="10" t="inlineStr">
        <is>
          <t>Technical (Hours)</t>
        </is>
      </c>
      <c r="C51" s="32" t="n"/>
      <c r="D51" s="32" t="n"/>
      <c r="E51" s="32" t="n"/>
      <c r="F51" s="32" t="n"/>
      <c r="G51" s="33">
        <f>IF(COUNT(C51:F51)=0,"",SUM(C51:F51))</f>
        <v/>
      </c>
      <c r="H51" s="4" t="inlineStr">
        <is>
          <t>∑</t>
        </is>
      </c>
      <c r="I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2" t="n"/>
      <c r="E52" s="32" t="n"/>
      <c r="F52" s="32" t="n"/>
      <c r="G52" s="33">
        <f>IF(COUNT(C52:F52)=0,"",SUM(C52:F52))</f>
        <v/>
      </c>
      <c r="H52" s="4" t="inlineStr">
        <is>
          <t>∑</t>
        </is>
      </c>
      <c r="I52" s="3" t="n"/>
    </row>
    <row r="53" ht="15.5" customHeight="1">
      <c r="A53" s="3" t="n"/>
      <c r="B53" s="10" t="inlineStr">
        <is>
          <t>HSSE (Hours)</t>
        </is>
      </c>
      <c r="C53" s="32" t="n"/>
      <c r="D53" s="32" t="n"/>
      <c r="E53" s="32" t="n"/>
      <c r="F53" s="32" t="n"/>
      <c r="G53" s="33">
        <f>IF(COUNT(C53:F53)=0,"",SUM(C53:F53))</f>
        <v/>
      </c>
      <c r="H53" s="4" t="inlineStr">
        <is>
          <t>∑</t>
        </is>
      </c>
      <c r="I53" s="3" t="n"/>
    </row>
    <row r="54" ht="15.5" customHeight="1">
      <c r="A54" s="3" t="n"/>
      <c r="B54" s="10" t="inlineStr">
        <is>
          <t>Workday (Hours)</t>
        </is>
      </c>
      <c r="C54" s="32" t="n"/>
      <c r="D54" s="32" t="n"/>
      <c r="E54" s="32" t="n"/>
      <c r="F54" s="32" t="n"/>
      <c r="G54" s="33">
        <f>IF(COUNT(C54:F54)=0,"",SUM(C54:F54))</f>
        <v/>
      </c>
      <c r="H54" s="4" t="inlineStr">
        <is>
          <t>∑</t>
        </is>
      </c>
      <c r="I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14">
        <f>IF(COUNT(D50:D54)=0,"",SUM(D50:D54))</f>
        <v/>
      </c>
      <c r="E55" s="14">
        <f>IF(COUNT(E50:E54)=0,"",SUM(E50:E54))</f>
        <v/>
      </c>
      <c r="F55" s="14">
        <f>IF(COUNT(F50:F54)=0,"",SUM(F50:F54))</f>
        <v/>
      </c>
      <c r="G55" s="33">
        <f>IF(COUNT(G50:G54)=0,"",SUM(G50:G54))</f>
        <v/>
      </c>
      <c r="H55" s="4" t="inlineStr">
        <is>
          <t>ϝ</t>
        </is>
      </c>
      <c r="I55" s="3" t="n"/>
    </row>
    <row r="56" ht="15.5" customHeight="1">
      <c r="A56" s="3" t="n"/>
      <c r="B56" s="10" t="inlineStr">
        <is>
          <t>Total Trained (Staff)</t>
        </is>
      </c>
      <c r="C56" s="32" t="n"/>
      <c r="D56" s="32" t="n"/>
      <c r="E56" s="32" t="n"/>
      <c r="F56" s="32" t="n"/>
      <c r="G56" s="33">
        <f>IF(COUNT(C56:F56)=0,"",SUM(C56:F56))</f>
        <v/>
      </c>
      <c r="H56" s="4" t="inlineStr">
        <is>
          <t>∑</t>
        </is>
      </c>
      <c r="I56" s="3" t="n"/>
    </row>
    <row r="57" ht="15.5" customHeight="1">
      <c r="A57" s="3" t="n"/>
      <c r="B57" s="10" t="inlineStr">
        <is>
          <t>Training Programs (#)</t>
        </is>
      </c>
      <c r="C57" s="32" t="n"/>
      <c r="D57" s="32" t="n"/>
      <c r="E57" s="32" t="n"/>
      <c r="F57" s="32" t="n"/>
      <c r="G57" s="33">
        <f>IF(COUNT(C57:F57)=0,"",SUM(C57:F57))</f>
        <v/>
      </c>
      <c r="H57" s="4" t="inlineStr">
        <is>
          <t>∑</t>
        </is>
      </c>
      <c r="I57" s="3" t="n"/>
    </row>
    <row r="58" ht="15.5" customHeight="1">
      <c r="A58" s="3" t="n"/>
      <c r="B58" s="10" t="inlineStr">
        <is>
          <t>Training  Cost (USD)</t>
        </is>
      </c>
      <c r="C58" s="32" t="n"/>
      <c r="D58" s="32" t="n"/>
      <c r="E58" s="32" t="n"/>
      <c r="F58" s="32" t="n"/>
      <c r="G58" s="33">
        <f>IF(COUNT(C58:F58)=0,"",SUM(C58:F58))</f>
        <v/>
      </c>
      <c r="H58" s="4" t="inlineStr">
        <is>
          <t>∑</t>
        </is>
      </c>
      <c r="I58" s="3" t="n"/>
    </row>
    <row r="59" ht="15.5" customHeight="1">
      <c r="A59" s="3" t="n"/>
      <c r="B59" s="10" t="inlineStr">
        <is>
          <t>Training Travel Cost (USD)</t>
        </is>
      </c>
      <c r="C59" s="32" t="n"/>
      <c r="D59" s="32" t="n"/>
      <c r="E59" s="32" t="n"/>
      <c r="F59" s="32" t="n"/>
      <c r="G59" s="33">
        <f>IF(COUNT(C59:F59)=0,"",SUM(C59:F59))</f>
        <v/>
      </c>
      <c r="H59" s="4" t="inlineStr">
        <is>
          <t>∑</t>
        </is>
      </c>
      <c r="I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19">
        <f>IFERROR(D50/D$55,"")</f>
        <v/>
      </c>
      <c r="E60" s="19">
        <f>IFERROR(E50/E$55,"")</f>
        <v/>
      </c>
      <c r="F60" s="19">
        <f>IFERROR(F50/F$55,"")</f>
        <v/>
      </c>
      <c r="G60" s="36">
        <f>IFERROR(G50/G$55,"")</f>
        <v/>
      </c>
      <c r="H60" s="4" t="inlineStr">
        <is>
          <t>ϝ</t>
        </is>
      </c>
      <c r="I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19">
        <f>IFERROR(D51/D$55,"")</f>
        <v/>
      </c>
      <c r="E61" s="19">
        <f>IFERROR(E51/E$55,"")</f>
        <v/>
      </c>
      <c r="F61" s="19">
        <f>IFERROR(F51/F$55,"")</f>
        <v/>
      </c>
      <c r="G61" s="36">
        <f>IFERROR(G51/G$55,"")</f>
        <v/>
      </c>
      <c r="H61" s="4" t="inlineStr">
        <is>
          <t>ϝ</t>
        </is>
      </c>
      <c r="I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19">
        <f>IFERROR(D52/D$55,"")</f>
        <v/>
      </c>
      <c r="E62" s="19">
        <f>IFERROR(E52/E$55,"")</f>
        <v/>
      </c>
      <c r="F62" s="19">
        <f>IFERROR(F52/F$55,"")</f>
        <v/>
      </c>
      <c r="G62" s="36">
        <f>IFERROR(G52/G$55,"")</f>
        <v/>
      </c>
      <c r="H62" s="4" t="inlineStr">
        <is>
          <t>ϝ</t>
        </is>
      </c>
      <c r="I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19">
        <f>IFERROR(D53/D$55,"")</f>
        <v/>
      </c>
      <c r="E63" s="19">
        <f>IFERROR(E53/E$55,"")</f>
        <v/>
      </c>
      <c r="F63" s="19">
        <f>IFERROR(F53/F$55,"")</f>
        <v/>
      </c>
      <c r="G63" s="36">
        <f>IFERROR(G53/G$55,"")</f>
        <v/>
      </c>
      <c r="H63" s="4" t="inlineStr">
        <is>
          <t>ϝ</t>
        </is>
      </c>
      <c r="I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19">
        <f>IFERROR(D54/D$55,"")</f>
        <v/>
      </c>
      <c r="E64" s="19">
        <f>IFERROR(E54/E$55,"")</f>
        <v/>
      </c>
      <c r="F64" s="19">
        <f>IFERROR(F54/F$55,"")</f>
        <v/>
      </c>
      <c r="G64" s="36">
        <f>IFERROR(G54/G$55,"")</f>
        <v/>
      </c>
      <c r="H64" s="4" t="inlineStr">
        <is>
          <t>ϝ</t>
        </is>
      </c>
      <c r="I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19">
        <f>IFERROR(D56/D5,"")</f>
        <v/>
      </c>
      <c r="E65" s="19">
        <f>IFERROR(E56/E5,"")</f>
        <v/>
      </c>
      <c r="F65" s="19">
        <f>IFERROR(F56/F5,"")</f>
        <v/>
      </c>
      <c r="G65" s="36">
        <f>IFERROR(G56/G5,"")</f>
        <v/>
      </c>
      <c r="H65" s="4" t="inlineStr">
        <is>
          <t>ϝ</t>
        </is>
      </c>
      <c r="I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16">
        <f>IFERROR(D55/D5,"")</f>
        <v/>
      </c>
      <c r="E66" s="16">
        <f>IFERROR(E55/E5,"")</f>
        <v/>
      </c>
      <c r="F66" s="16">
        <f>IFERROR(F55/F5,"")</f>
        <v/>
      </c>
      <c r="G66" s="34">
        <f>IFERROR(G55/G5,"")</f>
        <v/>
      </c>
      <c r="H66" s="4" t="inlineStr">
        <is>
          <t>ϝ</t>
        </is>
      </c>
      <c r="I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16">
        <f>IFERROR(D55/D56,"")</f>
        <v/>
      </c>
      <c r="E67" s="16">
        <f>IFERROR(E55/E56,"")</f>
        <v/>
      </c>
      <c r="F67" s="16">
        <f>IFERROR(F55/F56,"")</f>
        <v/>
      </c>
      <c r="G67" s="34">
        <f>IFERROR(G55/G56,"")</f>
        <v/>
      </c>
      <c r="H67" s="4" t="inlineStr">
        <is>
          <t>ϝ</t>
        </is>
      </c>
      <c r="I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16">
        <f>IF(COUNT(D58:D59)=0,"",IFERROR((N(D58)+N(D59))/D5,""))</f>
        <v/>
      </c>
      <c r="E68" s="16">
        <f>IF(COUNT(E58:E59)=0,"",IFERROR((N(E58)+N(E59))/E5,""))</f>
        <v/>
      </c>
      <c r="F68" s="16">
        <f>IF(COUNT(F58:F59)=0,"",IFERROR((N(F58)+N(F59))/F5,""))</f>
        <v/>
      </c>
      <c r="G68" s="34">
        <f>IF(COUNT(G58:G59)=0,"",IFERROR((N(G58)+N(G59))/G5,""))</f>
        <v/>
      </c>
      <c r="H68" s="4" t="inlineStr">
        <is>
          <t>ϝ</t>
        </is>
      </c>
      <c r="I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16">
        <f>IF(COUNT(D58:D59)=0,"",IFERROR((N(D58)+N(D59))/D56,""))</f>
        <v/>
      </c>
      <c r="E69" s="16">
        <f>IF(COUNT(E58:E59)=0,"",IFERROR((N(E58)+N(E59))/E56,""))</f>
        <v/>
      </c>
      <c r="F69" s="16">
        <f>IF(COUNT(F58:F59)=0,"",IFERROR((N(F58)+N(F59))/F56,""))</f>
        <v/>
      </c>
      <c r="G69" s="34">
        <f>IF(COUNT(G58:G59)=0,"",IFERROR((N(G58)+N(G59))/G56,""))</f>
        <v/>
      </c>
      <c r="H69" s="4" t="inlineStr">
        <is>
          <t>ϝ</t>
        </is>
      </c>
      <c r="I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14">
        <f>COUNTBLANK(D3:D4)+COUNTBLANK(D6:D10)+COUNTBLANK(D12:D13)+COUNTBLANK(D18:D20)+COUNTBLANK(D22:D23)+COUNTBLANK(D27:D28)+COUNTBLANK(D34:D35)+COUNTBLANK(D39:D44)+COUNTBLANK(D46:D47)+COUNTBLANK(D50:D54)+COUNTBLANK(D56:D59)</f>
        <v/>
      </c>
      <c r="E70" s="14">
        <f>COUNTBLANK(E3:E4)+COUNTBLANK(E6:E10)+COUNTBLANK(E12:E13)+COUNTBLANK(E18:E20)+COUNTBLANK(E22:E23)+COUNTBLANK(E27:E28)+COUNTBLANK(E34:E35)+COUNTBLANK(E39:E44)+COUNTBLANK(E46:E47)+COUNTBLANK(E50:E54)+COUNTBLANK(E56:E59)</f>
        <v/>
      </c>
      <c r="F70" s="14">
        <f>COUNTBLANK(F3:F4)+COUNTBLANK(F6:F10)+COUNTBLANK(F12:F13)+COUNTBLANK(F18:F20)+COUNTBLANK(F22:F23)+COUNTBLANK(F27:F28)+COUNTBLANK(F34:F35)+COUNTBLANK(F39:F44)+COUNTBLANK(F46:F47)+COUNTBLANK(F50:F54)+COUNTBLANK(F56:F59)</f>
        <v/>
      </c>
      <c r="G70" s="33">
        <f>SUM(C70:F70)</f>
        <v/>
      </c>
      <c r="H70" s="39" t="inlineStr">
        <is>
          <t>∑</t>
        </is>
      </c>
      <c r="I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M&amp;C Shipping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Coreas Hazells (Shipping)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IF(OCT!$D$5="","",OCT!$D$5)</f>
        <v/>
      </c>
      <c r="D4" s="55" t="n"/>
      <c r="E4" s="56">
        <f>IF(OCT!$D$43="","",OCT!$D$43)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IF(OCT!$D$44="","",OCT!$D$44)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IF(NOV!$D$5="","",NOV!$D$5)</f>
        <v/>
      </c>
      <c r="D5" s="55" t="n"/>
      <c r="E5" s="56">
        <f>IF(NOV!$D$43="","",NOV!$D$43)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IF(NOV!$D$44="","",NOV!$D$44)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IF(DEC!$D$5="","",DEC!$D$5)</f>
        <v/>
      </c>
      <c r="D6" s="55" t="n"/>
      <c r="E6" s="56">
        <f>IF(DEC!$D$43="","",DEC!$D$43)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IF(DEC!$D$44="","",DEC!$D$44)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IF(JAN!$D$5="","",JAN!$D$5)</f>
        <v/>
      </c>
      <c r="D7" s="55" t="n"/>
      <c r="E7" s="56">
        <f>IF(JAN!$D$43="","",JAN!$D$43)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IF(JAN!$D$44="","",JAN!$D$44)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IF(FEB!$D$5="","",FEB!$D$5)</f>
        <v/>
      </c>
      <c r="D8" s="55" t="n"/>
      <c r="E8" s="56">
        <f>IF(FEB!$D$43="","",FEB!$D$43)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IF(FEB!$D$44="","",FEB!$D$44)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IF(MAR!$D$5="","",MAR!$D$5)</f>
        <v/>
      </c>
      <c r="D9" s="55" t="n"/>
      <c r="E9" s="56">
        <f>IF(MAR!$D$43="","",MAR!$D$43)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IF(MAR!$D$44="","",MAR!$D$44)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IF(APR!$D$5="","",APR!$D$5)</f>
        <v/>
      </c>
      <c r="D10" s="55" t="n"/>
      <c r="E10" s="56">
        <f>IF(APR!$D$43="","",APR!$D$43)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IF(APR!$D$44="","",APR!$D$44)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IF(MAY!$D$5="","",MAY!$D$5)</f>
        <v/>
      </c>
      <c r="D11" s="55" t="n"/>
      <c r="E11" s="56">
        <f>IF(MAY!$D$43="","",MAY!$D$43)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IF(MAY!$D$44="","",MAY!$D$44)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IF(JUN!$D$5="","",JUN!$D$5)</f>
        <v/>
      </c>
      <c r="D12" s="55" t="n"/>
      <c r="E12" s="56">
        <f>IF(JUN!$D$43="","",JUN!$D$43)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IF(JUN!$D$44="","",JUN!$D$44)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IF(JUL!$D$5="","",JUL!$D$5)</f>
        <v/>
      </c>
      <c r="D13" s="55" t="n"/>
      <c r="E13" s="56">
        <f>IF(JUL!$D$43="","",JUL!$D$43)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IF(JUL!$D$44="","",JUL!$D$44)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IF(AUG!$D$5="","",AUG!$D$5)</f>
        <v/>
      </c>
      <c r="D14" s="55" t="n"/>
      <c r="E14" s="56">
        <f>IF(AUG!$D$43="","",AUG!$D$43)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IF(AUG!$D$44="","",AUG!$D$44)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IF(SEP!$D$5="","",SEP!$D$5)</f>
        <v/>
      </c>
      <c r="D15" s="55" t="n"/>
      <c r="E15" s="56">
        <f>IF(SEP!$D$43="","",SEP!$D$43)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IF(SEP!$D$44="","",SEP!$D$44)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Jonas Browne &amp; Hubbard (Shipping)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IF(OCT!$E$5="","",OCT!$E$5)</f>
        <v/>
      </c>
      <c r="D4" s="55" t="n"/>
      <c r="E4" s="56">
        <f>IF(OCT!$E$43="","",OCT!$E$43)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IF(OCT!$E$44="","",OCT!$E$44)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IF(NOV!$E$5="","",NOV!$E$5)</f>
        <v/>
      </c>
      <c r="D5" s="55" t="n"/>
      <c r="E5" s="56">
        <f>IF(NOV!$E$43="","",NOV!$E$43)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IF(NOV!$E$44="","",NOV!$E$44)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IF(DEC!$E$5="","",DEC!$E$5)</f>
        <v/>
      </c>
      <c r="D6" s="55" t="n"/>
      <c r="E6" s="56">
        <f>IF(DEC!$E$43="","",DEC!$E$43)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IF(DEC!$E$44="","",DEC!$E$44)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IF(JAN!$E$5="","",JAN!$E$5)</f>
        <v/>
      </c>
      <c r="D7" s="55" t="n"/>
      <c r="E7" s="56">
        <f>IF(JAN!$E$43="","",JAN!$E$43)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IF(JAN!$E$44="","",JAN!$E$44)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IF(FEB!$E$5="","",FEB!$E$5)</f>
        <v/>
      </c>
      <c r="D8" s="55" t="n"/>
      <c r="E8" s="56">
        <f>IF(FEB!$E$43="","",FEB!$E$43)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IF(FEB!$E$44="","",FEB!$E$44)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IF(MAR!$E$5="","",MAR!$E$5)</f>
        <v/>
      </c>
      <c r="D9" s="55" t="n"/>
      <c r="E9" s="56">
        <f>IF(MAR!$E$43="","",MAR!$E$43)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IF(MAR!$E$44="","",MAR!$E$44)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IF(APR!$E$5="","",APR!$E$5)</f>
        <v/>
      </c>
      <c r="D10" s="55" t="n"/>
      <c r="E10" s="56">
        <f>IF(APR!$E$43="","",APR!$E$43)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IF(APR!$E$44="","",APR!$E$44)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IF(MAY!$E$5="","",MAY!$E$5)</f>
        <v/>
      </c>
      <c r="D11" s="55" t="n"/>
      <c r="E11" s="56">
        <f>IF(MAY!$E$43="","",MAY!$E$43)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IF(MAY!$E$44="","",MAY!$E$44)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IF(JUN!$E$5="","",JUN!$E$5)</f>
        <v/>
      </c>
      <c r="D12" s="55" t="n"/>
      <c r="E12" s="56">
        <f>IF(JUN!$E$43="","",JUN!$E$43)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IF(JUN!$E$44="","",JUN!$E$44)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IF(JUL!$E$5="","",JUL!$E$5)</f>
        <v/>
      </c>
      <c r="D13" s="55" t="n"/>
      <c r="E13" s="56">
        <f>IF(JUL!$E$43="","",JUL!$E$43)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IF(JUL!$E$44="","",JUL!$E$44)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IF(AUG!$E$5="","",AUG!$E$5)</f>
        <v/>
      </c>
      <c r="D14" s="55" t="n"/>
      <c r="E14" s="56">
        <f>IF(AUG!$E$43="","",AUG!$E$43)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IF(AUG!$E$44="","",AUG!$E$44)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IF(SEP!$E$5="","",SEP!$E$5)</f>
        <v/>
      </c>
      <c r="D15" s="55" t="n"/>
      <c r="E15" s="56">
        <f>IF(SEP!$E$43="","",SEP!$E$43)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IF(SEP!$E$44="","",SEP!$E$44)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Goddards Shipping Barbados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IF(OCT!$F$5="","",OCT!$F$5)</f>
        <v/>
      </c>
      <c r="D4" s="55" t="n"/>
      <c r="E4" s="56">
        <f>IF(OCT!$F$43="","",OCT!$F$43)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IF(OCT!$F$44="","",OCT!$F$44)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IF(NOV!$F$5="","",NOV!$F$5)</f>
        <v/>
      </c>
      <c r="D5" s="55" t="n"/>
      <c r="E5" s="56">
        <f>IF(NOV!$F$43="","",NOV!$F$43)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IF(NOV!$F$44="","",NOV!$F$44)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IF(DEC!$F$5="","",DEC!$F$5)</f>
        <v/>
      </c>
      <c r="D6" s="55" t="n"/>
      <c r="E6" s="56">
        <f>IF(DEC!$F$43="","",DEC!$F$43)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IF(DEC!$F$44="","",DEC!$F$44)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IF(JAN!$F$5="","",JAN!$F$5)</f>
        <v/>
      </c>
      <c r="D7" s="55" t="n"/>
      <c r="E7" s="56">
        <f>IF(JAN!$F$43="","",JAN!$F$43)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IF(JAN!$F$44="","",JAN!$F$44)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IF(FEB!$F$5="","",FEB!$F$5)</f>
        <v/>
      </c>
      <c r="D8" s="55" t="n"/>
      <c r="E8" s="56">
        <f>IF(FEB!$F$43="","",FEB!$F$43)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IF(FEB!$F$44="","",FEB!$F$44)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IF(MAR!$F$5="","",MAR!$F$5)</f>
        <v/>
      </c>
      <c r="D9" s="55" t="n"/>
      <c r="E9" s="56">
        <f>IF(MAR!$F$43="","",MAR!$F$43)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IF(MAR!$F$44="","",MAR!$F$44)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IF(APR!$F$5="","",APR!$F$5)</f>
        <v/>
      </c>
      <c r="D10" s="55" t="n"/>
      <c r="E10" s="56">
        <f>IF(APR!$F$43="","",APR!$F$43)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IF(APR!$F$44="","",APR!$F$44)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IF(MAY!$F$5="","",MAY!$F$5)</f>
        <v/>
      </c>
      <c r="D11" s="55" t="n"/>
      <c r="E11" s="56">
        <f>IF(MAY!$F$43="","",MAY!$F$43)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IF(MAY!$F$44="","",MAY!$F$44)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IF(JUN!$F$5="","",JUN!$F$5)</f>
        <v/>
      </c>
      <c r="D12" s="55" t="n"/>
      <c r="E12" s="56">
        <f>IF(JUN!$F$43="","",JUN!$F$43)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IF(JUN!$F$44="","",JUN!$F$44)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IF(JUL!$F$5="","",JUL!$F$5)</f>
        <v/>
      </c>
      <c r="D13" s="55" t="n"/>
      <c r="E13" s="56">
        <f>IF(JUL!$F$43="","",JUL!$F$43)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IF(JUL!$F$44="","",JUL!$F$44)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IF(AUG!$F$5="","",AUG!$F$5)</f>
        <v/>
      </c>
      <c r="D14" s="55" t="n"/>
      <c r="E14" s="56">
        <f>IF(AUG!$F$43="","",AUG!$F$43)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IF(AUG!$F$44="","",AUG!$F$44)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IF(SEP!$F$5="","",SEP!$F$5)</f>
        <v/>
      </c>
      <c r="D15" s="55" t="n"/>
      <c r="E15" s="56">
        <f>IF(SEP!$F$43="","",SEP!$F$43)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IF(SEP!$F$44="","",SEP!$F$44)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2026-09-26T17:34:47Z</dcterms:created>
  <dcterms:modified xsi:type="dcterms:W3CDTF">2026-09-26T17:34:50Z</dcterms:modified>
</cp:coreProperties>
</file>