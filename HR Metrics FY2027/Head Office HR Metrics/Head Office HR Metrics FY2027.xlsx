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" sheetId="1" state="visible" r:id="rId1"/>
    <sheet name="OCT" sheetId="2" state="visible" r:id="rId2"/>
    <sheet name="NOV" sheetId="3" state="visible" r:id="rId3"/>
    <sheet name="DEC" sheetId="4" state="visible" r:id="rId4"/>
    <sheet name="JAN" sheetId="5" state="visible" r:id="rId5"/>
    <sheet name="FEB" sheetId="6" state="visible" r:id="rId6"/>
    <sheet name="MAR" sheetId="7" state="visible" r:id="rId7"/>
    <sheet name="APR" sheetId="8" state="visible" r:id="rId8"/>
    <sheet name="MAY" sheetId="9" state="visible" r:id="rId9"/>
    <sheet name="JUN" sheetId="10" state="visible" r:id="rId10"/>
    <sheet name="JUL" sheetId="11" state="visible" r:id="rId11"/>
    <sheet name="AUG" sheetId="12" state="visible" r:id="rId12"/>
    <sheet name="SEP" sheetId="13" state="visible" r:id="rId13"/>
    <sheet name="(GODDARD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#,##0.0"/>
    <numFmt numFmtId="167" formatCode="yyyy-mm-dd h:mm:ss"/>
    <numFmt numFmtId="168" formatCode="mmmm-yy"/>
    <numFmt numFmtId="169" formatCode="mm/dd/yyyy"/>
  </numFmts>
  <fonts count="18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b val="1"/>
      <color rgb="FFF2CEEF"/>
      <sz val="12"/>
    </font>
    <font>
      <name val="Aptos Narrow"/>
      <family val="2"/>
      <color theme="1"/>
      <sz val="11"/>
      <scheme val="minor"/>
    </font>
    <font>
      <name val="Calibri"/>
      <color rgb="FFF2CEEF"/>
      <sz val="12"/>
    </font>
    <font>
      <name val="Calibri"/>
      <color rgb="FFFFFFFF"/>
      <sz val="16"/>
    </font>
    <font>
      <name val="Calibri"/>
      <color rgb="FF31216B"/>
      <sz val="12"/>
    </font>
    <font>
      <name val="Calibri"/>
      <color rgb="FFFFFFFF"/>
      <sz val="12"/>
    </font>
    <font>
      <name val="Calibri"/>
      <color rgb="FF808080"/>
      <sz val="12"/>
    </font>
    <font>
      <name val="Calibri"/>
      <color rgb="FF0E2841"/>
      <sz val="12"/>
    </font>
    <font>
      <name val="Calibri"/>
      <color rgb="FF000000"/>
      <sz val="12"/>
    </font>
    <font>
      <name val="Aptos Narrow"/>
      <family val="2"/>
      <color rgb="FFF2CEEF"/>
      <sz val="11"/>
      <scheme val="minor"/>
    </font>
    <font>
      <name val="Calibri"/>
      <b val="1"/>
      <color rgb="FFFFFFFF"/>
      <sz val="12"/>
    </font>
    <font>
      <name val="Calibri"/>
      <color rgb="FF000000"/>
      <sz val="14"/>
    </font>
    <font>
      <name val="Calibri"/>
      <color rgb="FFC00000"/>
      <sz val="14"/>
    </font>
    <font>
      <name val="Calibri"/>
      <b val="1"/>
      <color rgb="FF0E2841"/>
      <sz val="12"/>
    </font>
    <font>
      <name val="Calibri"/>
      <i val="1"/>
      <color rgb="FFC00000"/>
      <sz val="11"/>
    </font>
  </fonts>
  <fills count="14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9" fillId="2" borderId="0" pivotButton="0" quotePrefix="0" xfId="0"/>
    <xf numFmtId="0" fontId="10" fillId="3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6" fontId="10" fillId="9" borderId="0" applyAlignment="1" pivotButton="0" quotePrefix="0" xfId="0">
      <alignment horizontal="center"/>
    </xf>
    <xf numFmtId="0" fontId="8" fillId="4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1" fontId="10" fillId="9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9" borderId="0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5" fontId="10" fillId="9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0" fontId="10" fillId="6" borderId="0" applyAlignment="1" pivotButton="0" quotePrefix="0" xfId="0">
      <alignment horizontal="left"/>
    </xf>
    <xf numFmtId="9" fontId="10" fillId="0" borderId="0" applyAlignment="1" pivotButton="0" quotePrefix="0" xfId="0">
      <alignment horizontal="center"/>
    </xf>
    <xf numFmtId="9" fontId="10" fillId="9" borderId="0" applyAlignment="1" pivotButton="0" quotePrefix="0" xfId="0">
      <alignment horizontal="center"/>
    </xf>
    <xf numFmtId="0" fontId="8" fillId="2" borderId="0" pivotButton="0" quotePrefix="0" xfId="0"/>
    <xf numFmtId="49" fontId="3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/>
    </xf>
    <xf numFmtId="0" fontId="3" fillId="2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8" fillId="4" borderId="0" applyAlignment="1" pivotButton="0" quotePrefix="0" xfId="0">
      <alignment horizontal="center"/>
    </xf>
    <xf numFmtId="1" fontId="10" fillId="0" borderId="0" applyAlignment="1" applyProtection="1" pivotButton="0" quotePrefix="0" xfId="0">
      <alignment horizontal="center"/>
      <protection locked="0" hidden="0"/>
    </xf>
    <xf numFmtId="1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164" fontId="11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10" fillId="0" borderId="0" applyAlignment="1" applyProtection="1" pivotButton="0" quotePrefix="0" xfId="0">
      <alignment horizontal="center"/>
      <protection locked="0" hidden="0"/>
    </xf>
    <xf numFmtId="9" fontId="8" fillId="4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4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165" fontId="14" fillId="10" borderId="2" applyAlignment="1" pivotButton="0" quotePrefix="0" xfId="0">
      <alignment horizontal="center" vertical="center" wrapText="1"/>
    </xf>
    <xf numFmtId="164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13" fillId="11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left" vertical="center" wrapText="1"/>
    </xf>
    <xf numFmtId="1" fontId="7" fillId="12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right"/>
    </xf>
    <xf numFmtId="164" fontId="16" fillId="13" borderId="2" applyAlignment="1" pivotButton="0" quotePrefix="0" xfId="0">
      <alignment horizontal="center" vertical="center" wrapText="1"/>
    </xf>
    <xf numFmtId="3" fontId="16" fillId="13" borderId="2" applyAlignment="1" pivotButton="0" quotePrefix="0" xfId="0">
      <alignment horizontal="center" vertical="center" wrapText="1"/>
    </xf>
    <xf numFmtId="10" fontId="16" fillId="13" borderId="2" applyAlignment="1" pivotButton="0" quotePrefix="0" xfId="0">
      <alignment horizontal="center" vertical="center" wrapText="1"/>
    </xf>
    <xf numFmtId="1" fontId="16" fillId="13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12" borderId="2" applyAlignment="1" applyProtection="1" pivotButton="0" quotePrefix="0" xfId="0">
      <alignment horizontal="left" vertical="center" wrapText="1"/>
      <protection locked="0" hidden="0"/>
    </xf>
    <xf numFmtId="169" fontId="7" fillId="12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2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3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4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5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6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7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8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9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0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1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comments/comment12.xml><?xml version="1.0" encoding="utf-8"?>
<comments xmlns="http://schemas.openxmlformats.org/spreadsheetml/2006/main">
  <authors>
    <author>HR Metrics</author>
  </authors>
  <commentList>
    <comment ref="F2" authorId="0" shapeId="0">
      <text>
        <t>TRUE = the Headcount = 1.00/0.75/0.50/0.25 split does not add up to Employee Headcount (row 5). Difference shown in row 11.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265625" customWidth="1" min="3" max="3"/>
    <col width="13.7265625" customWidth="1" min="19" max="19"/>
    <col width="8.26953125" customWidth="1" min="20" max="20"/>
    <col width="13.54296875" customWidth="1" min="21" max="21"/>
    <col width="8.81640625" customWidth="1" min="22" max="22"/>
    <col width="20.26953125" customWidth="1" min="35" max="35"/>
    <col width="8.81640625" customWidth="1" min="36" max="36"/>
  </cols>
  <sheetData>
    <row r="1" ht="18.75" customHeight="1">
      <c r="A1" s="1" t="n"/>
      <c r="B1" s="2" t="inlineStr">
        <is>
          <t>HEAD OFFICE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OCT</t>
        </is>
      </c>
      <c r="D2" s="6" t="inlineStr">
        <is>
          <t>NOV</t>
        </is>
      </c>
      <c r="E2" s="6" t="inlineStr">
        <is>
          <t>DEC</t>
        </is>
      </c>
      <c r="F2" s="7" t="inlineStr">
        <is>
          <t>∑Q1</t>
        </is>
      </c>
      <c r="G2" s="6" t="inlineStr">
        <is>
          <t>JAN</t>
        </is>
      </c>
      <c r="H2" s="6" t="inlineStr">
        <is>
          <t>FEB</t>
        </is>
      </c>
      <c r="I2" s="6" t="inlineStr">
        <is>
          <t>MAR</t>
        </is>
      </c>
      <c r="J2" s="7" t="inlineStr">
        <is>
          <t>∑Q2</t>
        </is>
      </c>
      <c r="K2" s="6" t="inlineStr">
        <is>
          <t>APR</t>
        </is>
      </c>
      <c r="L2" s="6" t="inlineStr">
        <is>
          <t>MAY</t>
        </is>
      </c>
      <c r="M2" s="6" t="inlineStr">
        <is>
          <t>JUN</t>
        </is>
      </c>
      <c r="N2" s="7" t="inlineStr">
        <is>
          <t>∑Q3</t>
        </is>
      </c>
      <c r="O2" s="6" t="inlineStr">
        <is>
          <t>JUL</t>
        </is>
      </c>
      <c r="P2" s="6" t="inlineStr">
        <is>
          <t>AUG</t>
        </is>
      </c>
      <c r="Q2" s="6" t="inlineStr">
        <is>
          <t>SEP</t>
        </is>
      </c>
      <c r="R2" s="7" t="inlineStr">
        <is>
          <t>∑Q4</t>
        </is>
      </c>
      <c r="S2" s="8" t="inlineStr">
        <is>
          <t>FY2027</t>
        </is>
      </c>
    </row>
    <row r="3" ht="18.75" customHeight="1">
      <c r="A3" s="9" t="n"/>
      <c r="B3" s="10" t="inlineStr">
        <is>
          <t>Permanent (Regular) Headcount</t>
        </is>
      </c>
      <c r="C3" s="11">
        <f>OCT!D3</f>
        <v/>
      </c>
      <c r="D3" s="11">
        <f>NOV!D3</f>
        <v/>
      </c>
      <c r="E3" s="11">
        <f>DEC!D3</f>
        <v/>
      </c>
      <c r="F3" s="12">
        <f>IFERROR(AVERAGE(C3:E3),"")</f>
        <v/>
      </c>
      <c r="G3" s="11">
        <f>JAN!D3</f>
        <v/>
      </c>
      <c r="H3" s="11">
        <f>FEB!D3</f>
        <v/>
      </c>
      <c r="I3" s="11">
        <f>MAR!D3</f>
        <v/>
      </c>
      <c r="J3" s="12">
        <f>IFERROR(AVERAGE(G3:I3),"")</f>
        <v/>
      </c>
      <c r="K3" s="11">
        <f>APR!D3</f>
        <v/>
      </c>
      <c r="L3" s="11">
        <f>MAY!D3</f>
        <v/>
      </c>
      <c r="M3" s="11">
        <f>JUN!D3</f>
        <v/>
      </c>
      <c r="N3" s="12">
        <f>IFERROR(AVERAGE(K3:M3),"")</f>
        <v/>
      </c>
      <c r="O3" s="11">
        <f>JUL!D3</f>
        <v/>
      </c>
      <c r="P3" s="11">
        <f>AUG!D3</f>
        <v/>
      </c>
      <c r="Q3" s="11">
        <f>SEP!D3</f>
        <v/>
      </c>
      <c r="R3" s="12">
        <f>IFERROR(AVERAGE(O3:Q3),"")</f>
        <v/>
      </c>
      <c r="S3" s="12">
        <f>IFERROR(AVERAGE(C3:E3,G3:I3,K3:M3,O3:Q3),"")</f>
        <v/>
      </c>
    </row>
    <row r="4" ht="18.75" customHeight="1">
      <c r="A4" s="3" t="n"/>
      <c r="B4" s="10" t="inlineStr">
        <is>
          <t>Temporary (Fix Term) Headcount</t>
        </is>
      </c>
      <c r="C4" s="11">
        <f>OCT!D4</f>
        <v/>
      </c>
      <c r="D4" s="11">
        <f>NOV!D4</f>
        <v/>
      </c>
      <c r="E4" s="11">
        <f>DEC!D4</f>
        <v/>
      </c>
      <c r="F4" s="12">
        <f>IFERROR(AVERAGE(C4:E4),"")</f>
        <v/>
      </c>
      <c r="G4" s="11">
        <f>JAN!D4</f>
        <v/>
      </c>
      <c r="H4" s="11">
        <f>FEB!D4</f>
        <v/>
      </c>
      <c r="I4" s="11">
        <f>MAR!D4</f>
        <v/>
      </c>
      <c r="J4" s="12">
        <f>IFERROR(AVERAGE(G4:I4),"")</f>
        <v/>
      </c>
      <c r="K4" s="11">
        <f>APR!D4</f>
        <v/>
      </c>
      <c r="L4" s="11">
        <f>MAY!D4</f>
        <v/>
      </c>
      <c r="M4" s="11">
        <f>JUN!D4</f>
        <v/>
      </c>
      <c r="N4" s="12">
        <f>IFERROR(AVERAGE(K4:M4),"")</f>
        <v/>
      </c>
      <c r="O4" s="11">
        <f>JUL!D4</f>
        <v/>
      </c>
      <c r="P4" s="11">
        <f>AUG!D4</f>
        <v/>
      </c>
      <c r="Q4" s="11">
        <f>SEP!D4</f>
        <v/>
      </c>
      <c r="R4" s="12">
        <f>IFERROR(AVERAGE(O4:Q4),"")</f>
        <v/>
      </c>
      <c r="S4" s="12">
        <f>IFERROR(AVERAGE(C4:E4,G4:I4,K4:M4,O4:Q4),"")</f>
        <v/>
      </c>
    </row>
    <row r="5" ht="18.75" customHeight="1">
      <c r="A5" s="3" t="n"/>
      <c r="B5" s="13" t="inlineStr">
        <is>
          <t>Employee Headcount (Productivity)</t>
        </is>
      </c>
      <c r="C5" s="11">
        <f>OCT!D5</f>
        <v/>
      </c>
      <c r="D5" s="11">
        <f>NOV!D5</f>
        <v/>
      </c>
      <c r="E5" s="11">
        <f>DEC!D5</f>
        <v/>
      </c>
      <c r="F5" s="12">
        <f>IF(COUNT(F3:F4)=0,"",SUM(F3:F4))</f>
        <v/>
      </c>
      <c r="G5" s="11">
        <f>JAN!D5</f>
        <v/>
      </c>
      <c r="H5" s="11">
        <f>FEB!D5</f>
        <v/>
      </c>
      <c r="I5" s="11">
        <f>MAR!D5</f>
        <v/>
      </c>
      <c r="J5" s="12">
        <f>IF(COUNT(J3:J4)=0,"",SUM(J3:J4))</f>
        <v/>
      </c>
      <c r="K5" s="11">
        <f>APR!D5</f>
        <v/>
      </c>
      <c r="L5" s="11">
        <f>MAY!D5</f>
        <v/>
      </c>
      <c r="M5" s="11">
        <f>JUN!D5</f>
        <v/>
      </c>
      <c r="N5" s="12">
        <f>IF(COUNT(N3:N4)=0,"",SUM(N3:N4))</f>
        <v/>
      </c>
      <c r="O5" s="11">
        <f>JUL!D5</f>
        <v/>
      </c>
      <c r="P5" s="11">
        <f>AUG!D5</f>
        <v/>
      </c>
      <c r="Q5" s="11">
        <f>SEP!D5</f>
        <v/>
      </c>
      <c r="R5" s="12">
        <f>IF(COUNT(R3:R4)=0,"",SUM(R3:R4))</f>
        <v/>
      </c>
      <c r="S5" s="12">
        <f>IF(COUNT(S3:S4)=0,"",SUM(S3:S4))</f>
        <v/>
      </c>
    </row>
    <row r="6" ht="18.75" customHeight="1">
      <c r="A6" s="3" t="n"/>
      <c r="B6" s="10" t="inlineStr">
        <is>
          <t>Headcount = 1.00</t>
        </is>
      </c>
      <c r="C6" s="11">
        <f>OCT!D6</f>
        <v/>
      </c>
      <c r="D6" s="11">
        <f>NOV!D6</f>
        <v/>
      </c>
      <c r="E6" s="11">
        <f>DEC!D6</f>
        <v/>
      </c>
      <c r="F6" s="12">
        <f>IFERROR(AVERAGE(C6:E6),"")</f>
        <v/>
      </c>
      <c r="G6" s="11">
        <f>JAN!D6</f>
        <v/>
      </c>
      <c r="H6" s="11">
        <f>FEB!D6</f>
        <v/>
      </c>
      <c r="I6" s="11">
        <f>MAR!D6</f>
        <v/>
      </c>
      <c r="J6" s="12">
        <f>IFERROR(AVERAGE(G6:I6),"")</f>
        <v/>
      </c>
      <c r="K6" s="11">
        <f>APR!D6</f>
        <v/>
      </c>
      <c r="L6" s="11">
        <f>MAY!D6</f>
        <v/>
      </c>
      <c r="M6" s="11">
        <f>JUN!D6</f>
        <v/>
      </c>
      <c r="N6" s="12">
        <f>IFERROR(AVERAGE(K6:M6),"")</f>
        <v/>
      </c>
      <c r="O6" s="11">
        <f>JUL!D6</f>
        <v/>
      </c>
      <c r="P6" s="11">
        <f>AUG!D6</f>
        <v/>
      </c>
      <c r="Q6" s="11">
        <f>SEP!D6</f>
        <v/>
      </c>
      <c r="R6" s="12">
        <f>IFERROR(AVERAGE(O6:Q6),"")</f>
        <v/>
      </c>
      <c r="S6" s="12">
        <f>IFERROR(AVERAGE(C6:E6,G6:I6,K6:M6,O6:Q6),"")</f>
        <v/>
      </c>
    </row>
    <row r="7" ht="18.75" customHeight="1">
      <c r="A7" s="3" t="n"/>
      <c r="B7" s="10" t="inlineStr">
        <is>
          <t>Headcount = 0.75</t>
        </is>
      </c>
      <c r="C7" s="11">
        <f>OCT!D7</f>
        <v/>
      </c>
      <c r="D7" s="11">
        <f>NOV!D7</f>
        <v/>
      </c>
      <c r="E7" s="11">
        <f>DEC!D7</f>
        <v/>
      </c>
      <c r="F7" s="12">
        <f>IFERROR(AVERAGE(C7:E7),"")</f>
        <v/>
      </c>
      <c r="G7" s="11">
        <f>JAN!D7</f>
        <v/>
      </c>
      <c r="H7" s="11">
        <f>FEB!D7</f>
        <v/>
      </c>
      <c r="I7" s="11">
        <f>MAR!D7</f>
        <v/>
      </c>
      <c r="J7" s="12">
        <f>IFERROR(AVERAGE(G7:I7),"")</f>
        <v/>
      </c>
      <c r="K7" s="11">
        <f>APR!D7</f>
        <v/>
      </c>
      <c r="L7" s="11">
        <f>MAY!D7</f>
        <v/>
      </c>
      <c r="M7" s="11">
        <f>JUN!D7</f>
        <v/>
      </c>
      <c r="N7" s="12">
        <f>IFERROR(AVERAGE(K7:M7),"")</f>
        <v/>
      </c>
      <c r="O7" s="11">
        <f>JUL!D7</f>
        <v/>
      </c>
      <c r="P7" s="11">
        <f>AUG!D7</f>
        <v/>
      </c>
      <c r="Q7" s="11">
        <f>SEP!D7</f>
        <v/>
      </c>
      <c r="R7" s="12">
        <f>IFERROR(AVERAGE(O7:Q7),"")</f>
        <v/>
      </c>
      <c r="S7" s="12">
        <f>IFERROR(AVERAGE(C7:E7,G7:I7,K7:M7,O7:Q7),"")</f>
        <v/>
      </c>
    </row>
    <row r="8" ht="18.75" customHeight="1">
      <c r="A8" s="3" t="n"/>
      <c r="B8" s="10" t="inlineStr">
        <is>
          <t>Headcount = 0.50</t>
        </is>
      </c>
      <c r="C8" s="11">
        <f>OCT!D8</f>
        <v/>
      </c>
      <c r="D8" s="11">
        <f>NOV!D8</f>
        <v/>
      </c>
      <c r="E8" s="11">
        <f>DEC!D8</f>
        <v/>
      </c>
      <c r="F8" s="12">
        <f>IFERROR(AVERAGE(C8:E8),"")</f>
        <v/>
      </c>
      <c r="G8" s="11">
        <f>JAN!D8</f>
        <v/>
      </c>
      <c r="H8" s="11">
        <f>FEB!D8</f>
        <v/>
      </c>
      <c r="I8" s="11">
        <f>MAR!D8</f>
        <v/>
      </c>
      <c r="J8" s="12">
        <f>IFERROR(AVERAGE(G8:I8),"")</f>
        <v/>
      </c>
      <c r="K8" s="11">
        <f>APR!D8</f>
        <v/>
      </c>
      <c r="L8" s="11">
        <f>MAY!D8</f>
        <v/>
      </c>
      <c r="M8" s="11">
        <f>JUN!D8</f>
        <v/>
      </c>
      <c r="N8" s="12">
        <f>IFERROR(AVERAGE(K8:M8),"")</f>
        <v/>
      </c>
      <c r="O8" s="11">
        <f>JUL!D8</f>
        <v/>
      </c>
      <c r="P8" s="11">
        <f>AUG!D8</f>
        <v/>
      </c>
      <c r="Q8" s="11">
        <f>SEP!D8</f>
        <v/>
      </c>
      <c r="R8" s="12">
        <f>IFERROR(AVERAGE(O8:Q8),"")</f>
        <v/>
      </c>
      <c r="S8" s="12">
        <f>IFERROR(AVERAGE(C8:E8,G8:I8,K8:M8,O8:Q8),"")</f>
        <v/>
      </c>
    </row>
    <row r="9" ht="18.75" customHeight="1">
      <c r="A9" s="3" t="n"/>
      <c r="B9" s="10" t="inlineStr">
        <is>
          <t>Headcount = 0.25</t>
        </is>
      </c>
      <c r="C9" s="11">
        <f>OCT!D9</f>
        <v/>
      </c>
      <c r="D9" s="11">
        <f>NOV!D9</f>
        <v/>
      </c>
      <c r="E9" s="11">
        <f>DEC!D9</f>
        <v/>
      </c>
      <c r="F9" s="12">
        <f>IFERROR(AVERAGE(C9:E9),"")</f>
        <v/>
      </c>
      <c r="G9" s="11">
        <f>JAN!D9</f>
        <v/>
      </c>
      <c r="H9" s="11">
        <f>FEB!D9</f>
        <v/>
      </c>
      <c r="I9" s="11">
        <f>MAR!D9</f>
        <v/>
      </c>
      <c r="J9" s="12">
        <f>IFERROR(AVERAGE(G9:I9),"")</f>
        <v/>
      </c>
      <c r="K9" s="11">
        <f>APR!D9</f>
        <v/>
      </c>
      <c r="L9" s="11">
        <f>MAY!D9</f>
        <v/>
      </c>
      <c r="M9" s="11">
        <f>JUN!D9</f>
        <v/>
      </c>
      <c r="N9" s="12">
        <f>IFERROR(AVERAGE(K9:M9),"")</f>
        <v/>
      </c>
      <c r="O9" s="11">
        <f>JUL!D9</f>
        <v/>
      </c>
      <c r="P9" s="11">
        <f>AUG!D9</f>
        <v/>
      </c>
      <c r="Q9" s="11">
        <f>SEP!D9</f>
        <v/>
      </c>
      <c r="R9" s="12">
        <f>IFERROR(AVERAGE(O9:Q9),"")</f>
        <v/>
      </c>
      <c r="S9" s="12">
        <f>IFERROR(AVERAGE(C9:E9,G9:I9,K9:M9,O9:Q9),"")</f>
        <v/>
      </c>
    </row>
    <row r="10" ht="18.75" customHeight="1">
      <c r="A10" s="3" t="n"/>
      <c r="B10" s="10" t="inlineStr">
        <is>
          <t>Standard Monthly Hours (FTE basis)</t>
        </is>
      </c>
      <c r="C10" s="14">
        <f>OCT!D10</f>
        <v/>
      </c>
      <c r="D10" s="14">
        <f>NOV!D10</f>
        <v/>
      </c>
      <c r="E10" s="14">
        <f>DEC!D10</f>
        <v/>
      </c>
      <c r="F10" s="15">
        <f>IFERROR(AVERAGE(C10:E10),"")</f>
        <v/>
      </c>
      <c r="G10" s="14">
        <f>JAN!D10</f>
        <v/>
      </c>
      <c r="H10" s="14">
        <f>FEB!D10</f>
        <v/>
      </c>
      <c r="I10" s="14">
        <f>MAR!D10</f>
        <v/>
      </c>
      <c r="J10" s="15">
        <f>IFERROR(AVERAGE(G10:I10),"")</f>
        <v/>
      </c>
      <c r="K10" s="14">
        <f>APR!D10</f>
        <v/>
      </c>
      <c r="L10" s="14">
        <f>MAY!D10</f>
        <v/>
      </c>
      <c r="M10" s="14">
        <f>JUN!D10</f>
        <v/>
      </c>
      <c r="N10" s="15">
        <f>IFERROR(AVERAGE(K10:M10),"")</f>
        <v/>
      </c>
      <c r="O10" s="14">
        <f>JUL!D10</f>
        <v/>
      </c>
      <c r="P10" s="14">
        <f>AUG!D10</f>
        <v/>
      </c>
      <c r="Q10" s="14">
        <f>SEP!D10</f>
        <v/>
      </c>
      <c r="R10" s="15">
        <f>IFERROR(AVERAGE(O10:Q10),"")</f>
        <v/>
      </c>
      <c r="S10" s="15">
        <f>IFERROR(AVERAGE(C10:E10,G10:I10,K10:M10,O10:Q10),"")</f>
        <v/>
      </c>
    </row>
    <row r="11" ht="18.75" customHeight="1">
      <c r="A11" s="3" t="n"/>
      <c r="B11" s="13" t="inlineStr">
        <is>
          <t>Employee FTE (Finance)</t>
        </is>
      </c>
      <c r="C11" s="16">
        <f>OCT!D11</f>
        <v/>
      </c>
      <c r="D11" s="16">
        <f>NOV!D11</f>
        <v/>
      </c>
      <c r="E11" s="16">
        <f>DEC!D11</f>
        <v/>
      </c>
      <c r="F11" s="17">
        <f>IF(COUNT(F6:F9)=0,"",N(F6)+N(F7)*0.75+N(F8)*0.5+N(F9)*0.25)</f>
        <v/>
      </c>
      <c r="G11" s="16">
        <f>JAN!D11</f>
        <v/>
      </c>
      <c r="H11" s="16">
        <f>FEB!D11</f>
        <v/>
      </c>
      <c r="I11" s="16">
        <f>MAR!D11</f>
        <v/>
      </c>
      <c r="J11" s="17">
        <f>IF(COUNT(J6:J9)=0,"",N(J6)+N(J7)*0.75+N(J8)*0.5+N(J9)*0.25)</f>
        <v/>
      </c>
      <c r="K11" s="16">
        <f>APR!D11</f>
        <v/>
      </c>
      <c r="L11" s="16">
        <f>MAY!D11</f>
        <v/>
      </c>
      <c r="M11" s="16">
        <f>JUN!D11</f>
        <v/>
      </c>
      <c r="N11" s="17">
        <f>IF(COUNT(N6:N9)=0,"",N(N6)+N(N7)*0.75+N(N8)*0.5+N(N9)*0.25)</f>
        <v/>
      </c>
      <c r="O11" s="16">
        <f>JUL!D11</f>
        <v/>
      </c>
      <c r="P11" s="16">
        <f>AUG!D11</f>
        <v/>
      </c>
      <c r="Q11" s="16">
        <f>SEP!D11</f>
        <v/>
      </c>
      <c r="R11" s="17">
        <f>IF(COUNT(R6:R9)=0,"",N(R6)+N(R7)*0.75+N(R8)*0.5+N(R9)*0.25)</f>
        <v/>
      </c>
      <c r="S11" s="17">
        <f>IF(COUNT(S6:S9)=0,"",N(S6)+N(S7)*0.75+N(S8)*0.5+N(S9)*0.25)</f>
        <v/>
      </c>
    </row>
    <row r="12" ht="18.75" customHeight="1">
      <c r="A12" s="3" t="n"/>
      <c r="B12" s="10" t="inlineStr">
        <is>
          <t>Subcontracted Workforce HC</t>
        </is>
      </c>
      <c r="C12" s="11">
        <f>OCT!D12</f>
        <v/>
      </c>
      <c r="D12" s="11">
        <f>NOV!D12</f>
        <v/>
      </c>
      <c r="E12" s="11">
        <f>DEC!D12</f>
        <v/>
      </c>
      <c r="F12" s="12">
        <f>IFERROR(AVERAGE(C12:E12),"")</f>
        <v/>
      </c>
      <c r="G12" s="11">
        <f>JAN!D12</f>
        <v/>
      </c>
      <c r="H12" s="11">
        <f>FEB!D12</f>
        <v/>
      </c>
      <c r="I12" s="11">
        <f>MAR!D12</f>
        <v/>
      </c>
      <c r="J12" s="12">
        <f>IFERROR(AVERAGE(G12:I12),"")</f>
        <v/>
      </c>
      <c r="K12" s="11">
        <f>APR!D12</f>
        <v/>
      </c>
      <c r="L12" s="11">
        <f>MAY!D12</f>
        <v/>
      </c>
      <c r="M12" s="11">
        <f>JUN!D12</f>
        <v/>
      </c>
      <c r="N12" s="12">
        <f>IFERROR(AVERAGE(K12:M12),"")</f>
        <v/>
      </c>
      <c r="O12" s="11">
        <f>JUL!D12</f>
        <v/>
      </c>
      <c r="P12" s="11">
        <f>AUG!D12</f>
        <v/>
      </c>
      <c r="Q12" s="11">
        <f>SEP!D12</f>
        <v/>
      </c>
      <c r="R12" s="12">
        <f>IFERROR(AVERAGE(O12:Q12),"")</f>
        <v/>
      </c>
      <c r="S12" s="12">
        <f>IFERROR(AVERAGE(C12:E12,G12:I12,K12:M12,O12:Q12),"")</f>
        <v/>
      </c>
    </row>
    <row r="13" ht="18.75" customHeight="1">
      <c r="A13" s="3" t="n"/>
      <c r="B13" s="10" t="inlineStr">
        <is>
          <t>Subcontracted Productive Hours</t>
        </is>
      </c>
      <c r="C13" s="14">
        <f>OCT!D13</f>
        <v/>
      </c>
      <c r="D13" s="14">
        <f>NOV!D13</f>
        <v/>
      </c>
      <c r="E13" s="14">
        <f>DEC!D13</f>
        <v/>
      </c>
      <c r="F13" s="15">
        <f>IFERROR(AVERAGE(C13:E13),"")</f>
        <v/>
      </c>
      <c r="G13" s="14">
        <f>JAN!D13</f>
        <v/>
      </c>
      <c r="H13" s="14">
        <f>FEB!D13</f>
        <v/>
      </c>
      <c r="I13" s="14">
        <f>MAR!D13</f>
        <v/>
      </c>
      <c r="J13" s="15">
        <f>IFERROR(AVERAGE(G13:I13),"")</f>
        <v/>
      </c>
      <c r="K13" s="14">
        <f>APR!D13</f>
        <v/>
      </c>
      <c r="L13" s="14">
        <f>MAY!D13</f>
        <v/>
      </c>
      <c r="M13" s="14">
        <f>JUN!D13</f>
        <v/>
      </c>
      <c r="N13" s="15">
        <f>IFERROR(AVERAGE(K13:M13),"")</f>
        <v/>
      </c>
      <c r="O13" s="14">
        <f>JUL!D13</f>
        <v/>
      </c>
      <c r="P13" s="14">
        <f>AUG!D13</f>
        <v/>
      </c>
      <c r="Q13" s="14">
        <f>SEP!D13</f>
        <v/>
      </c>
      <c r="R13" s="15">
        <f>IFERROR(AVERAGE(O13:Q13),"")</f>
        <v/>
      </c>
      <c r="S13" s="15">
        <f>IFERROR(AVERAGE(C13:E13,G13:I13,K13:M13,O13:Q13),"")</f>
        <v/>
      </c>
    </row>
    <row r="14" ht="18.75" customHeight="1">
      <c r="A14" s="3" t="n"/>
      <c r="B14" s="13" t="inlineStr">
        <is>
          <t>Subcontracted FTE</t>
        </is>
      </c>
      <c r="C14" s="16">
        <f>OCT!D14</f>
        <v/>
      </c>
      <c r="D14" s="16">
        <f>NOV!D14</f>
        <v/>
      </c>
      <c r="E14" s="16">
        <f>DEC!D14</f>
        <v/>
      </c>
      <c r="F14" s="17">
        <f>IFERROR(F13/F10,"")</f>
        <v/>
      </c>
      <c r="G14" s="16">
        <f>JAN!D14</f>
        <v/>
      </c>
      <c r="H14" s="16">
        <f>FEB!D14</f>
        <v/>
      </c>
      <c r="I14" s="16">
        <f>MAR!D14</f>
        <v/>
      </c>
      <c r="J14" s="17">
        <f>IFERROR(J13/J10,"")</f>
        <v/>
      </c>
      <c r="K14" s="16">
        <f>APR!D14</f>
        <v/>
      </c>
      <c r="L14" s="16">
        <f>MAY!D14</f>
        <v/>
      </c>
      <c r="M14" s="16">
        <f>JUN!D14</f>
        <v/>
      </c>
      <c r="N14" s="17">
        <f>IFERROR(N13/N10,"")</f>
        <v/>
      </c>
      <c r="O14" s="16">
        <f>JUL!D14</f>
        <v/>
      </c>
      <c r="P14" s="16">
        <f>AUG!D14</f>
        <v/>
      </c>
      <c r="Q14" s="16">
        <f>SEP!D14</f>
        <v/>
      </c>
      <c r="R14" s="17">
        <f>IFERROR(R13/R10,"")</f>
        <v/>
      </c>
      <c r="S14" s="17">
        <f>IFERROR(S13/S10,"")</f>
        <v/>
      </c>
    </row>
    <row r="15" ht="18.75" customHeight="1">
      <c r="A15" s="3" t="n"/>
      <c r="B15" s="18" t="inlineStr">
        <is>
          <t>Total Operational Workforce</t>
        </is>
      </c>
      <c r="C15" s="11">
        <f>OCT!D15</f>
        <v/>
      </c>
      <c r="D15" s="11">
        <f>NOV!D15</f>
        <v/>
      </c>
      <c r="E15" s="11">
        <f>DEC!D15</f>
        <v/>
      </c>
      <c r="F15" s="12">
        <f>IF(COUNT(F5,F12)=0,"",SUM(F5,F12))</f>
        <v/>
      </c>
      <c r="G15" s="11">
        <f>JAN!D15</f>
        <v/>
      </c>
      <c r="H15" s="11">
        <f>FEB!D15</f>
        <v/>
      </c>
      <c r="I15" s="11">
        <f>MAR!D15</f>
        <v/>
      </c>
      <c r="J15" s="12">
        <f>IF(COUNT(J5,J12)=0,"",SUM(J5,J12))</f>
        <v/>
      </c>
      <c r="K15" s="11">
        <f>APR!D15</f>
        <v/>
      </c>
      <c r="L15" s="11">
        <f>MAY!D15</f>
        <v/>
      </c>
      <c r="M15" s="11">
        <f>JUN!D15</f>
        <v/>
      </c>
      <c r="N15" s="12">
        <f>IF(COUNT(N5,N12)=0,"",SUM(N5,N12))</f>
        <v/>
      </c>
      <c r="O15" s="11">
        <f>JUL!D15</f>
        <v/>
      </c>
      <c r="P15" s="11">
        <f>AUG!D15</f>
        <v/>
      </c>
      <c r="Q15" s="11">
        <f>SEP!D15</f>
        <v/>
      </c>
      <c r="R15" s="12">
        <f>IF(COUNT(R5,R12)=0,"",SUM(R5,R12))</f>
        <v/>
      </c>
      <c r="S15" s="12">
        <f>IF(COUNT(S5,S12)=0,"",SUM(S5,S12))</f>
        <v/>
      </c>
    </row>
    <row r="16" ht="18.75" customHeight="1">
      <c r="A16" s="3" t="n"/>
      <c r="B16" s="18" t="inlineStr">
        <is>
          <t>Total Operational FTE</t>
        </is>
      </c>
      <c r="C16" s="16">
        <f>OCT!D16</f>
        <v/>
      </c>
      <c r="D16" s="16">
        <f>NOV!D16</f>
        <v/>
      </c>
      <c r="E16" s="16">
        <f>DEC!D16</f>
        <v/>
      </c>
      <c r="F16" s="17">
        <f>IF(COUNT(F11,F14)=0,"",SUM(F11,F14))</f>
        <v/>
      </c>
      <c r="G16" s="16">
        <f>JAN!D16</f>
        <v/>
      </c>
      <c r="H16" s="16">
        <f>FEB!D16</f>
        <v/>
      </c>
      <c r="I16" s="16">
        <f>MAR!D16</f>
        <v/>
      </c>
      <c r="J16" s="17">
        <f>IF(COUNT(J11,J14)=0,"",SUM(J11,J14))</f>
        <v/>
      </c>
      <c r="K16" s="16">
        <f>APR!D16</f>
        <v/>
      </c>
      <c r="L16" s="16">
        <f>MAY!D16</f>
        <v/>
      </c>
      <c r="M16" s="16">
        <f>JUN!D16</f>
        <v/>
      </c>
      <c r="N16" s="17">
        <f>IF(COUNT(N11,N14)=0,"",SUM(N11,N14))</f>
        <v/>
      </c>
      <c r="O16" s="16">
        <f>JUL!D16</f>
        <v/>
      </c>
      <c r="P16" s="16">
        <f>AUG!D16</f>
        <v/>
      </c>
      <c r="Q16" s="16">
        <f>SEP!D16</f>
        <v/>
      </c>
      <c r="R16" s="17">
        <f>IF(COUNT(R11,R14)=0,"",SUM(R11,R14))</f>
        <v/>
      </c>
      <c r="S16" s="17">
        <f>IF(COUNT(S11,S14)=0,"",SUM(S11,S14))</f>
        <v/>
      </c>
    </row>
    <row r="17" ht="18.75" customHeight="1">
      <c r="A17" s="3" t="n"/>
      <c r="B17" s="13" t="inlineStr">
        <is>
          <t>Subcontracted Share of Workforce (%)</t>
        </is>
      </c>
      <c r="C17" s="19">
        <f>OCT!D17</f>
        <v/>
      </c>
      <c r="D17" s="19">
        <f>NOV!D17</f>
        <v/>
      </c>
      <c r="E17" s="19">
        <f>DEC!D17</f>
        <v/>
      </c>
      <c r="F17" s="20">
        <f>IFERROR(F12/F15,"")</f>
        <v/>
      </c>
      <c r="G17" s="19">
        <f>JAN!D17</f>
        <v/>
      </c>
      <c r="H17" s="19">
        <f>FEB!D17</f>
        <v/>
      </c>
      <c r="I17" s="19">
        <f>MAR!D17</f>
        <v/>
      </c>
      <c r="J17" s="20">
        <f>IFERROR(J12/J15,"")</f>
        <v/>
      </c>
      <c r="K17" s="19">
        <f>APR!D17</f>
        <v/>
      </c>
      <c r="L17" s="19">
        <f>MAY!D17</f>
        <v/>
      </c>
      <c r="M17" s="19">
        <f>JUN!D17</f>
        <v/>
      </c>
      <c r="N17" s="20">
        <f>IFERROR(N12/N15,"")</f>
        <v/>
      </c>
      <c r="O17" s="19">
        <f>JUL!D17</f>
        <v/>
      </c>
      <c r="P17" s="19">
        <f>AUG!D17</f>
        <v/>
      </c>
      <c r="Q17" s="19">
        <f>SEP!D17</f>
        <v/>
      </c>
      <c r="R17" s="20">
        <f>IFERROR(R12/R15,"")</f>
        <v/>
      </c>
      <c r="S17" s="20">
        <f>IFERROR(S12/S15,"")</f>
        <v/>
      </c>
    </row>
    <row r="18" ht="18.75" customHeight="1">
      <c r="A18" s="3" t="n"/>
      <c r="B18" s="10" t="inlineStr">
        <is>
          <t>FTE HR Team</t>
        </is>
      </c>
      <c r="C18" s="11">
        <f>OCT!D18</f>
        <v/>
      </c>
      <c r="D18" s="11">
        <f>NOV!D18</f>
        <v/>
      </c>
      <c r="E18" s="11">
        <f>DEC!D18</f>
        <v/>
      </c>
      <c r="F18" s="12">
        <f>IFERROR(AVERAGE(C18:E18),"")</f>
        <v/>
      </c>
      <c r="G18" s="11">
        <f>JAN!D18</f>
        <v/>
      </c>
      <c r="H18" s="11">
        <f>FEB!D18</f>
        <v/>
      </c>
      <c r="I18" s="11">
        <f>MAR!D18</f>
        <v/>
      </c>
      <c r="J18" s="12">
        <f>IFERROR(AVERAGE(G18:I18),"")</f>
        <v/>
      </c>
      <c r="K18" s="11">
        <f>APR!D18</f>
        <v/>
      </c>
      <c r="L18" s="11">
        <f>MAY!D18</f>
        <v/>
      </c>
      <c r="M18" s="11">
        <f>JUN!D18</f>
        <v/>
      </c>
      <c r="N18" s="12">
        <f>IFERROR(AVERAGE(K18:M18),"")</f>
        <v/>
      </c>
      <c r="O18" s="11">
        <f>JUL!D18</f>
        <v/>
      </c>
      <c r="P18" s="11">
        <f>AUG!D18</f>
        <v/>
      </c>
      <c r="Q18" s="11">
        <f>SEP!D18</f>
        <v/>
      </c>
      <c r="R18" s="12">
        <f>IFERROR(AVERAGE(O18:Q18),"")</f>
        <v/>
      </c>
      <c r="S18" s="12">
        <f>IFERROR(AVERAGE(C18:E18,G18:I18,K18:M18,O18:Q18),"")</f>
        <v/>
      </c>
    </row>
    <row r="19" ht="18.75" customHeight="1">
      <c r="A19" s="3" t="n"/>
      <c r="B19" s="10" t="inlineStr">
        <is>
          <t>Permanent Hires</t>
        </is>
      </c>
      <c r="C19" s="11">
        <f>OCT!D19</f>
        <v/>
      </c>
      <c r="D19" s="11">
        <f>NOV!D19</f>
        <v/>
      </c>
      <c r="E19" s="11">
        <f>DEC!D19</f>
        <v/>
      </c>
      <c r="F19" s="12">
        <f>IF(COUNT(C19:E19)=0,"",SUM(C19:E19))</f>
        <v/>
      </c>
      <c r="G19" s="11">
        <f>JAN!D19</f>
        <v/>
      </c>
      <c r="H19" s="11">
        <f>FEB!D19</f>
        <v/>
      </c>
      <c r="I19" s="11">
        <f>MAR!D19</f>
        <v/>
      </c>
      <c r="J19" s="12">
        <f>IF(COUNT(G19:I19)=0,"",SUM(G19:I19))</f>
        <v/>
      </c>
      <c r="K19" s="11">
        <f>APR!D19</f>
        <v/>
      </c>
      <c r="L19" s="11">
        <f>MAY!D19</f>
        <v/>
      </c>
      <c r="M19" s="11">
        <f>JUN!D19</f>
        <v/>
      </c>
      <c r="N19" s="12">
        <f>IF(COUNT(K19:M19)=0,"",SUM(K19:M19))</f>
        <v/>
      </c>
      <c r="O19" s="11">
        <f>JUL!D19</f>
        <v/>
      </c>
      <c r="P19" s="11">
        <f>AUG!D19</f>
        <v/>
      </c>
      <c r="Q19" s="11">
        <f>SEP!D19</f>
        <v/>
      </c>
      <c r="R19" s="12">
        <f>IF(COUNT(O19:Q19)=0,"",SUM(O19:Q19))</f>
        <v/>
      </c>
      <c r="S19" s="12">
        <f>IF(COUNT(C19:E19,G19:I19,K19:M19,O19:Q19)=0,"",SUM(C19:E19,G19:I19,K19:M19,O19:Q19))</f>
        <v/>
      </c>
    </row>
    <row r="20" ht="18.75" customHeight="1">
      <c r="A20" s="3" t="n"/>
      <c r="B20" s="10" t="inlineStr">
        <is>
          <t>Temporary Hires</t>
        </is>
      </c>
      <c r="C20" s="11">
        <f>OCT!D20</f>
        <v/>
      </c>
      <c r="D20" s="11">
        <f>NOV!D20</f>
        <v/>
      </c>
      <c r="E20" s="11">
        <f>DEC!D20</f>
        <v/>
      </c>
      <c r="F20" s="12">
        <f>IF(COUNT(C20:E20)=0,"",SUM(C20:E20))</f>
        <v/>
      </c>
      <c r="G20" s="11">
        <f>JAN!D20</f>
        <v/>
      </c>
      <c r="H20" s="11">
        <f>FEB!D20</f>
        <v/>
      </c>
      <c r="I20" s="11">
        <f>MAR!D20</f>
        <v/>
      </c>
      <c r="J20" s="12">
        <f>IF(COUNT(G20:I20)=0,"",SUM(G20:I20))</f>
        <v/>
      </c>
      <c r="K20" s="11">
        <f>APR!D20</f>
        <v/>
      </c>
      <c r="L20" s="11">
        <f>MAY!D20</f>
        <v/>
      </c>
      <c r="M20" s="11">
        <f>JUN!D20</f>
        <v/>
      </c>
      <c r="N20" s="12">
        <f>IF(COUNT(K20:M20)=0,"",SUM(K20:M20))</f>
        <v/>
      </c>
      <c r="O20" s="11">
        <f>JUL!D20</f>
        <v/>
      </c>
      <c r="P20" s="11">
        <f>AUG!D20</f>
        <v/>
      </c>
      <c r="Q20" s="11">
        <f>SEP!D20</f>
        <v/>
      </c>
      <c r="R20" s="12">
        <f>IF(COUNT(O20:Q20)=0,"",SUM(O20:Q20))</f>
        <v/>
      </c>
      <c r="S20" s="12">
        <f>IF(COUNT(C20:E20,G20:I20,K20:M20,O20:Q20)=0,"",SUM(C20:E20,G20:I20,K20:M20,O20:Q20))</f>
        <v/>
      </c>
    </row>
    <row r="21" ht="18.75" customHeight="1">
      <c r="A21" s="3" t="n"/>
      <c r="B21" s="13" t="inlineStr">
        <is>
          <t>Total Hires</t>
        </is>
      </c>
      <c r="C21" s="11">
        <f>OCT!D21</f>
        <v/>
      </c>
      <c r="D21" s="11">
        <f>NOV!D21</f>
        <v/>
      </c>
      <c r="E21" s="11">
        <f>DEC!D21</f>
        <v/>
      </c>
      <c r="F21" s="12">
        <f>IF(COUNT(F19:F20)=0,"",SUM(F19:F20))</f>
        <v/>
      </c>
      <c r="G21" s="11">
        <f>JAN!D21</f>
        <v/>
      </c>
      <c r="H21" s="11">
        <f>FEB!D21</f>
        <v/>
      </c>
      <c r="I21" s="11">
        <f>MAR!D21</f>
        <v/>
      </c>
      <c r="J21" s="12">
        <f>IF(COUNT(J19:J20)=0,"",SUM(J19:J20))</f>
        <v/>
      </c>
      <c r="K21" s="11">
        <f>APR!D21</f>
        <v/>
      </c>
      <c r="L21" s="11">
        <f>MAY!D21</f>
        <v/>
      </c>
      <c r="M21" s="11">
        <f>JUN!D21</f>
        <v/>
      </c>
      <c r="N21" s="12">
        <f>IF(COUNT(N19:N20)=0,"",SUM(N19:N20))</f>
        <v/>
      </c>
      <c r="O21" s="11">
        <f>JUL!D21</f>
        <v/>
      </c>
      <c r="P21" s="11">
        <f>AUG!D21</f>
        <v/>
      </c>
      <c r="Q21" s="11">
        <f>SEP!D21</f>
        <v/>
      </c>
      <c r="R21" s="12">
        <f>IF(COUNT(R19:R20)=0,"",SUM(R19:R20))</f>
        <v/>
      </c>
      <c r="S21" s="12">
        <f>IF(COUNT(S19:S20)=0,"",SUM(S19:S20))</f>
        <v/>
      </c>
    </row>
    <row r="22" ht="18.75" customHeight="1">
      <c r="A22" s="3" t="n"/>
      <c r="B22" s="10" t="inlineStr">
        <is>
          <t>Permanent Exits</t>
        </is>
      </c>
      <c r="C22" s="11">
        <f>OCT!D22</f>
        <v/>
      </c>
      <c r="D22" s="11">
        <f>NOV!D22</f>
        <v/>
      </c>
      <c r="E22" s="11">
        <f>DEC!D22</f>
        <v/>
      </c>
      <c r="F22" s="12">
        <f>IF(COUNT(C22:E22)=0,"",SUM(C22:E22))</f>
        <v/>
      </c>
      <c r="G22" s="11">
        <f>JAN!D22</f>
        <v/>
      </c>
      <c r="H22" s="11">
        <f>FEB!D22</f>
        <v/>
      </c>
      <c r="I22" s="11">
        <f>MAR!D22</f>
        <v/>
      </c>
      <c r="J22" s="12">
        <f>IF(COUNT(G22:I22)=0,"",SUM(G22:I22))</f>
        <v/>
      </c>
      <c r="K22" s="11">
        <f>APR!D22</f>
        <v/>
      </c>
      <c r="L22" s="11">
        <f>MAY!D22</f>
        <v/>
      </c>
      <c r="M22" s="11">
        <f>JUN!D22</f>
        <v/>
      </c>
      <c r="N22" s="12">
        <f>IF(COUNT(K22:M22)=0,"",SUM(K22:M22))</f>
        <v/>
      </c>
      <c r="O22" s="11">
        <f>JUL!D22</f>
        <v/>
      </c>
      <c r="P22" s="11">
        <f>AUG!D22</f>
        <v/>
      </c>
      <c r="Q22" s="11">
        <f>SEP!D22</f>
        <v/>
      </c>
      <c r="R22" s="12">
        <f>IF(COUNT(O22:Q22)=0,"",SUM(O22:Q22))</f>
        <v/>
      </c>
      <c r="S22" s="12">
        <f>IF(COUNT(C22:E22,G22:I22,K22:M22,O22:Q22)=0,"",SUM(C22:E22,G22:I22,K22:M22,O22:Q22))</f>
        <v/>
      </c>
    </row>
    <row r="23" ht="18.75" customHeight="1">
      <c r="A23" s="3" t="n"/>
      <c r="B23" s="10" t="inlineStr">
        <is>
          <t>Temporary Exits</t>
        </is>
      </c>
      <c r="C23" s="11">
        <f>OCT!D23</f>
        <v/>
      </c>
      <c r="D23" s="11">
        <f>NOV!D23</f>
        <v/>
      </c>
      <c r="E23" s="11">
        <f>DEC!D23</f>
        <v/>
      </c>
      <c r="F23" s="12">
        <f>IF(COUNT(C23:E23)=0,"",SUM(C23:E23))</f>
        <v/>
      </c>
      <c r="G23" s="11">
        <f>JAN!D23</f>
        <v/>
      </c>
      <c r="H23" s="11">
        <f>FEB!D23</f>
        <v/>
      </c>
      <c r="I23" s="11">
        <f>MAR!D23</f>
        <v/>
      </c>
      <c r="J23" s="12">
        <f>IF(COUNT(G23:I23)=0,"",SUM(G23:I23))</f>
        <v/>
      </c>
      <c r="K23" s="11">
        <f>APR!D23</f>
        <v/>
      </c>
      <c r="L23" s="11">
        <f>MAY!D23</f>
        <v/>
      </c>
      <c r="M23" s="11">
        <f>JUN!D23</f>
        <v/>
      </c>
      <c r="N23" s="12">
        <f>IF(COUNT(K23:M23)=0,"",SUM(K23:M23))</f>
        <v/>
      </c>
      <c r="O23" s="11">
        <f>JUL!D23</f>
        <v/>
      </c>
      <c r="P23" s="11">
        <f>AUG!D23</f>
        <v/>
      </c>
      <c r="Q23" s="11">
        <f>SEP!D23</f>
        <v/>
      </c>
      <c r="R23" s="12">
        <f>IF(COUNT(O23:Q23)=0,"",SUM(O23:Q23))</f>
        <v/>
      </c>
      <c r="S23" s="12">
        <f>IF(COUNT(C23:E23,G23:I23,K23:M23,O23:Q23)=0,"",SUM(C23:E23,G23:I23,K23:M23,O23:Q23))</f>
        <v/>
      </c>
    </row>
    <row r="24" ht="18.75" customHeight="1">
      <c r="A24" s="3" t="n"/>
      <c r="B24" s="13" t="inlineStr">
        <is>
          <t>Total Exits</t>
        </is>
      </c>
      <c r="C24" s="11">
        <f>OCT!D24</f>
        <v/>
      </c>
      <c r="D24" s="11">
        <f>NOV!D24</f>
        <v/>
      </c>
      <c r="E24" s="11">
        <f>DEC!D24</f>
        <v/>
      </c>
      <c r="F24" s="12">
        <f>IF(COUNT(F22:F23)=0,"",SUM(F22:F23))</f>
        <v/>
      </c>
      <c r="G24" s="11">
        <f>JAN!D24</f>
        <v/>
      </c>
      <c r="H24" s="11">
        <f>FEB!D24</f>
        <v/>
      </c>
      <c r="I24" s="11">
        <f>MAR!D24</f>
        <v/>
      </c>
      <c r="J24" s="12">
        <f>IF(COUNT(J22:J23)=0,"",SUM(J22:J23))</f>
        <v/>
      </c>
      <c r="K24" s="11">
        <f>APR!D24</f>
        <v/>
      </c>
      <c r="L24" s="11">
        <f>MAY!D24</f>
        <v/>
      </c>
      <c r="M24" s="11">
        <f>JUN!D24</f>
        <v/>
      </c>
      <c r="N24" s="12">
        <f>IF(COUNT(N22:N23)=0,"",SUM(N22:N23))</f>
        <v/>
      </c>
      <c r="O24" s="11">
        <f>JUL!D24</f>
        <v/>
      </c>
      <c r="P24" s="11">
        <f>AUG!D24</f>
        <v/>
      </c>
      <c r="Q24" s="11">
        <f>SEP!D24</f>
        <v/>
      </c>
      <c r="R24" s="12">
        <f>IF(COUNT(R22:R23)=0,"",SUM(R22:R23))</f>
        <v/>
      </c>
      <c r="S24" s="12">
        <f>IF(COUNT(S22:S23)=0,"",SUM(S22:S23))</f>
        <v/>
      </c>
    </row>
    <row r="25" ht="18.75" customHeight="1">
      <c r="A25" s="3" t="n"/>
      <c r="B25" s="21" t="inlineStr">
        <is>
          <t>Permanent Turnover (%)</t>
        </is>
      </c>
      <c r="C25" s="19">
        <f>OCT!D25</f>
        <v/>
      </c>
      <c r="D25" s="19">
        <f>NOV!D25</f>
        <v/>
      </c>
      <c r="E25" s="19">
        <f>DEC!D25</f>
        <v/>
      </c>
      <c r="F25" s="20">
        <f>IF(COUNT(F31,F32)&lt;2,"",IF((F32+F31)=0,"",N(F22)/((F32+F31)/2)))</f>
        <v/>
      </c>
      <c r="G25" s="19">
        <f>JAN!D25</f>
        <v/>
      </c>
      <c r="H25" s="19">
        <f>FEB!D25</f>
        <v/>
      </c>
      <c r="I25" s="19">
        <f>MAR!D25</f>
        <v/>
      </c>
      <c r="J25" s="20">
        <f>IF(COUNT(J31,J32)&lt;2,"",IF((J32+J31)=0,"",N(J22)/((J32+J31)/2)))</f>
        <v/>
      </c>
      <c r="K25" s="19">
        <f>APR!D25</f>
        <v/>
      </c>
      <c r="L25" s="19">
        <f>MAY!D25</f>
        <v/>
      </c>
      <c r="M25" s="19">
        <f>JUN!D25</f>
        <v/>
      </c>
      <c r="N25" s="20">
        <f>IF(COUNT(N31,N32)&lt;2,"",IF((N32+N31)=0,"",N(N22)/((N32+N31)/2)))</f>
        <v/>
      </c>
      <c r="O25" s="19">
        <f>JUL!D25</f>
        <v/>
      </c>
      <c r="P25" s="19">
        <f>AUG!D25</f>
        <v/>
      </c>
      <c r="Q25" s="19">
        <f>SEP!D25</f>
        <v/>
      </c>
      <c r="R25" s="20">
        <f>IF(COUNT(R31,R32)&lt;2,"",IF((R32+R31)=0,"",N(R22)/((R32+R31)/2)))</f>
        <v/>
      </c>
      <c r="S25" s="20">
        <f>IF(COUNT(S31,S32)&lt;2,"",IF((S32+S31)=0,"",N(S22)/((S32+S31)/2)))</f>
        <v/>
      </c>
    </row>
    <row r="26" ht="18.75" customHeight="1">
      <c r="A26" s="3" t="n"/>
      <c r="B26" s="21" t="inlineStr">
        <is>
          <t>Temporary Turnover (%)</t>
        </is>
      </c>
      <c r="C26" s="19">
        <f>OCT!D26</f>
        <v/>
      </c>
      <c r="D26" s="19">
        <f>NOV!D26</f>
        <v/>
      </c>
      <c r="E26" s="19">
        <f>DEC!D26</f>
        <v/>
      </c>
      <c r="F26" s="20">
        <f>IF(COUNT(F31,F32)&lt;2,"",IF((F32+F31)=0,"",N(F23)/((F32+F31)/2)))</f>
        <v/>
      </c>
      <c r="G26" s="19">
        <f>JAN!D26</f>
        <v/>
      </c>
      <c r="H26" s="19">
        <f>FEB!D26</f>
        <v/>
      </c>
      <c r="I26" s="19">
        <f>MAR!D26</f>
        <v/>
      </c>
      <c r="J26" s="20">
        <f>IF(COUNT(J31,J32)&lt;2,"",IF((J32+J31)=0,"",N(J23)/((J32+J31)/2)))</f>
        <v/>
      </c>
      <c r="K26" s="19">
        <f>APR!D26</f>
        <v/>
      </c>
      <c r="L26" s="19">
        <f>MAY!D26</f>
        <v/>
      </c>
      <c r="M26" s="19">
        <f>JUN!D26</f>
        <v/>
      </c>
      <c r="N26" s="20">
        <f>IF(COUNT(N31,N32)&lt;2,"",IF((N32+N31)=0,"",N(N23)/((N32+N31)/2)))</f>
        <v/>
      </c>
      <c r="O26" s="19">
        <f>JUL!D26</f>
        <v/>
      </c>
      <c r="P26" s="19">
        <f>AUG!D26</f>
        <v/>
      </c>
      <c r="Q26" s="19">
        <f>SEP!D26</f>
        <v/>
      </c>
      <c r="R26" s="20">
        <f>IF(COUNT(R31,R32)&lt;2,"",IF((R32+R31)=0,"",N(R23)/((R32+R31)/2)))</f>
        <v/>
      </c>
      <c r="S26" s="20">
        <f>IF(COUNT(S31,S32)&lt;2,"",IF((S32+S31)=0,"",N(S23)/((S32+S31)/2)))</f>
        <v/>
      </c>
    </row>
    <row r="27" ht="18.75" customHeight="1">
      <c r="A27" s="3" t="n"/>
      <c r="B27" s="22" t="inlineStr">
        <is>
          <t>Voluntary Terminations</t>
        </is>
      </c>
      <c r="C27" s="11">
        <f>OCT!D27</f>
        <v/>
      </c>
      <c r="D27" s="11">
        <f>NOV!D27</f>
        <v/>
      </c>
      <c r="E27" s="11">
        <f>DEC!D27</f>
        <v/>
      </c>
      <c r="F27" s="12">
        <f>IF(COUNT(C27:E27)=0,"",SUM(C27:E27))</f>
        <v/>
      </c>
      <c r="G27" s="11">
        <f>JAN!D27</f>
        <v/>
      </c>
      <c r="H27" s="11">
        <f>FEB!D27</f>
        <v/>
      </c>
      <c r="I27" s="11">
        <f>MAR!D27</f>
        <v/>
      </c>
      <c r="J27" s="12">
        <f>IF(COUNT(G27:I27)=0,"",SUM(G27:I27))</f>
        <v/>
      </c>
      <c r="K27" s="11">
        <f>APR!D27</f>
        <v/>
      </c>
      <c r="L27" s="11">
        <f>MAY!D27</f>
        <v/>
      </c>
      <c r="M27" s="11">
        <f>JUN!D27</f>
        <v/>
      </c>
      <c r="N27" s="12">
        <f>IF(COUNT(K27:M27)=0,"",SUM(K27:M27))</f>
        <v/>
      </c>
      <c r="O27" s="11">
        <f>JUL!D27</f>
        <v/>
      </c>
      <c r="P27" s="11">
        <f>AUG!D27</f>
        <v/>
      </c>
      <c r="Q27" s="11">
        <f>SEP!D27</f>
        <v/>
      </c>
      <c r="R27" s="12">
        <f>IF(COUNT(O27:Q27)=0,"",SUM(O27:Q27))</f>
        <v/>
      </c>
      <c r="S27" s="12">
        <f>IF(COUNT(C27:E27,G27:I27,K27:M27,O27:Q27)=0,"",SUM(C27:E27,G27:I27,K27:M27,O27:Q27))</f>
        <v/>
      </c>
    </row>
    <row r="28" ht="18.75" customHeight="1">
      <c r="A28" s="3" t="n"/>
      <c r="B28" s="22" t="inlineStr">
        <is>
          <t>Involuntary Terminations</t>
        </is>
      </c>
      <c r="C28" s="11">
        <f>OCT!D28</f>
        <v/>
      </c>
      <c r="D28" s="11">
        <f>NOV!D28</f>
        <v/>
      </c>
      <c r="E28" s="11">
        <f>DEC!D28</f>
        <v/>
      </c>
      <c r="F28" s="12">
        <f>IF(COUNT(C28:E28)=0,"",SUM(C28:E28))</f>
        <v/>
      </c>
      <c r="G28" s="11">
        <f>JAN!D28</f>
        <v/>
      </c>
      <c r="H28" s="11">
        <f>FEB!D28</f>
        <v/>
      </c>
      <c r="I28" s="11">
        <f>MAR!D28</f>
        <v/>
      </c>
      <c r="J28" s="12">
        <f>IF(COUNT(G28:I28)=0,"",SUM(G28:I28))</f>
        <v/>
      </c>
      <c r="K28" s="11">
        <f>APR!D28</f>
        <v/>
      </c>
      <c r="L28" s="11">
        <f>MAY!D28</f>
        <v/>
      </c>
      <c r="M28" s="11">
        <f>JUN!D28</f>
        <v/>
      </c>
      <c r="N28" s="12">
        <f>IF(COUNT(K28:M28)=0,"",SUM(K28:M28))</f>
        <v/>
      </c>
      <c r="O28" s="11">
        <f>JUL!D28</f>
        <v/>
      </c>
      <c r="P28" s="11">
        <f>AUG!D28</f>
        <v/>
      </c>
      <c r="Q28" s="11">
        <f>SEP!D28</f>
        <v/>
      </c>
      <c r="R28" s="12">
        <f>IF(COUNT(O28:Q28)=0,"",SUM(O28:Q28))</f>
        <v/>
      </c>
      <c r="S28" s="12">
        <f>IF(COUNT(C28:E28,G28:I28,K28:M28,O28:Q28)=0,"",SUM(C28:E28,G28:I28,K28:M28,O28:Q28))</f>
        <v/>
      </c>
    </row>
    <row r="29" ht="18.75" customHeight="1">
      <c r="A29" s="3" t="n"/>
      <c r="B29" s="21" t="inlineStr">
        <is>
          <t>Voluntary Turnover (%)</t>
        </is>
      </c>
      <c r="C29" s="19">
        <f>OCT!D29</f>
        <v/>
      </c>
      <c r="D29" s="19">
        <f>NOV!D29</f>
        <v/>
      </c>
      <c r="E29" s="19">
        <f>DEC!D29</f>
        <v/>
      </c>
      <c r="F29" s="20">
        <f>IF(COUNT(F31,F32)&lt;2,"",IF((F32+F31)=0,"",N(F27)/((F32+F31)/2)))</f>
        <v/>
      </c>
      <c r="G29" s="19">
        <f>JAN!D29</f>
        <v/>
      </c>
      <c r="H29" s="19">
        <f>FEB!D29</f>
        <v/>
      </c>
      <c r="I29" s="19">
        <f>MAR!D29</f>
        <v/>
      </c>
      <c r="J29" s="20">
        <f>IF(COUNT(J31,J32)&lt;2,"",IF((J32+J31)=0,"",N(J27)/((J32+J31)/2)))</f>
        <v/>
      </c>
      <c r="K29" s="19">
        <f>APR!D29</f>
        <v/>
      </c>
      <c r="L29" s="19">
        <f>MAY!D29</f>
        <v/>
      </c>
      <c r="M29" s="19">
        <f>JUN!D29</f>
        <v/>
      </c>
      <c r="N29" s="20">
        <f>IF(COUNT(N31,N32)&lt;2,"",IF((N32+N31)=0,"",N(N27)/((N32+N31)/2)))</f>
        <v/>
      </c>
      <c r="O29" s="19">
        <f>JUL!D29</f>
        <v/>
      </c>
      <c r="P29" s="19">
        <f>AUG!D29</f>
        <v/>
      </c>
      <c r="Q29" s="19">
        <f>SEP!D29</f>
        <v/>
      </c>
      <c r="R29" s="20">
        <f>IF(COUNT(R31,R32)&lt;2,"",IF((R32+R31)=0,"",N(R27)/((R32+R31)/2)))</f>
        <v/>
      </c>
      <c r="S29" s="20">
        <f>IF(COUNT(S31,S32)&lt;2,"",IF((S32+S31)=0,"",N(S27)/((S32+S31)/2)))</f>
        <v/>
      </c>
    </row>
    <row r="30" ht="18.75" customHeight="1">
      <c r="A30" s="3" t="n"/>
      <c r="B30" s="21" t="inlineStr">
        <is>
          <t>Involuntary Turnover (%)</t>
        </is>
      </c>
      <c r="C30" s="19">
        <f>OCT!D30</f>
        <v/>
      </c>
      <c r="D30" s="19">
        <f>NOV!D30</f>
        <v/>
      </c>
      <c r="E30" s="19">
        <f>DEC!D30</f>
        <v/>
      </c>
      <c r="F30" s="20">
        <f>IF(COUNT(F31,F32)&lt;2,"",IF((F32+F31)=0,"",N(F28)/((F32+F31)/2)))</f>
        <v/>
      </c>
      <c r="G30" s="19">
        <f>JAN!D30</f>
        <v/>
      </c>
      <c r="H30" s="19">
        <f>FEB!D30</f>
        <v/>
      </c>
      <c r="I30" s="19">
        <f>MAR!D30</f>
        <v/>
      </c>
      <c r="J30" s="20">
        <f>IF(COUNT(J31,J32)&lt;2,"",IF((J32+J31)=0,"",N(J28)/((J32+J31)/2)))</f>
        <v/>
      </c>
      <c r="K30" s="19">
        <f>APR!D30</f>
        <v/>
      </c>
      <c r="L30" s="19">
        <f>MAY!D30</f>
        <v/>
      </c>
      <c r="M30" s="19">
        <f>JUN!D30</f>
        <v/>
      </c>
      <c r="N30" s="20">
        <f>IF(COUNT(N31,N32)&lt;2,"",IF((N32+N31)=0,"",N(N28)/((N32+N31)/2)))</f>
        <v/>
      </c>
      <c r="O30" s="19">
        <f>JUL!D30</f>
        <v/>
      </c>
      <c r="P30" s="19">
        <f>AUG!D30</f>
        <v/>
      </c>
      <c r="Q30" s="19">
        <f>SEP!D30</f>
        <v/>
      </c>
      <c r="R30" s="20">
        <f>IF(COUNT(R31,R32)&lt;2,"",IF((R32+R31)=0,"",N(R28)/((R32+R31)/2)))</f>
        <v/>
      </c>
      <c r="S30" s="20">
        <f>IF(COUNT(S31,S32)&lt;2,"",IF((S32+S31)=0,"",N(S28)/((S32+S31)/2)))</f>
        <v/>
      </c>
    </row>
    <row r="31" ht="18.75" customHeight="1">
      <c r="A31" s="3" t="n"/>
      <c r="B31" s="10" t="inlineStr">
        <is>
          <t>Headcount last Month</t>
        </is>
      </c>
      <c r="C31" s="11">
        <f>OCT!D31</f>
        <v/>
      </c>
      <c r="D31" s="11">
        <f>NOV!D31</f>
        <v/>
      </c>
      <c r="E31" s="11">
        <f>DEC!D31</f>
        <v/>
      </c>
      <c r="F31" s="12">
        <f>IFERROR(AVERAGE(C31:E31),"")</f>
        <v/>
      </c>
      <c r="G31" s="11">
        <f>JAN!D31</f>
        <v/>
      </c>
      <c r="H31" s="11">
        <f>FEB!D31</f>
        <v/>
      </c>
      <c r="I31" s="11">
        <f>MAR!D31</f>
        <v/>
      </c>
      <c r="J31" s="12">
        <f>IFERROR(AVERAGE(G31:I31),"")</f>
        <v/>
      </c>
      <c r="K31" s="11">
        <f>APR!D31</f>
        <v/>
      </c>
      <c r="L31" s="11">
        <f>MAY!D31</f>
        <v/>
      </c>
      <c r="M31" s="11">
        <f>JUN!D31</f>
        <v/>
      </c>
      <c r="N31" s="12">
        <f>IFERROR(AVERAGE(K31:M31),"")</f>
        <v/>
      </c>
      <c r="O31" s="11">
        <f>JUL!D31</f>
        <v/>
      </c>
      <c r="P31" s="11">
        <f>AUG!D31</f>
        <v/>
      </c>
      <c r="Q31" s="11">
        <f>SEP!D31</f>
        <v/>
      </c>
      <c r="R31" s="12">
        <f>IFERROR(AVERAGE(O31:Q31),"")</f>
        <v/>
      </c>
      <c r="S31" s="12">
        <f>IFERROR(AVERAGE(C31:E31,G31:I31,K31:M31,O31:Q31),"")</f>
        <v/>
      </c>
    </row>
    <row r="32" ht="18.75" customHeight="1">
      <c r="A32" s="3" t="n"/>
      <c r="B32" s="13" t="inlineStr">
        <is>
          <t>Headcount this Month</t>
        </is>
      </c>
      <c r="C32" s="11">
        <f>OCT!D32</f>
        <v/>
      </c>
      <c r="D32" s="11">
        <f>NOV!D32</f>
        <v/>
      </c>
      <c r="E32" s="11">
        <f>DEC!D32</f>
        <v/>
      </c>
      <c r="F32" s="12">
        <f>IFERROR(AVERAGE(C32:E32),"")</f>
        <v/>
      </c>
      <c r="G32" s="11">
        <f>JAN!D32</f>
        <v/>
      </c>
      <c r="H32" s="11">
        <f>FEB!D32</f>
        <v/>
      </c>
      <c r="I32" s="11">
        <f>MAR!D32</f>
        <v/>
      </c>
      <c r="J32" s="12">
        <f>IFERROR(AVERAGE(G32:I32),"")</f>
        <v/>
      </c>
      <c r="K32" s="11">
        <f>APR!D32</f>
        <v/>
      </c>
      <c r="L32" s="11">
        <f>MAY!D32</f>
        <v/>
      </c>
      <c r="M32" s="11">
        <f>JUN!D32</f>
        <v/>
      </c>
      <c r="N32" s="12">
        <f>IFERROR(AVERAGE(K32:M32),"")</f>
        <v/>
      </c>
      <c r="O32" s="11">
        <f>JUL!D32</f>
        <v/>
      </c>
      <c r="P32" s="11">
        <f>AUG!D32</f>
        <v/>
      </c>
      <c r="Q32" s="11">
        <f>SEP!D32</f>
        <v/>
      </c>
      <c r="R32" s="12">
        <f>IFERROR(AVERAGE(O32:Q32),"")</f>
        <v/>
      </c>
      <c r="S32" s="12">
        <f>IFERROR(AVERAGE(C32:E32,G32:I32,K32:M32,O32:Q32),"")</f>
        <v/>
      </c>
    </row>
    <row r="33" ht="18.75" customHeight="1">
      <c r="A33" s="3" t="n"/>
      <c r="B33" s="13" t="inlineStr">
        <is>
          <t>Full Turnover (%)</t>
        </is>
      </c>
      <c r="C33" s="19">
        <f>OCT!D33</f>
        <v/>
      </c>
      <c r="D33" s="19">
        <f>NOV!D33</f>
        <v/>
      </c>
      <c r="E33" s="19">
        <f>DEC!D33</f>
        <v/>
      </c>
      <c r="F33" s="20">
        <f>IF(COUNT(F31,F32)&lt;2,"",IF((F32+F31)=0,"",N(F24)/((F32+F31)/2)))</f>
        <v/>
      </c>
      <c r="G33" s="19">
        <f>JAN!D33</f>
        <v/>
      </c>
      <c r="H33" s="19">
        <f>FEB!D33</f>
        <v/>
      </c>
      <c r="I33" s="19">
        <f>MAR!D33</f>
        <v/>
      </c>
      <c r="J33" s="20">
        <f>IF(COUNT(J31,J32)&lt;2,"",IF((J32+J31)=0,"",N(J24)/((J32+J31)/2)))</f>
        <v/>
      </c>
      <c r="K33" s="19">
        <f>APR!D33</f>
        <v/>
      </c>
      <c r="L33" s="19">
        <f>MAY!D33</f>
        <v/>
      </c>
      <c r="M33" s="19">
        <f>JUN!D33</f>
        <v/>
      </c>
      <c r="N33" s="20">
        <f>IF(COUNT(N31,N32)&lt;2,"",IF((N32+N31)=0,"",N(N24)/((N32+N31)/2)))</f>
        <v/>
      </c>
      <c r="O33" s="19">
        <f>JUL!D33</f>
        <v/>
      </c>
      <c r="P33" s="19">
        <f>AUG!D33</f>
        <v/>
      </c>
      <c r="Q33" s="19">
        <f>SEP!D33</f>
        <v/>
      </c>
      <c r="R33" s="20">
        <f>IF(COUNT(R31,R32)&lt;2,"",IF((R32+R31)=0,"",N(R24)/((R32+R31)/2)))</f>
        <v/>
      </c>
      <c r="S33" s="20">
        <f>IF(COUNT(S31,S32)&lt;2,"",IF((S32+S31)=0,"",N(S24)/((S32+S31)/2)))</f>
        <v/>
      </c>
    </row>
    <row r="34" ht="18.75" customHeight="1">
      <c r="A34" s="3" t="n"/>
      <c r="B34" s="22" t="inlineStr">
        <is>
          <t>Permanent Vacancies</t>
        </is>
      </c>
      <c r="C34" s="11">
        <f>OCT!D34</f>
        <v/>
      </c>
      <c r="D34" s="11">
        <f>NOV!D34</f>
        <v/>
      </c>
      <c r="E34" s="11">
        <f>DEC!D34</f>
        <v/>
      </c>
      <c r="F34" s="12">
        <f>IFERROR(AVERAGE(C34:E34),"")</f>
        <v/>
      </c>
      <c r="G34" s="11">
        <f>JAN!D34</f>
        <v/>
      </c>
      <c r="H34" s="11">
        <f>FEB!D34</f>
        <v/>
      </c>
      <c r="I34" s="11">
        <f>MAR!D34</f>
        <v/>
      </c>
      <c r="J34" s="12">
        <f>IFERROR(AVERAGE(G34:I34),"")</f>
        <v/>
      </c>
      <c r="K34" s="11">
        <f>APR!D34</f>
        <v/>
      </c>
      <c r="L34" s="11">
        <f>MAY!D34</f>
        <v/>
      </c>
      <c r="M34" s="11">
        <f>JUN!D34</f>
        <v/>
      </c>
      <c r="N34" s="12">
        <f>IFERROR(AVERAGE(K34:M34),"")</f>
        <v/>
      </c>
      <c r="O34" s="11">
        <f>JUL!D34</f>
        <v/>
      </c>
      <c r="P34" s="11">
        <f>AUG!D34</f>
        <v/>
      </c>
      <c r="Q34" s="11">
        <f>SEP!D34</f>
        <v/>
      </c>
      <c r="R34" s="12">
        <f>IFERROR(AVERAGE(O34:Q34),"")</f>
        <v/>
      </c>
      <c r="S34" s="12">
        <f>IFERROR(AVERAGE(C34:E34,G34:I34,K34:M34,O34:Q34),"")</f>
        <v/>
      </c>
    </row>
    <row r="35" ht="18.75" customHeight="1">
      <c r="A35" s="3" t="n"/>
      <c r="B35" s="22" t="inlineStr">
        <is>
          <t>Temporary Vacancies</t>
        </is>
      </c>
      <c r="C35" s="11">
        <f>OCT!D35</f>
        <v/>
      </c>
      <c r="D35" s="11">
        <f>NOV!D35</f>
        <v/>
      </c>
      <c r="E35" s="11">
        <f>DEC!D35</f>
        <v/>
      </c>
      <c r="F35" s="12">
        <f>IFERROR(AVERAGE(C35:E35),"")</f>
        <v/>
      </c>
      <c r="G35" s="11">
        <f>JAN!D35</f>
        <v/>
      </c>
      <c r="H35" s="11">
        <f>FEB!D35</f>
        <v/>
      </c>
      <c r="I35" s="11">
        <f>MAR!D35</f>
        <v/>
      </c>
      <c r="J35" s="12">
        <f>IFERROR(AVERAGE(G35:I35),"")</f>
        <v/>
      </c>
      <c r="K35" s="11">
        <f>APR!D35</f>
        <v/>
      </c>
      <c r="L35" s="11">
        <f>MAY!D35</f>
        <v/>
      </c>
      <c r="M35" s="11">
        <f>JUN!D35</f>
        <v/>
      </c>
      <c r="N35" s="12">
        <f>IFERROR(AVERAGE(K35:M35),"")</f>
        <v/>
      </c>
      <c r="O35" s="11">
        <f>JUL!D35</f>
        <v/>
      </c>
      <c r="P35" s="11">
        <f>AUG!D35</f>
        <v/>
      </c>
      <c r="Q35" s="11">
        <f>SEP!D35</f>
        <v/>
      </c>
      <c r="R35" s="12">
        <f>IFERROR(AVERAGE(O35:Q35),"")</f>
        <v/>
      </c>
      <c r="S35" s="12">
        <f>IFERROR(AVERAGE(C35:E35,G35:I35,K35:M35,O35:Q35),"")</f>
        <v/>
      </c>
    </row>
    <row r="36" ht="18.75" customHeight="1">
      <c r="A36" s="3" t="n"/>
      <c r="B36" s="13" t="inlineStr">
        <is>
          <t>Total Vacancies</t>
        </is>
      </c>
      <c r="C36" s="11">
        <f>OCT!D36</f>
        <v/>
      </c>
      <c r="D36" s="11">
        <f>NOV!D36</f>
        <v/>
      </c>
      <c r="E36" s="11">
        <f>DEC!D36</f>
        <v/>
      </c>
      <c r="F36" s="12">
        <f>IF(COUNT(F34:F35)=0,"",SUM(F34:F35))</f>
        <v/>
      </c>
      <c r="G36" s="11">
        <f>JAN!D36</f>
        <v/>
      </c>
      <c r="H36" s="11">
        <f>FEB!D36</f>
        <v/>
      </c>
      <c r="I36" s="11">
        <f>MAR!D36</f>
        <v/>
      </c>
      <c r="J36" s="12">
        <f>IF(COUNT(J34:J35)=0,"",SUM(J34:J35))</f>
        <v/>
      </c>
      <c r="K36" s="11">
        <f>APR!D36</f>
        <v/>
      </c>
      <c r="L36" s="11">
        <f>MAY!D36</f>
        <v/>
      </c>
      <c r="M36" s="11">
        <f>JUN!D36</f>
        <v/>
      </c>
      <c r="N36" s="12">
        <f>IF(COUNT(N34:N35)=0,"",SUM(N34:N35))</f>
        <v/>
      </c>
      <c r="O36" s="11">
        <f>JUL!D36</f>
        <v/>
      </c>
      <c r="P36" s="11">
        <f>AUG!D36</f>
        <v/>
      </c>
      <c r="Q36" s="11">
        <f>SEP!D36</f>
        <v/>
      </c>
      <c r="R36" s="12">
        <f>IF(COUNT(R34:R35)=0,"",SUM(R34:R35))</f>
        <v/>
      </c>
      <c r="S36" s="12">
        <f>IF(COUNT(S34:S35)=0,"",SUM(S34:S35))</f>
        <v/>
      </c>
    </row>
    <row r="37" ht="18.75" customHeight="1">
      <c r="A37" s="3" t="n"/>
      <c r="B37" s="13" t="inlineStr">
        <is>
          <t>Authorized Positions</t>
        </is>
      </c>
      <c r="C37" s="11">
        <f>OCT!D37</f>
        <v/>
      </c>
      <c r="D37" s="11">
        <f>NOV!D37</f>
        <v/>
      </c>
      <c r="E37" s="11">
        <f>DEC!D37</f>
        <v/>
      </c>
      <c r="F37" s="12">
        <f>IF(COUNT(F5,F36)=0,"",N(F5)+N(F36))</f>
        <v/>
      </c>
      <c r="G37" s="11">
        <f>JAN!D37</f>
        <v/>
      </c>
      <c r="H37" s="11">
        <f>FEB!D37</f>
        <v/>
      </c>
      <c r="I37" s="11">
        <f>MAR!D37</f>
        <v/>
      </c>
      <c r="J37" s="12">
        <f>IF(COUNT(J5,J36)=0,"",N(J5)+N(J36))</f>
        <v/>
      </c>
      <c r="K37" s="11">
        <f>APR!D37</f>
        <v/>
      </c>
      <c r="L37" s="11">
        <f>MAY!D37</f>
        <v/>
      </c>
      <c r="M37" s="11">
        <f>JUN!D37</f>
        <v/>
      </c>
      <c r="N37" s="12">
        <f>IF(COUNT(N5,N36)=0,"",N(N5)+N(N36))</f>
        <v/>
      </c>
      <c r="O37" s="11">
        <f>JUL!D37</f>
        <v/>
      </c>
      <c r="P37" s="11">
        <f>AUG!D37</f>
        <v/>
      </c>
      <c r="Q37" s="11">
        <f>SEP!D37</f>
        <v/>
      </c>
      <c r="R37" s="12">
        <f>IF(COUNT(R5,R36)=0,"",N(R5)+N(R36))</f>
        <v/>
      </c>
      <c r="S37" s="12">
        <f>IF(COUNT(S5,S36)=0,"",N(S5)+N(S36))</f>
        <v/>
      </c>
    </row>
    <row r="38" ht="18.75" customHeight="1">
      <c r="A38" s="3" t="n"/>
      <c r="B38" s="13" t="inlineStr">
        <is>
          <t>Vacancy Rate (%)</t>
        </is>
      </c>
      <c r="C38" s="19">
        <f>OCT!D38</f>
        <v/>
      </c>
      <c r="D38" s="19">
        <f>NOV!D38</f>
        <v/>
      </c>
      <c r="E38" s="19">
        <f>DEC!D38</f>
        <v/>
      </c>
      <c r="F38" s="20">
        <f>IFERROR(F36/F37,"")</f>
        <v/>
      </c>
      <c r="G38" s="19">
        <f>JAN!D38</f>
        <v/>
      </c>
      <c r="H38" s="19">
        <f>FEB!D38</f>
        <v/>
      </c>
      <c r="I38" s="19">
        <f>MAR!D38</f>
        <v/>
      </c>
      <c r="J38" s="20">
        <f>IFERROR(J36/J37,"")</f>
        <v/>
      </c>
      <c r="K38" s="19">
        <f>APR!D38</f>
        <v/>
      </c>
      <c r="L38" s="19">
        <f>MAY!D38</f>
        <v/>
      </c>
      <c r="M38" s="19">
        <f>JUN!D38</f>
        <v/>
      </c>
      <c r="N38" s="20">
        <f>IFERROR(N36/N37,"")</f>
        <v/>
      </c>
      <c r="O38" s="19">
        <f>JUL!D38</f>
        <v/>
      </c>
      <c r="P38" s="19">
        <f>AUG!D38</f>
        <v/>
      </c>
      <c r="Q38" s="19">
        <f>SEP!D38</f>
        <v/>
      </c>
      <c r="R38" s="20">
        <f>IFERROR(R36/R37,"")</f>
        <v/>
      </c>
      <c r="S38" s="20">
        <f>IFERROR(S36/S37,"")</f>
        <v/>
      </c>
    </row>
    <row r="39" ht="18.75" customHeight="1">
      <c r="A39" s="3" t="n"/>
      <c r="B39" s="10" t="inlineStr">
        <is>
          <t>Permanent TimeToHire (Days) YTD</t>
        </is>
      </c>
      <c r="C39" s="14">
        <f>OCT!D39</f>
        <v/>
      </c>
      <c r="D39" s="14">
        <f>NOV!D39</f>
        <v/>
      </c>
      <c r="E39" s="14">
        <f>DEC!D39</f>
        <v/>
      </c>
      <c r="F39" s="15">
        <f>IFERROR(LOOKUP(2,1/ISNUMBER(C39:E39),C39:E39),"")</f>
        <v/>
      </c>
      <c r="G39" s="14">
        <f>JAN!D39</f>
        <v/>
      </c>
      <c r="H39" s="14">
        <f>FEB!D39</f>
        <v/>
      </c>
      <c r="I39" s="14">
        <f>MAR!D39</f>
        <v/>
      </c>
      <c r="J39" s="15">
        <f>IFERROR(LOOKUP(2,1/ISNUMBER(G39:I39),G39:I39),"")</f>
        <v/>
      </c>
      <c r="K39" s="14">
        <f>APR!D39</f>
        <v/>
      </c>
      <c r="L39" s="14">
        <f>MAY!D39</f>
        <v/>
      </c>
      <c r="M39" s="14">
        <f>JUN!D39</f>
        <v/>
      </c>
      <c r="N39" s="15">
        <f>IFERROR(LOOKUP(2,1/ISNUMBER(K39:M39),K39:M39),"")</f>
        <v/>
      </c>
      <c r="O39" s="14">
        <f>JUL!D39</f>
        <v/>
      </c>
      <c r="P39" s="14">
        <f>AUG!D39</f>
        <v/>
      </c>
      <c r="Q39" s="14">
        <f>SEP!D39</f>
        <v/>
      </c>
      <c r="R39" s="15">
        <f>IFERROR(LOOKUP(2,1/ISNUMBER(O39:Q39),O39:Q39),"")</f>
        <v/>
      </c>
      <c r="S39" s="15">
        <f>IFERROR(LOOKUP(2,1/ISNUMBER(C39:Q39),C39:Q39),"")</f>
        <v/>
      </c>
    </row>
    <row r="40" ht="18.75" customHeight="1">
      <c r="A40" s="3" t="n"/>
      <c r="B40" s="10" t="inlineStr">
        <is>
          <t>Temporary TimeToHire (Days) YTD</t>
        </is>
      </c>
      <c r="C40" s="14">
        <f>OCT!D40</f>
        <v/>
      </c>
      <c r="D40" s="14">
        <f>NOV!D40</f>
        <v/>
      </c>
      <c r="E40" s="14">
        <f>DEC!D40</f>
        <v/>
      </c>
      <c r="F40" s="15">
        <f>IFERROR(LOOKUP(2,1/ISNUMBER(C40:E40),C40:E40),"")</f>
        <v/>
      </c>
      <c r="G40" s="14">
        <f>JAN!D40</f>
        <v/>
      </c>
      <c r="H40" s="14">
        <f>FEB!D40</f>
        <v/>
      </c>
      <c r="I40" s="14">
        <f>MAR!D40</f>
        <v/>
      </c>
      <c r="J40" s="15">
        <f>IFERROR(LOOKUP(2,1/ISNUMBER(G40:I40),G40:I40),"")</f>
        <v/>
      </c>
      <c r="K40" s="14">
        <f>APR!D40</f>
        <v/>
      </c>
      <c r="L40" s="14">
        <f>MAY!D40</f>
        <v/>
      </c>
      <c r="M40" s="14">
        <f>JUN!D40</f>
        <v/>
      </c>
      <c r="N40" s="15">
        <f>IFERROR(LOOKUP(2,1/ISNUMBER(K40:M40),K40:M40),"")</f>
        <v/>
      </c>
      <c r="O40" s="14">
        <f>JUL!D40</f>
        <v/>
      </c>
      <c r="P40" s="14">
        <f>AUG!D40</f>
        <v/>
      </c>
      <c r="Q40" s="14">
        <f>SEP!D40</f>
        <v/>
      </c>
      <c r="R40" s="15">
        <f>IFERROR(LOOKUP(2,1/ISNUMBER(O40:Q40),O40:Q40),"")</f>
        <v/>
      </c>
      <c r="S40" s="15">
        <f>IFERROR(LOOKUP(2,1/ISNUMBER(C40:Q40),C40:Q40),"")</f>
        <v/>
      </c>
    </row>
    <row r="41" ht="18.75" customHeight="1">
      <c r="A41" s="3" t="n"/>
      <c r="B41" s="13" t="inlineStr">
        <is>
          <t>Check-ins Rate Completed (%)</t>
        </is>
      </c>
      <c r="C41" s="23">
        <f>OCT!D41</f>
        <v/>
      </c>
      <c r="D41" s="23">
        <f>NOV!D41</f>
        <v/>
      </c>
      <c r="E41" s="23">
        <f>DEC!D41</f>
        <v/>
      </c>
      <c r="F41" s="24">
        <f>IFERROR(AVERAGE(C41:E41),"")</f>
        <v/>
      </c>
      <c r="G41" s="23">
        <f>JAN!D41</f>
        <v/>
      </c>
      <c r="H41" s="23">
        <f>FEB!D41</f>
        <v/>
      </c>
      <c r="I41" s="23">
        <f>MAR!D41</f>
        <v/>
      </c>
      <c r="J41" s="24">
        <f>IFERROR(AVERAGE(G41:I41),"")</f>
        <v/>
      </c>
      <c r="K41" s="23">
        <f>APR!D41</f>
        <v/>
      </c>
      <c r="L41" s="23">
        <f>MAY!D41</f>
        <v/>
      </c>
      <c r="M41" s="23">
        <f>JUN!D41</f>
        <v/>
      </c>
      <c r="N41" s="24">
        <f>IFERROR(AVERAGE(K41:M41),"")</f>
        <v/>
      </c>
      <c r="O41" s="23">
        <f>JUL!D41</f>
        <v/>
      </c>
      <c r="P41" s="23">
        <f>AUG!D41</f>
        <v/>
      </c>
      <c r="Q41" s="23">
        <f>SEP!D41</f>
        <v/>
      </c>
      <c r="R41" s="24">
        <f>IFERROR(AVERAGE(O41:Q41),"")</f>
        <v/>
      </c>
      <c r="S41" s="24">
        <f>IFERROR(AVERAGE(C41:E41,G41:I41,K41:M41,O41:Q41),"")</f>
        <v/>
      </c>
    </row>
    <row r="42" ht="18.75" customHeight="1">
      <c r="A42" s="3" t="n"/>
      <c r="B42" s="10" t="inlineStr">
        <is>
          <t>EE Objectives Completed (#)</t>
        </is>
      </c>
      <c r="C42" s="11">
        <f>OCT!D42</f>
        <v/>
      </c>
      <c r="D42" s="11">
        <f>NOV!D42</f>
        <v/>
      </c>
      <c r="E42" s="11">
        <f>DEC!D42</f>
        <v/>
      </c>
      <c r="F42" s="12">
        <f>IF(COUNT(C42:E42)=0,"",SUM(C42:E42))</f>
        <v/>
      </c>
      <c r="G42" s="11">
        <f>JAN!D42</f>
        <v/>
      </c>
      <c r="H42" s="11">
        <f>FEB!D42</f>
        <v/>
      </c>
      <c r="I42" s="11">
        <f>MAR!D42</f>
        <v/>
      </c>
      <c r="J42" s="12">
        <f>IF(COUNT(G42:I42)=0,"",SUM(G42:I42))</f>
        <v/>
      </c>
      <c r="K42" s="11">
        <f>APR!D42</f>
        <v/>
      </c>
      <c r="L42" s="11">
        <f>MAY!D42</f>
        <v/>
      </c>
      <c r="M42" s="11">
        <f>JUN!D42</f>
        <v/>
      </c>
      <c r="N42" s="12">
        <f>IF(COUNT(K42:M42)=0,"",SUM(K42:M42))</f>
        <v/>
      </c>
      <c r="O42" s="11">
        <f>JUL!D42</f>
        <v/>
      </c>
      <c r="P42" s="11">
        <f>AUG!D42</f>
        <v/>
      </c>
      <c r="Q42" s="11">
        <f>SEP!D42</f>
        <v/>
      </c>
      <c r="R42" s="12">
        <f>IF(COUNT(O42:Q42)=0,"",SUM(O42:Q42))</f>
        <v/>
      </c>
      <c r="S42" s="12">
        <f>IF(COUNT(C42:E42,G42:I42,K42:M42,O42:Q42)=0,"",SUM(C42:E42,G42:I42,K42:M42,O42:Q42))</f>
        <v/>
      </c>
    </row>
    <row r="43" ht="18.75" customHeight="1">
      <c r="A43" s="3" t="n"/>
      <c r="B43" s="10" t="inlineStr">
        <is>
          <t>Non-certified Absent (Days Lost)</t>
        </is>
      </c>
      <c r="C43" s="14">
        <f>OCT!D43</f>
        <v/>
      </c>
      <c r="D43" s="14">
        <f>NOV!D43</f>
        <v/>
      </c>
      <c r="E43" s="14">
        <f>DEC!D43</f>
        <v/>
      </c>
      <c r="F43" s="15">
        <f>IF(COUNT(C43:E43)=0,"",SUM(C43:E43))</f>
        <v/>
      </c>
      <c r="G43" s="14">
        <f>JAN!D43</f>
        <v/>
      </c>
      <c r="H43" s="14">
        <f>FEB!D43</f>
        <v/>
      </c>
      <c r="I43" s="14">
        <f>MAR!D43</f>
        <v/>
      </c>
      <c r="J43" s="15">
        <f>IF(COUNT(G43:I43)=0,"",SUM(G43:I43))</f>
        <v/>
      </c>
      <c r="K43" s="14">
        <f>APR!D43</f>
        <v/>
      </c>
      <c r="L43" s="14">
        <f>MAY!D43</f>
        <v/>
      </c>
      <c r="M43" s="14">
        <f>JUN!D43</f>
        <v/>
      </c>
      <c r="N43" s="15">
        <f>IF(COUNT(K43:M43)=0,"",SUM(K43:M43))</f>
        <v/>
      </c>
      <c r="O43" s="14">
        <f>JUL!D43</f>
        <v/>
      </c>
      <c r="P43" s="14">
        <f>AUG!D43</f>
        <v/>
      </c>
      <c r="Q43" s="14">
        <f>SEP!D43</f>
        <v/>
      </c>
      <c r="R43" s="15">
        <f>IF(COUNT(O43:Q43)=0,"",SUM(O43:Q43))</f>
        <v/>
      </c>
      <c r="S43" s="15">
        <f>IF(COUNT(C43:E43,G43:I43,K43:M43,O43:Q43)=0,"",SUM(C43:E43,G43:I43,K43:M43,O43:Q43))</f>
        <v/>
      </c>
    </row>
    <row r="44" ht="18.75" customHeight="1">
      <c r="A44" s="3" t="n"/>
      <c r="B44" s="10" t="inlineStr">
        <is>
          <t>Certified sick leave (Days Lost)</t>
        </is>
      </c>
      <c r="C44" s="14">
        <f>OCT!D44</f>
        <v/>
      </c>
      <c r="D44" s="14">
        <f>NOV!D44</f>
        <v/>
      </c>
      <c r="E44" s="14">
        <f>DEC!D44</f>
        <v/>
      </c>
      <c r="F44" s="15">
        <f>IF(COUNT(C44:E44)=0,"",SUM(C44:E44))</f>
        <v/>
      </c>
      <c r="G44" s="14">
        <f>JAN!D44</f>
        <v/>
      </c>
      <c r="H44" s="14">
        <f>FEB!D44</f>
        <v/>
      </c>
      <c r="I44" s="14">
        <f>MAR!D44</f>
        <v/>
      </c>
      <c r="J44" s="15">
        <f>IF(COUNT(G44:I44)=0,"",SUM(G44:I44))</f>
        <v/>
      </c>
      <c r="K44" s="14">
        <f>APR!D44</f>
        <v/>
      </c>
      <c r="L44" s="14">
        <f>MAY!D44</f>
        <v/>
      </c>
      <c r="M44" s="14">
        <f>JUN!D44</f>
        <v/>
      </c>
      <c r="N44" s="15">
        <f>IF(COUNT(K44:M44)=0,"",SUM(K44:M44))</f>
        <v/>
      </c>
      <c r="O44" s="14">
        <f>JUL!D44</f>
        <v/>
      </c>
      <c r="P44" s="14">
        <f>AUG!D44</f>
        <v/>
      </c>
      <c r="Q44" s="14">
        <f>SEP!D44</f>
        <v/>
      </c>
      <c r="R44" s="15">
        <f>IF(COUNT(O44:Q44)=0,"",SUM(O44:Q44))</f>
        <v/>
      </c>
      <c r="S44" s="15">
        <f>IF(COUNT(C44:E44,G44:I44,K44:M44,O44:Q44)=0,"",SUM(C44:E44,G44:I44,K44:M44,O44:Q44))</f>
        <v/>
      </c>
    </row>
    <row r="45" ht="18.75" customHeight="1">
      <c r="A45" s="3" t="n"/>
      <c r="B45" s="18" t="inlineStr">
        <is>
          <t>Total Absences</t>
        </is>
      </c>
      <c r="C45" s="14">
        <f>OCT!D45</f>
        <v/>
      </c>
      <c r="D45" s="14">
        <f>NOV!D45</f>
        <v/>
      </c>
      <c r="E45" s="14">
        <f>DEC!D45</f>
        <v/>
      </c>
      <c r="F45" s="15">
        <f>IF(COUNT(F43:F44)=0,"",SUM(F43:F44))</f>
        <v/>
      </c>
      <c r="G45" s="14">
        <f>JAN!D45</f>
        <v/>
      </c>
      <c r="H45" s="14">
        <f>FEB!D45</f>
        <v/>
      </c>
      <c r="I45" s="14">
        <f>MAR!D45</f>
        <v/>
      </c>
      <c r="J45" s="15">
        <f>IF(COUNT(J43:J44)=0,"",SUM(J43:J44))</f>
        <v/>
      </c>
      <c r="K45" s="14">
        <f>APR!D45</f>
        <v/>
      </c>
      <c r="L45" s="14">
        <f>MAY!D45</f>
        <v/>
      </c>
      <c r="M45" s="14">
        <f>JUN!D45</f>
        <v/>
      </c>
      <c r="N45" s="15">
        <f>IF(COUNT(N43:N44)=0,"",SUM(N43:N44))</f>
        <v/>
      </c>
      <c r="O45" s="14">
        <f>JUL!D45</f>
        <v/>
      </c>
      <c r="P45" s="14">
        <f>AUG!D45</f>
        <v/>
      </c>
      <c r="Q45" s="14">
        <f>SEP!D45</f>
        <v/>
      </c>
      <c r="R45" s="15">
        <f>IF(COUNT(R43:R44)=0,"",SUM(R43:R44))</f>
        <v/>
      </c>
      <c r="S45" s="15">
        <f>IF(COUNT(S43:S44)=0,"",SUM(S43:S44))</f>
        <v/>
      </c>
    </row>
    <row r="46" ht="18.75" customHeight="1">
      <c r="A46" s="3" t="n"/>
      <c r="B46" s="13" t="inlineStr">
        <is>
          <t>Absent Rate Non-Certified (%)</t>
        </is>
      </c>
      <c r="C46" s="19">
        <f>OCT!D46</f>
        <v/>
      </c>
      <c r="D46" s="19">
        <f>NOV!D46</f>
        <v/>
      </c>
      <c r="E46" s="19">
        <f>DEC!D46</f>
        <v/>
      </c>
      <c r="F46" s="20">
        <f t="array" ref="F46">IF(COUNT(C46:E46)=0,"",IFERROR(SUMPRODUCT(IFERROR(C46:E46*((C3:E3)+(C4:E4)),0))/SUMPRODUCT(IFERROR(ISNUMBER(C46:E46)*((C3:E3)+(C4:E4)),0)),""))</f>
        <v/>
      </c>
      <c r="G46" s="19">
        <f>JAN!D46</f>
        <v/>
      </c>
      <c r="H46" s="19">
        <f>FEB!D46</f>
        <v/>
      </c>
      <c r="I46" s="19">
        <f>MAR!D46</f>
        <v/>
      </c>
      <c r="J46" s="20">
        <f t="array" ref="J46">IF(COUNT(G46:I46)=0,"",IFERROR(SUMPRODUCT(IFERROR(G46:I46*((G3:I3)+(G4:I4)),0))/SUMPRODUCT(IFERROR(ISNUMBER(G46:I46)*((G3:I3)+(G4:I4)),0)),""))</f>
        <v/>
      </c>
      <c r="K46" s="19">
        <f>APR!D46</f>
        <v/>
      </c>
      <c r="L46" s="19">
        <f>MAY!D46</f>
        <v/>
      </c>
      <c r="M46" s="19">
        <f>JUN!D46</f>
        <v/>
      </c>
      <c r="N46" s="20">
        <f t="array" ref="N46">IF(COUNT(K46:M46)=0,"",IFERROR(SUMPRODUCT(IFERROR(K46:M46*((K3:M3)+(K4:M4)),0))/SUMPRODUCT(IFERROR(ISNUMBER(K46:M46)*((K3:M3)+(K4:M4)),0)),""))</f>
        <v/>
      </c>
      <c r="O46" s="19">
        <f>JUL!D46</f>
        <v/>
      </c>
      <c r="P46" s="19">
        <f>AUG!D46</f>
        <v/>
      </c>
      <c r="Q46" s="19">
        <f>SEP!D46</f>
        <v/>
      </c>
      <c r="R46" s="20">
        <f t="array" ref="R46">IF(COUNT(O46:Q46)=0,"",IFERROR(SUMPRODUCT(IFERROR(O46:Q46*((O3:Q3)+(O4:Q4)),0))/SUMPRODUCT(IFERROR(ISNUMBER(O46:Q46)*((O3:Q3)+(O4:Q4)),0)),""))</f>
        <v/>
      </c>
      <c r="S46" s="20">
        <f>IF(COUNT(F46,J46,N46,R46)=0,"",IFERROR((IFERROR(F46*(F3+F4),0)+IFERROR(J46*(J3+J4),0)+IFERROR(N46*(N3+N4),0)+IFERROR(R46*(R3+R4),0))/(IFERROR(ISNUMBER(F46)*(F3+F4),0)+IFERROR(ISNUMBER(J46)*(J3+J4),0)+IFERROR(ISNUMBER(N46)*(N3+N4),0)+IFERROR(ISNUMBER(R46)*(R3+R4),0)),""))</f>
        <v/>
      </c>
    </row>
    <row r="47" ht="18.75" customHeight="1">
      <c r="A47" s="3" t="n"/>
      <c r="B47" s="13" t="inlineStr">
        <is>
          <t>Absent Rate Certified (%)</t>
        </is>
      </c>
      <c r="C47" s="19">
        <f>OCT!D47</f>
        <v/>
      </c>
      <c r="D47" s="19">
        <f>NOV!D47</f>
        <v/>
      </c>
      <c r="E47" s="19">
        <f>DEC!D47</f>
        <v/>
      </c>
      <c r="F47" s="20">
        <f t="array" ref="F47">IF(COUNT(C47:E47)=0,"",IFERROR(SUMPRODUCT(IFERROR(C47:E47*((C3:E3)+(C4:E4)),0))/SUMPRODUCT(IFERROR(ISNUMBER(C47:E47)*((C3:E3)+(C4:E4)),0)),""))</f>
        <v/>
      </c>
      <c r="G47" s="19">
        <f>JAN!D47</f>
        <v/>
      </c>
      <c r="H47" s="19">
        <f>FEB!D47</f>
        <v/>
      </c>
      <c r="I47" s="19">
        <f>MAR!D47</f>
        <v/>
      </c>
      <c r="J47" s="20">
        <f t="array" ref="J47">IF(COUNT(G47:I47)=0,"",IFERROR(SUMPRODUCT(IFERROR(G47:I47*((G3:I3)+(G4:I4)),0))/SUMPRODUCT(IFERROR(ISNUMBER(G47:I47)*((G3:I3)+(G4:I4)),0)),""))</f>
        <v/>
      </c>
      <c r="K47" s="19">
        <f>APR!D47</f>
        <v/>
      </c>
      <c r="L47" s="19">
        <f>MAY!D47</f>
        <v/>
      </c>
      <c r="M47" s="19">
        <f>JUN!D47</f>
        <v/>
      </c>
      <c r="N47" s="20">
        <f t="array" ref="N47">IF(COUNT(K47:M47)=0,"",IFERROR(SUMPRODUCT(IFERROR(K47:M47*((K3:M3)+(K4:M4)),0))/SUMPRODUCT(IFERROR(ISNUMBER(K47:M47)*((K3:M3)+(K4:M4)),0)),""))</f>
        <v/>
      </c>
      <c r="O47" s="19">
        <f>JUL!D47</f>
        <v/>
      </c>
      <c r="P47" s="19">
        <f>AUG!D47</f>
        <v/>
      </c>
      <c r="Q47" s="19">
        <f>SEP!D47</f>
        <v/>
      </c>
      <c r="R47" s="20">
        <f t="array" ref="R47">IF(COUNT(O47:Q47)=0,"",IFERROR(SUMPRODUCT(IFERROR(O47:Q47*((O3:Q3)+(O4:Q4)),0))/SUMPRODUCT(IFERROR(ISNUMBER(O47:Q47)*((O3:Q3)+(O4:Q4)),0)),""))</f>
        <v/>
      </c>
      <c r="S47" s="20">
        <f>IF(COUNT(F47,J47,N47,R47)=0,"",IFERROR((IFERROR(F47*(F3+F4),0)+IFERROR(J47*(J3+J4),0)+IFERROR(N47*(N3+N4),0)+IFERROR(R47*(R3+R4),0))/(IFERROR(ISNUMBER(F47)*(F3+F4),0)+IFERROR(ISNUMBER(J47)*(J3+J4),0)+IFERROR(ISNUMBER(N47)*(N3+N4),0)+IFERROR(ISNUMBER(R47)*(R3+R4),0)),""))</f>
        <v/>
      </c>
    </row>
    <row r="48" ht="18.75" customHeight="1">
      <c r="A48" s="3" t="n"/>
      <c r="B48" s="13" t="inlineStr">
        <is>
          <t>Absent Rate Total (%)</t>
        </is>
      </c>
      <c r="C48" s="19">
        <f>OCT!D48</f>
        <v/>
      </c>
      <c r="D48" s="19">
        <f>NOV!D48</f>
        <v/>
      </c>
      <c r="E48" s="19">
        <f>DEC!D48</f>
        <v/>
      </c>
      <c r="F48" s="20">
        <f>IF(COUNT(F46:F47)=0,"",SUM(F46:F47))</f>
        <v/>
      </c>
      <c r="G48" s="19">
        <f>JAN!D48</f>
        <v/>
      </c>
      <c r="H48" s="19">
        <f>FEB!D48</f>
        <v/>
      </c>
      <c r="I48" s="19">
        <f>MAR!D48</f>
        <v/>
      </c>
      <c r="J48" s="20">
        <f>IF(COUNT(J46:J47)=0,"",SUM(J46:J47))</f>
        <v/>
      </c>
      <c r="K48" s="19">
        <f>APR!D48</f>
        <v/>
      </c>
      <c r="L48" s="19">
        <f>MAY!D48</f>
        <v/>
      </c>
      <c r="M48" s="19">
        <f>JUN!D48</f>
        <v/>
      </c>
      <c r="N48" s="20">
        <f>IF(COUNT(N46:N47)=0,"",SUM(N46:N47))</f>
        <v/>
      </c>
      <c r="O48" s="19">
        <f>JUL!D48</f>
        <v/>
      </c>
      <c r="P48" s="19">
        <f>AUG!D48</f>
        <v/>
      </c>
      <c r="Q48" s="19">
        <f>SEP!D48</f>
        <v/>
      </c>
      <c r="R48" s="20">
        <f>IF(COUNT(R46:R47)=0,"",SUM(R46:R47))</f>
        <v/>
      </c>
      <c r="S48" s="20">
        <f>IF(COUNT(S46:S47)=0,"",SUM(S46:S47))</f>
        <v/>
      </c>
    </row>
    <row r="49" ht="18.75" customHeight="1">
      <c r="A49" s="3" t="n"/>
      <c r="B49" s="18" t="inlineStr">
        <is>
          <t>Weight factor</t>
        </is>
      </c>
      <c r="C49" s="19">
        <f>OCT!D49</f>
        <v/>
      </c>
      <c r="D49" s="19">
        <f>NOV!D49</f>
        <v/>
      </c>
      <c r="E49" s="19">
        <f>DEC!D49</f>
        <v/>
      </c>
      <c r="F49" s="20">
        <f>IFERROR(AVERAGE(C49:E49),"")</f>
        <v/>
      </c>
      <c r="G49" s="19">
        <f>JAN!D49</f>
        <v/>
      </c>
      <c r="H49" s="19">
        <f>FEB!D49</f>
        <v/>
      </c>
      <c r="I49" s="19">
        <f>MAR!D49</f>
        <v/>
      </c>
      <c r="J49" s="20">
        <f>IFERROR(AVERAGE(G49:I49),"")</f>
        <v/>
      </c>
      <c r="K49" s="19">
        <f>APR!D49</f>
        <v/>
      </c>
      <c r="L49" s="19">
        <f>MAY!D49</f>
        <v/>
      </c>
      <c r="M49" s="19">
        <f>JUN!D49</f>
        <v/>
      </c>
      <c r="N49" s="20">
        <f>IFERROR(AVERAGE(K49:M49),"")</f>
        <v/>
      </c>
      <c r="O49" s="19">
        <f>JUL!D49</f>
        <v/>
      </c>
      <c r="P49" s="19">
        <f>AUG!D49</f>
        <v/>
      </c>
      <c r="Q49" s="19">
        <f>SEP!D49</f>
        <v/>
      </c>
      <c r="R49" s="20">
        <f>IFERROR(AVERAGE(O49:Q49),"")</f>
        <v/>
      </c>
      <c r="S49" s="20">
        <f>IFERROR(AVERAGE(C49:E49,G49:I49,K49:M49,O49:Q49),"")</f>
        <v/>
      </c>
    </row>
    <row r="50" ht="18.75" customHeight="1">
      <c r="A50" s="3" t="n"/>
      <c r="B50" s="10" t="inlineStr">
        <is>
          <t>Leadership (Hours)</t>
        </is>
      </c>
      <c r="C50" s="14">
        <f>OCT!D50</f>
        <v/>
      </c>
      <c r="D50" s="14">
        <f>NOV!D50</f>
        <v/>
      </c>
      <c r="E50" s="14">
        <f>DEC!D50</f>
        <v/>
      </c>
      <c r="F50" s="15">
        <f>IF(COUNT(C50:E50)=0,"",SUM(C50:E50))</f>
        <v/>
      </c>
      <c r="G50" s="14">
        <f>JAN!D50</f>
        <v/>
      </c>
      <c r="H50" s="14">
        <f>FEB!D50</f>
        <v/>
      </c>
      <c r="I50" s="14">
        <f>MAR!D50</f>
        <v/>
      </c>
      <c r="J50" s="15">
        <f>IF(COUNT(G50:I50)=0,"",SUM(G50:I50))</f>
        <v/>
      </c>
      <c r="K50" s="14">
        <f>APR!D50</f>
        <v/>
      </c>
      <c r="L50" s="14">
        <f>MAY!D50</f>
        <v/>
      </c>
      <c r="M50" s="14">
        <f>JUN!D50</f>
        <v/>
      </c>
      <c r="N50" s="15">
        <f>IF(COUNT(K50:M50)=0,"",SUM(K50:M50))</f>
        <v/>
      </c>
      <c r="O50" s="14">
        <f>JUL!D50</f>
        <v/>
      </c>
      <c r="P50" s="14">
        <f>AUG!D50</f>
        <v/>
      </c>
      <c r="Q50" s="14">
        <f>SEP!D50</f>
        <v/>
      </c>
      <c r="R50" s="15">
        <f>IF(COUNT(O50:Q50)=0,"",SUM(O50:Q50))</f>
        <v/>
      </c>
      <c r="S50" s="15">
        <f>IF(COUNT(C50:E50,G50:I50,K50:M50,O50:Q50)=0,"",SUM(C50:E50,G50:I50,K50:M50,O50:Q50))</f>
        <v/>
      </c>
    </row>
    <row r="51" ht="18.75" customHeight="1">
      <c r="A51" s="3" t="n"/>
      <c r="B51" s="10" t="inlineStr">
        <is>
          <t>Technical (Hours)</t>
        </is>
      </c>
      <c r="C51" s="14">
        <f>OCT!D51</f>
        <v/>
      </c>
      <c r="D51" s="14">
        <f>NOV!D51</f>
        <v/>
      </c>
      <c r="E51" s="14">
        <f>DEC!D51</f>
        <v/>
      </c>
      <c r="F51" s="15">
        <f>IF(COUNT(C51:E51)=0,"",SUM(C51:E51))</f>
        <v/>
      </c>
      <c r="G51" s="14">
        <f>JAN!D51</f>
        <v/>
      </c>
      <c r="H51" s="14">
        <f>FEB!D51</f>
        <v/>
      </c>
      <c r="I51" s="14">
        <f>MAR!D51</f>
        <v/>
      </c>
      <c r="J51" s="15">
        <f>IF(COUNT(G51:I51)=0,"",SUM(G51:I51))</f>
        <v/>
      </c>
      <c r="K51" s="14">
        <f>APR!D51</f>
        <v/>
      </c>
      <c r="L51" s="14">
        <f>MAY!D51</f>
        <v/>
      </c>
      <c r="M51" s="14">
        <f>JUN!D51</f>
        <v/>
      </c>
      <c r="N51" s="15">
        <f>IF(COUNT(K51:M51)=0,"",SUM(K51:M51))</f>
        <v/>
      </c>
      <c r="O51" s="14">
        <f>JUL!D51</f>
        <v/>
      </c>
      <c r="P51" s="14">
        <f>AUG!D51</f>
        <v/>
      </c>
      <c r="Q51" s="14">
        <f>SEP!D51</f>
        <v/>
      </c>
      <c r="R51" s="15">
        <f>IF(COUNT(O51:Q51)=0,"",SUM(O51:Q51))</f>
        <v/>
      </c>
      <c r="S51" s="15">
        <f>IF(COUNT(C51:E51,G51:I51,K51:M51,O51:Q51)=0,"",SUM(C51:E51,G51:I51,K51:M51,O51:Q51))</f>
        <v/>
      </c>
    </row>
    <row r="52" ht="18.75" customHeight="1">
      <c r="A52" s="3" t="n"/>
      <c r="B52" s="10" t="inlineStr">
        <is>
          <t>Professional Develop. (Hours)</t>
        </is>
      </c>
      <c r="C52" s="14">
        <f>OCT!D52</f>
        <v/>
      </c>
      <c r="D52" s="14">
        <f>NOV!D52</f>
        <v/>
      </c>
      <c r="E52" s="14">
        <f>DEC!D52</f>
        <v/>
      </c>
      <c r="F52" s="15">
        <f>IF(COUNT(C52:E52)=0,"",SUM(C52:E52))</f>
        <v/>
      </c>
      <c r="G52" s="14">
        <f>JAN!D52</f>
        <v/>
      </c>
      <c r="H52" s="14">
        <f>FEB!D52</f>
        <v/>
      </c>
      <c r="I52" s="14">
        <f>MAR!D52</f>
        <v/>
      </c>
      <c r="J52" s="15">
        <f>IF(COUNT(G52:I52)=0,"",SUM(G52:I52))</f>
        <v/>
      </c>
      <c r="K52" s="14">
        <f>APR!D52</f>
        <v/>
      </c>
      <c r="L52" s="14">
        <f>MAY!D52</f>
        <v/>
      </c>
      <c r="M52" s="14">
        <f>JUN!D52</f>
        <v/>
      </c>
      <c r="N52" s="15">
        <f>IF(COUNT(K52:M52)=0,"",SUM(K52:M52))</f>
        <v/>
      </c>
      <c r="O52" s="14">
        <f>JUL!D52</f>
        <v/>
      </c>
      <c r="P52" s="14">
        <f>AUG!D52</f>
        <v/>
      </c>
      <c r="Q52" s="14">
        <f>SEP!D52</f>
        <v/>
      </c>
      <c r="R52" s="15">
        <f>IF(COUNT(O52:Q52)=0,"",SUM(O52:Q52))</f>
        <v/>
      </c>
      <c r="S52" s="15">
        <f>IF(COUNT(C52:E52,G52:I52,K52:M52,O52:Q52)=0,"",SUM(C52:E52,G52:I52,K52:M52,O52:Q52))</f>
        <v/>
      </c>
    </row>
    <row r="53" ht="18.75" customHeight="1">
      <c r="A53" s="3" t="n"/>
      <c r="B53" s="10" t="inlineStr">
        <is>
          <t>HSSE (Hours)</t>
        </is>
      </c>
      <c r="C53" s="14">
        <f>OCT!D53</f>
        <v/>
      </c>
      <c r="D53" s="14">
        <f>NOV!D53</f>
        <v/>
      </c>
      <c r="E53" s="14">
        <f>DEC!D53</f>
        <v/>
      </c>
      <c r="F53" s="15">
        <f>IF(COUNT(C53:E53)=0,"",SUM(C53:E53))</f>
        <v/>
      </c>
      <c r="G53" s="14">
        <f>JAN!D53</f>
        <v/>
      </c>
      <c r="H53" s="14">
        <f>FEB!D53</f>
        <v/>
      </c>
      <c r="I53" s="14">
        <f>MAR!D53</f>
        <v/>
      </c>
      <c r="J53" s="15">
        <f>IF(COUNT(G53:I53)=0,"",SUM(G53:I53))</f>
        <v/>
      </c>
      <c r="K53" s="14">
        <f>APR!D53</f>
        <v/>
      </c>
      <c r="L53" s="14">
        <f>MAY!D53</f>
        <v/>
      </c>
      <c r="M53" s="14">
        <f>JUN!D53</f>
        <v/>
      </c>
      <c r="N53" s="15">
        <f>IF(COUNT(K53:M53)=0,"",SUM(K53:M53))</f>
        <v/>
      </c>
      <c r="O53" s="14">
        <f>JUL!D53</f>
        <v/>
      </c>
      <c r="P53" s="14">
        <f>AUG!D53</f>
        <v/>
      </c>
      <c r="Q53" s="14">
        <f>SEP!D53</f>
        <v/>
      </c>
      <c r="R53" s="15">
        <f>IF(COUNT(O53:Q53)=0,"",SUM(O53:Q53))</f>
        <v/>
      </c>
      <c r="S53" s="15">
        <f>IF(COUNT(C53:E53,G53:I53,K53:M53,O53:Q53)=0,"",SUM(C53:E53,G53:I53,K53:M53,O53:Q53))</f>
        <v/>
      </c>
    </row>
    <row r="54" ht="18.75" customHeight="1">
      <c r="A54" s="3" t="n"/>
      <c r="B54" s="10" t="inlineStr">
        <is>
          <t>Workday (Hours)</t>
        </is>
      </c>
      <c r="C54" s="14">
        <f>OCT!D54</f>
        <v/>
      </c>
      <c r="D54" s="14">
        <f>NOV!D54</f>
        <v/>
      </c>
      <c r="E54" s="14">
        <f>DEC!D54</f>
        <v/>
      </c>
      <c r="F54" s="15">
        <f>IF(COUNT(C54:E54)=0,"",SUM(C54:E54))</f>
        <v/>
      </c>
      <c r="G54" s="14">
        <f>JAN!D54</f>
        <v/>
      </c>
      <c r="H54" s="14">
        <f>FEB!D54</f>
        <v/>
      </c>
      <c r="I54" s="14">
        <f>MAR!D54</f>
        <v/>
      </c>
      <c r="J54" s="15">
        <f>IF(COUNT(G54:I54)=0,"",SUM(G54:I54))</f>
        <v/>
      </c>
      <c r="K54" s="14">
        <f>APR!D54</f>
        <v/>
      </c>
      <c r="L54" s="14">
        <f>MAY!D54</f>
        <v/>
      </c>
      <c r="M54" s="14">
        <f>JUN!D54</f>
        <v/>
      </c>
      <c r="N54" s="15">
        <f>IF(COUNT(K54:M54)=0,"",SUM(K54:M54))</f>
        <v/>
      </c>
      <c r="O54" s="14">
        <f>JUL!D54</f>
        <v/>
      </c>
      <c r="P54" s="14">
        <f>AUG!D54</f>
        <v/>
      </c>
      <c r="Q54" s="14">
        <f>SEP!D54</f>
        <v/>
      </c>
      <c r="R54" s="15">
        <f>IF(COUNT(O54:Q54)=0,"",SUM(O54:Q54))</f>
        <v/>
      </c>
      <c r="S54" s="15">
        <f>IF(COUNT(C54:E54,G54:I54,K54:M54,O54:Q54)=0,"",SUM(C54:E54,G54:I54,K54:M54,O54:Q54))</f>
        <v/>
      </c>
    </row>
    <row r="55" ht="18.75" customHeight="1">
      <c r="A55" s="3" t="n"/>
      <c r="B55" s="13" t="inlineStr">
        <is>
          <t>Total Training Hours</t>
        </is>
      </c>
      <c r="C55" s="14">
        <f>OCT!D55</f>
        <v/>
      </c>
      <c r="D55" s="14">
        <f>NOV!D55</f>
        <v/>
      </c>
      <c r="E55" s="14">
        <f>DEC!D55</f>
        <v/>
      </c>
      <c r="F55" s="15">
        <f>IF(COUNT(F50:F54)=0,"",SUM(F50:F54))</f>
        <v/>
      </c>
      <c r="G55" s="14">
        <f>JAN!D55</f>
        <v/>
      </c>
      <c r="H55" s="14">
        <f>FEB!D55</f>
        <v/>
      </c>
      <c r="I55" s="14">
        <f>MAR!D55</f>
        <v/>
      </c>
      <c r="J55" s="15">
        <f>IF(COUNT(J50:J54)=0,"",SUM(J50:J54))</f>
        <v/>
      </c>
      <c r="K55" s="14">
        <f>APR!D55</f>
        <v/>
      </c>
      <c r="L55" s="14">
        <f>MAY!D55</f>
        <v/>
      </c>
      <c r="M55" s="14">
        <f>JUN!D55</f>
        <v/>
      </c>
      <c r="N55" s="15">
        <f>IF(COUNT(N50:N54)=0,"",SUM(N50:N54))</f>
        <v/>
      </c>
      <c r="O55" s="14">
        <f>JUL!D55</f>
        <v/>
      </c>
      <c r="P55" s="14">
        <f>AUG!D55</f>
        <v/>
      </c>
      <c r="Q55" s="14">
        <f>SEP!D55</f>
        <v/>
      </c>
      <c r="R55" s="15">
        <f>IF(COUNT(R50:R54)=0,"",SUM(R50:R54))</f>
        <v/>
      </c>
      <c r="S55" s="15">
        <f>IF(COUNT(S50:S54)=0,"",SUM(S50:S54))</f>
        <v/>
      </c>
    </row>
    <row r="56" ht="18.75" customHeight="1">
      <c r="A56" s="3" t="n"/>
      <c r="B56" s="10" t="inlineStr">
        <is>
          <t>Total Trained (Staff)</t>
        </is>
      </c>
      <c r="C56" s="14">
        <f>OCT!D56</f>
        <v/>
      </c>
      <c r="D56" s="14">
        <f>NOV!D56</f>
        <v/>
      </c>
      <c r="E56" s="14">
        <f>DEC!D56</f>
        <v/>
      </c>
      <c r="F56" s="15">
        <f>IF(COUNT(C56:E56)=0,"",SUM(C56:E56))</f>
        <v/>
      </c>
      <c r="G56" s="14">
        <f>JAN!D56</f>
        <v/>
      </c>
      <c r="H56" s="14">
        <f>FEB!D56</f>
        <v/>
      </c>
      <c r="I56" s="14">
        <f>MAR!D56</f>
        <v/>
      </c>
      <c r="J56" s="15">
        <f>IF(COUNT(G56:I56)=0,"",SUM(G56:I56))</f>
        <v/>
      </c>
      <c r="K56" s="14">
        <f>APR!D56</f>
        <v/>
      </c>
      <c r="L56" s="14">
        <f>MAY!D56</f>
        <v/>
      </c>
      <c r="M56" s="14">
        <f>JUN!D56</f>
        <v/>
      </c>
      <c r="N56" s="15">
        <f>IF(COUNT(K56:M56)=0,"",SUM(K56:M56))</f>
        <v/>
      </c>
      <c r="O56" s="14">
        <f>JUL!D56</f>
        <v/>
      </c>
      <c r="P56" s="14">
        <f>AUG!D56</f>
        <v/>
      </c>
      <c r="Q56" s="14">
        <f>SEP!D56</f>
        <v/>
      </c>
      <c r="R56" s="15">
        <f>IF(COUNT(O56:Q56)=0,"",SUM(O56:Q56))</f>
        <v/>
      </c>
      <c r="S56" s="15">
        <f>IF(COUNT(C56:E56,G56:I56,K56:M56,O56:Q56)=0,"",SUM(C56:E56,G56:I56,K56:M56,O56:Q56))</f>
        <v/>
      </c>
    </row>
    <row r="57" ht="18.75" customHeight="1">
      <c r="A57" s="3" t="n"/>
      <c r="B57" s="10" t="inlineStr">
        <is>
          <t>Training Programs (#)</t>
        </is>
      </c>
      <c r="C57" s="14">
        <f>OCT!D57</f>
        <v/>
      </c>
      <c r="D57" s="14">
        <f>NOV!D57</f>
        <v/>
      </c>
      <c r="E57" s="14">
        <f>DEC!D57</f>
        <v/>
      </c>
      <c r="F57" s="15">
        <f>IF(COUNT(C57:E57)=0,"",SUM(C57:E57))</f>
        <v/>
      </c>
      <c r="G57" s="14">
        <f>JAN!D57</f>
        <v/>
      </c>
      <c r="H57" s="14">
        <f>FEB!D57</f>
        <v/>
      </c>
      <c r="I57" s="14">
        <f>MAR!D57</f>
        <v/>
      </c>
      <c r="J57" s="15">
        <f>IF(COUNT(G57:I57)=0,"",SUM(G57:I57))</f>
        <v/>
      </c>
      <c r="K57" s="14">
        <f>APR!D57</f>
        <v/>
      </c>
      <c r="L57" s="14">
        <f>MAY!D57</f>
        <v/>
      </c>
      <c r="M57" s="14">
        <f>JUN!D57</f>
        <v/>
      </c>
      <c r="N57" s="15">
        <f>IF(COUNT(K57:M57)=0,"",SUM(K57:M57))</f>
        <v/>
      </c>
      <c r="O57" s="14">
        <f>JUL!D57</f>
        <v/>
      </c>
      <c r="P57" s="14">
        <f>AUG!D57</f>
        <v/>
      </c>
      <c r="Q57" s="14">
        <f>SEP!D57</f>
        <v/>
      </c>
      <c r="R57" s="15">
        <f>IF(COUNT(O57:Q57)=0,"",SUM(O57:Q57))</f>
        <v/>
      </c>
      <c r="S57" s="15">
        <f>IF(COUNT(C57:E57,G57:I57,K57:M57,O57:Q57)=0,"",SUM(C57:E57,G57:I57,K57:M57,O57:Q57))</f>
        <v/>
      </c>
    </row>
    <row r="58" ht="18.75" customHeight="1">
      <c r="A58" s="3" t="n"/>
      <c r="B58" s="10" t="inlineStr">
        <is>
          <t>Training  Cost (USD)</t>
        </is>
      </c>
      <c r="C58" s="14">
        <f>OCT!D58</f>
        <v/>
      </c>
      <c r="D58" s="14">
        <f>NOV!D58</f>
        <v/>
      </c>
      <c r="E58" s="14">
        <f>DEC!D58</f>
        <v/>
      </c>
      <c r="F58" s="15">
        <f>IF(COUNT(C58:E58)=0,"",SUM(C58:E58))</f>
        <v/>
      </c>
      <c r="G58" s="14">
        <f>JAN!D58</f>
        <v/>
      </c>
      <c r="H58" s="14">
        <f>FEB!D58</f>
        <v/>
      </c>
      <c r="I58" s="14">
        <f>MAR!D58</f>
        <v/>
      </c>
      <c r="J58" s="15">
        <f>IF(COUNT(G58:I58)=0,"",SUM(G58:I58))</f>
        <v/>
      </c>
      <c r="K58" s="14">
        <f>APR!D58</f>
        <v/>
      </c>
      <c r="L58" s="14">
        <f>MAY!D58</f>
        <v/>
      </c>
      <c r="M58" s="14">
        <f>JUN!D58</f>
        <v/>
      </c>
      <c r="N58" s="15">
        <f>IF(COUNT(K58:M58)=0,"",SUM(K58:M58))</f>
        <v/>
      </c>
      <c r="O58" s="14">
        <f>JUL!D58</f>
        <v/>
      </c>
      <c r="P58" s="14">
        <f>AUG!D58</f>
        <v/>
      </c>
      <c r="Q58" s="14">
        <f>SEP!D58</f>
        <v/>
      </c>
      <c r="R58" s="15">
        <f>IF(COUNT(O58:Q58)=0,"",SUM(O58:Q58))</f>
        <v/>
      </c>
      <c r="S58" s="15">
        <f>IF(COUNT(C58:E58,G58:I58,K58:M58,O58:Q58)=0,"",SUM(C58:E58,G58:I58,K58:M58,O58:Q58))</f>
        <v/>
      </c>
    </row>
    <row r="59" ht="18.75" customHeight="1">
      <c r="A59" s="3" t="n"/>
      <c r="B59" s="10" t="inlineStr">
        <is>
          <t>Training Travel Cost (USD)</t>
        </is>
      </c>
      <c r="C59" s="14">
        <f>OCT!D59</f>
        <v/>
      </c>
      <c r="D59" s="14">
        <f>NOV!D59</f>
        <v/>
      </c>
      <c r="E59" s="14">
        <f>DEC!D59</f>
        <v/>
      </c>
      <c r="F59" s="15">
        <f>IF(COUNT(C59:E59)=0,"",SUM(C59:E59))</f>
        <v/>
      </c>
      <c r="G59" s="14">
        <f>JAN!D59</f>
        <v/>
      </c>
      <c r="H59" s="14">
        <f>FEB!D59</f>
        <v/>
      </c>
      <c r="I59" s="14">
        <f>MAR!D59</f>
        <v/>
      </c>
      <c r="J59" s="15">
        <f>IF(COUNT(G59:I59)=0,"",SUM(G59:I59))</f>
        <v/>
      </c>
      <c r="K59" s="14">
        <f>APR!D59</f>
        <v/>
      </c>
      <c r="L59" s="14">
        <f>MAY!D59</f>
        <v/>
      </c>
      <c r="M59" s="14">
        <f>JUN!D59</f>
        <v/>
      </c>
      <c r="N59" s="15">
        <f>IF(COUNT(K59:M59)=0,"",SUM(K59:M59))</f>
        <v/>
      </c>
      <c r="O59" s="14">
        <f>JUL!D59</f>
        <v/>
      </c>
      <c r="P59" s="14">
        <f>AUG!D59</f>
        <v/>
      </c>
      <c r="Q59" s="14">
        <f>SEP!D59</f>
        <v/>
      </c>
      <c r="R59" s="15">
        <f>IF(COUNT(O59:Q59)=0,"",SUM(O59:Q59))</f>
        <v/>
      </c>
      <c r="S59" s="15">
        <f>IF(COUNT(C59:E59,G59:I59,K59:M59,O59:Q59)=0,"",SUM(C59:E59,G59:I59,K59:M59,O59:Q59))</f>
        <v/>
      </c>
    </row>
    <row r="60" ht="18.75" customHeight="1">
      <c r="A60" s="3" t="n"/>
      <c r="B60" s="13" t="inlineStr">
        <is>
          <t>Leadership Hours Trained (%)</t>
        </is>
      </c>
      <c r="C60" s="19">
        <f>OCT!D60</f>
        <v/>
      </c>
      <c r="D60" s="19">
        <f>NOV!D60</f>
        <v/>
      </c>
      <c r="E60" s="19">
        <f>DEC!D60</f>
        <v/>
      </c>
      <c r="F60" s="20">
        <f>IFERROR(F50/F$55,"")</f>
        <v/>
      </c>
      <c r="G60" s="19">
        <f>JAN!D60</f>
        <v/>
      </c>
      <c r="H60" s="19">
        <f>FEB!D60</f>
        <v/>
      </c>
      <c r="I60" s="19">
        <f>MAR!D60</f>
        <v/>
      </c>
      <c r="J60" s="20">
        <f>IFERROR(J50/J$55,"")</f>
        <v/>
      </c>
      <c r="K60" s="19">
        <f>APR!D60</f>
        <v/>
      </c>
      <c r="L60" s="19">
        <f>MAY!D60</f>
        <v/>
      </c>
      <c r="M60" s="19">
        <f>JUN!D60</f>
        <v/>
      </c>
      <c r="N60" s="20">
        <f>IFERROR(N50/N$55,"")</f>
        <v/>
      </c>
      <c r="O60" s="19">
        <f>JUL!D60</f>
        <v/>
      </c>
      <c r="P60" s="19">
        <f>AUG!D60</f>
        <v/>
      </c>
      <c r="Q60" s="19">
        <f>SEP!D60</f>
        <v/>
      </c>
      <c r="R60" s="20">
        <f>IFERROR(R50/R$55,"")</f>
        <v/>
      </c>
      <c r="S60" s="20">
        <f>IFERROR(S50/S$55,"")</f>
        <v/>
      </c>
    </row>
    <row r="61" ht="18.75" customHeight="1">
      <c r="A61" s="3" t="n"/>
      <c r="B61" s="13" t="inlineStr">
        <is>
          <t>Technical Hours Trained (%)</t>
        </is>
      </c>
      <c r="C61" s="19">
        <f>OCT!D61</f>
        <v/>
      </c>
      <c r="D61" s="19">
        <f>NOV!D61</f>
        <v/>
      </c>
      <c r="E61" s="19">
        <f>DEC!D61</f>
        <v/>
      </c>
      <c r="F61" s="20">
        <f>IFERROR(F51/F$55,"")</f>
        <v/>
      </c>
      <c r="G61" s="19">
        <f>JAN!D61</f>
        <v/>
      </c>
      <c r="H61" s="19">
        <f>FEB!D61</f>
        <v/>
      </c>
      <c r="I61" s="19">
        <f>MAR!D61</f>
        <v/>
      </c>
      <c r="J61" s="20">
        <f>IFERROR(J51/J$55,"")</f>
        <v/>
      </c>
      <c r="K61" s="19">
        <f>APR!D61</f>
        <v/>
      </c>
      <c r="L61" s="19">
        <f>MAY!D61</f>
        <v/>
      </c>
      <c r="M61" s="19">
        <f>JUN!D61</f>
        <v/>
      </c>
      <c r="N61" s="20">
        <f>IFERROR(N51/N$55,"")</f>
        <v/>
      </c>
      <c r="O61" s="19">
        <f>JUL!D61</f>
        <v/>
      </c>
      <c r="P61" s="19">
        <f>AUG!D61</f>
        <v/>
      </c>
      <c r="Q61" s="19">
        <f>SEP!D61</f>
        <v/>
      </c>
      <c r="R61" s="20">
        <f>IFERROR(R51/R$55,"")</f>
        <v/>
      </c>
      <c r="S61" s="20">
        <f>IFERROR(S51/S$55,"")</f>
        <v/>
      </c>
    </row>
    <row r="62" ht="18.75" customHeight="1">
      <c r="A62" s="3" t="n"/>
      <c r="B62" s="13" t="inlineStr">
        <is>
          <t>Profess. Dev. Hours Trained (%)</t>
        </is>
      </c>
      <c r="C62" s="19">
        <f>OCT!D62</f>
        <v/>
      </c>
      <c r="D62" s="19">
        <f>NOV!D62</f>
        <v/>
      </c>
      <c r="E62" s="19">
        <f>DEC!D62</f>
        <v/>
      </c>
      <c r="F62" s="20">
        <f>IFERROR(F52/F$55,"")</f>
        <v/>
      </c>
      <c r="G62" s="19">
        <f>JAN!D62</f>
        <v/>
      </c>
      <c r="H62" s="19">
        <f>FEB!D62</f>
        <v/>
      </c>
      <c r="I62" s="19">
        <f>MAR!D62</f>
        <v/>
      </c>
      <c r="J62" s="20">
        <f>IFERROR(J52/J$55,"")</f>
        <v/>
      </c>
      <c r="K62" s="19">
        <f>APR!D62</f>
        <v/>
      </c>
      <c r="L62" s="19">
        <f>MAY!D62</f>
        <v/>
      </c>
      <c r="M62" s="19">
        <f>JUN!D62</f>
        <v/>
      </c>
      <c r="N62" s="20">
        <f>IFERROR(N52/N$55,"")</f>
        <v/>
      </c>
      <c r="O62" s="19">
        <f>JUL!D62</f>
        <v/>
      </c>
      <c r="P62" s="19">
        <f>AUG!D62</f>
        <v/>
      </c>
      <c r="Q62" s="19">
        <f>SEP!D62</f>
        <v/>
      </c>
      <c r="R62" s="20">
        <f>IFERROR(R52/R$55,"")</f>
        <v/>
      </c>
      <c r="S62" s="20">
        <f>IFERROR(S52/S$55,"")</f>
        <v/>
      </c>
    </row>
    <row r="63" ht="18.75" customHeight="1">
      <c r="A63" s="3" t="n"/>
      <c r="B63" s="13" t="inlineStr">
        <is>
          <t>HSSE Hours Trained (%)</t>
        </is>
      </c>
      <c r="C63" s="19">
        <f>OCT!D63</f>
        <v/>
      </c>
      <c r="D63" s="19">
        <f>NOV!D63</f>
        <v/>
      </c>
      <c r="E63" s="19">
        <f>DEC!D63</f>
        <v/>
      </c>
      <c r="F63" s="20">
        <f>IFERROR(F53/F$55,"")</f>
        <v/>
      </c>
      <c r="G63" s="19">
        <f>JAN!D63</f>
        <v/>
      </c>
      <c r="H63" s="19">
        <f>FEB!D63</f>
        <v/>
      </c>
      <c r="I63" s="19">
        <f>MAR!D63</f>
        <v/>
      </c>
      <c r="J63" s="20">
        <f>IFERROR(J53/J$55,"")</f>
        <v/>
      </c>
      <c r="K63" s="19">
        <f>APR!D63</f>
        <v/>
      </c>
      <c r="L63" s="19">
        <f>MAY!D63</f>
        <v/>
      </c>
      <c r="M63" s="19">
        <f>JUN!D63</f>
        <v/>
      </c>
      <c r="N63" s="20">
        <f>IFERROR(N53/N$55,"")</f>
        <v/>
      </c>
      <c r="O63" s="19">
        <f>JUL!D63</f>
        <v/>
      </c>
      <c r="P63" s="19">
        <f>AUG!D63</f>
        <v/>
      </c>
      <c r="Q63" s="19">
        <f>SEP!D63</f>
        <v/>
      </c>
      <c r="R63" s="20">
        <f>IFERROR(R53/R$55,"")</f>
        <v/>
      </c>
      <c r="S63" s="20">
        <f>IFERROR(S53/S$55,"")</f>
        <v/>
      </c>
    </row>
    <row r="64" ht="18.75" customHeight="1">
      <c r="A64" s="3" t="n"/>
      <c r="B64" s="13" t="inlineStr">
        <is>
          <t>Workday Hours Trained (%)</t>
        </is>
      </c>
      <c r="C64" s="19">
        <f>OCT!D64</f>
        <v/>
      </c>
      <c r="D64" s="19">
        <f>NOV!D64</f>
        <v/>
      </c>
      <c r="E64" s="19">
        <f>DEC!D64</f>
        <v/>
      </c>
      <c r="F64" s="20">
        <f>IFERROR(F54/F$55,"")</f>
        <v/>
      </c>
      <c r="G64" s="19">
        <f>JAN!D64</f>
        <v/>
      </c>
      <c r="H64" s="19">
        <f>FEB!D64</f>
        <v/>
      </c>
      <c r="I64" s="19">
        <f>MAR!D64</f>
        <v/>
      </c>
      <c r="J64" s="20">
        <f>IFERROR(J54/J$55,"")</f>
        <v/>
      </c>
      <c r="K64" s="19">
        <f>APR!D64</f>
        <v/>
      </c>
      <c r="L64" s="19">
        <f>MAY!D64</f>
        <v/>
      </c>
      <c r="M64" s="19">
        <f>JUN!D64</f>
        <v/>
      </c>
      <c r="N64" s="20">
        <f>IFERROR(N54/N$55,"")</f>
        <v/>
      </c>
      <c r="O64" s="19">
        <f>JUL!D64</f>
        <v/>
      </c>
      <c r="P64" s="19">
        <f>AUG!D64</f>
        <v/>
      </c>
      <c r="Q64" s="19">
        <f>SEP!D64</f>
        <v/>
      </c>
      <c r="R64" s="20">
        <f>IFERROR(R54/R$55,"")</f>
        <v/>
      </c>
      <c r="S64" s="20">
        <f>IFERROR(S54/S$55,"")</f>
        <v/>
      </c>
    </row>
    <row r="65" ht="18.75" customHeight="1">
      <c r="A65" s="3" t="n"/>
      <c r="B65" s="13" t="inlineStr">
        <is>
          <t>Staff Trained (%)</t>
        </is>
      </c>
      <c r="C65" s="19">
        <f>OCT!D65</f>
        <v/>
      </c>
      <c r="D65" s="19">
        <f>NOV!D65</f>
        <v/>
      </c>
      <c r="E65" s="19">
        <f>DEC!D65</f>
        <v/>
      </c>
      <c r="F65" s="20">
        <f>IFERROR(F56/SUM(C5:E5),"")</f>
        <v/>
      </c>
      <c r="G65" s="19">
        <f>JAN!D65</f>
        <v/>
      </c>
      <c r="H65" s="19">
        <f>FEB!D65</f>
        <v/>
      </c>
      <c r="I65" s="19">
        <f>MAR!D65</f>
        <v/>
      </c>
      <c r="J65" s="20">
        <f>IFERROR(J56/SUM(G5:I5),"")</f>
        <v/>
      </c>
      <c r="K65" s="19">
        <f>APR!D65</f>
        <v/>
      </c>
      <c r="L65" s="19">
        <f>MAY!D65</f>
        <v/>
      </c>
      <c r="M65" s="19">
        <f>JUN!D65</f>
        <v/>
      </c>
      <c r="N65" s="20">
        <f>IFERROR(N56/SUM(K5:M5),"")</f>
        <v/>
      </c>
      <c r="O65" s="19">
        <f>JUL!D65</f>
        <v/>
      </c>
      <c r="P65" s="19">
        <f>AUG!D65</f>
        <v/>
      </c>
      <c r="Q65" s="19">
        <f>SEP!D65</f>
        <v/>
      </c>
      <c r="R65" s="20">
        <f>IFERROR(R56/SUM(O5:Q5),"")</f>
        <v/>
      </c>
      <c r="S65" s="20">
        <f>IFERROR(S56/SUM(C5:E5,G5:I5,K5:M5,O5:Q5),"")</f>
        <v/>
      </c>
    </row>
    <row r="66" ht="18.75" customHeight="1">
      <c r="A66" s="3" t="n"/>
      <c r="B66" s="18" t="inlineStr">
        <is>
          <t>Training Hours / EE</t>
        </is>
      </c>
      <c r="C66" s="16">
        <f>OCT!D66</f>
        <v/>
      </c>
      <c r="D66" s="16">
        <f>NOV!D66</f>
        <v/>
      </c>
      <c r="E66" s="16">
        <f>DEC!D66</f>
        <v/>
      </c>
      <c r="F66" s="17">
        <f>IFERROR(F55/F5,"")</f>
        <v/>
      </c>
      <c r="G66" s="16">
        <f>JAN!D66</f>
        <v/>
      </c>
      <c r="H66" s="16">
        <f>FEB!D66</f>
        <v/>
      </c>
      <c r="I66" s="16">
        <f>MAR!D66</f>
        <v/>
      </c>
      <c r="J66" s="17">
        <f>IFERROR(J55/J5,"")</f>
        <v/>
      </c>
      <c r="K66" s="16">
        <f>APR!D66</f>
        <v/>
      </c>
      <c r="L66" s="16">
        <f>MAY!D66</f>
        <v/>
      </c>
      <c r="M66" s="16">
        <f>JUN!D66</f>
        <v/>
      </c>
      <c r="N66" s="17">
        <f>IFERROR(N55/N5,"")</f>
        <v/>
      </c>
      <c r="O66" s="16">
        <f>JUL!D66</f>
        <v/>
      </c>
      <c r="P66" s="16">
        <f>AUG!D66</f>
        <v/>
      </c>
      <c r="Q66" s="16">
        <f>SEP!D66</f>
        <v/>
      </c>
      <c r="R66" s="17">
        <f>IFERROR(R55/R5,"")</f>
        <v/>
      </c>
      <c r="S66" s="17">
        <f>IFERROR(S55/S5,"")</f>
        <v/>
      </c>
    </row>
    <row r="67" ht="18.75" customHeight="1">
      <c r="A67" s="3" t="n"/>
      <c r="B67" s="18" t="inlineStr">
        <is>
          <t>Training Hours / EE Trained</t>
        </is>
      </c>
      <c r="C67" s="16">
        <f>OCT!D67</f>
        <v/>
      </c>
      <c r="D67" s="16">
        <f>NOV!D67</f>
        <v/>
      </c>
      <c r="E67" s="16">
        <f>DEC!D67</f>
        <v/>
      </c>
      <c r="F67" s="17">
        <f>IFERROR(F55/F56,"")</f>
        <v/>
      </c>
      <c r="G67" s="16">
        <f>JAN!D67</f>
        <v/>
      </c>
      <c r="H67" s="16">
        <f>FEB!D67</f>
        <v/>
      </c>
      <c r="I67" s="16">
        <f>MAR!D67</f>
        <v/>
      </c>
      <c r="J67" s="17">
        <f>IFERROR(J55/J56,"")</f>
        <v/>
      </c>
      <c r="K67" s="16">
        <f>APR!D67</f>
        <v/>
      </c>
      <c r="L67" s="16">
        <f>MAY!D67</f>
        <v/>
      </c>
      <c r="M67" s="16">
        <f>JUN!D67</f>
        <v/>
      </c>
      <c r="N67" s="17">
        <f>IFERROR(N55/N56,"")</f>
        <v/>
      </c>
      <c r="O67" s="16">
        <f>JUL!D67</f>
        <v/>
      </c>
      <c r="P67" s="16">
        <f>AUG!D67</f>
        <v/>
      </c>
      <c r="Q67" s="16">
        <f>SEP!D67</f>
        <v/>
      </c>
      <c r="R67" s="17">
        <f>IFERROR(R55/R56,"")</f>
        <v/>
      </c>
      <c r="S67" s="17">
        <f>IFERROR(S55/S56,"")</f>
        <v/>
      </c>
    </row>
    <row r="68" ht="18.75" customHeight="1">
      <c r="A68" s="3" t="n"/>
      <c r="B68" s="18" t="inlineStr">
        <is>
          <t>Training Invest. / EE (USD)</t>
        </is>
      </c>
      <c r="C68" s="16">
        <f>OCT!D68</f>
        <v/>
      </c>
      <c r="D68" s="16">
        <f>NOV!D68</f>
        <v/>
      </c>
      <c r="E68" s="16">
        <f>DEC!D68</f>
        <v/>
      </c>
      <c r="F68" s="17">
        <f>IF(COUNT(F58:F59)=0,"",IFERROR((N(F58)+N(F59))/F5,""))</f>
        <v/>
      </c>
      <c r="G68" s="16">
        <f>JAN!D68</f>
        <v/>
      </c>
      <c r="H68" s="16">
        <f>FEB!D68</f>
        <v/>
      </c>
      <c r="I68" s="16">
        <f>MAR!D68</f>
        <v/>
      </c>
      <c r="J68" s="17">
        <f>IF(COUNT(J58:J59)=0,"",IFERROR((N(J58)+N(J59))/J5,""))</f>
        <v/>
      </c>
      <c r="K68" s="16">
        <f>APR!D68</f>
        <v/>
      </c>
      <c r="L68" s="16">
        <f>MAY!D68</f>
        <v/>
      </c>
      <c r="M68" s="16">
        <f>JUN!D68</f>
        <v/>
      </c>
      <c r="N68" s="17">
        <f>IF(COUNT(N58:N59)=0,"",IFERROR((N(N58)+N(N59))/N5,""))</f>
        <v/>
      </c>
      <c r="O68" s="16">
        <f>JUL!D68</f>
        <v/>
      </c>
      <c r="P68" s="16">
        <f>AUG!D68</f>
        <v/>
      </c>
      <c r="Q68" s="16">
        <f>SEP!D68</f>
        <v/>
      </c>
      <c r="R68" s="17">
        <f>IF(COUNT(R58:R59)=0,"",IFERROR((N(R58)+N(R59))/R5,""))</f>
        <v/>
      </c>
      <c r="S68" s="17">
        <f>IF(COUNT(S58:S59)=0,"",IFERROR((N(S58)+N(S59))/S5,""))</f>
        <v/>
      </c>
    </row>
    <row r="69" ht="18.75" customHeight="1">
      <c r="A69" s="3" t="n"/>
      <c r="B69" s="18" t="inlineStr">
        <is>
          <t>Training Invest. / EE Trained (USD)</t>
        </is>
      </c>
      <c r="C69" s="16">
        <f>OCT!D69</f>
        <v/>
      </c>
      <c r="D69" s="16">
        <f>NOV!D69</f>
        <v/>
      </c>
      <c r="E69" s="16">
        <f>DEC!D69</f>
        <v/>
      </c>
      <c r="F69" s="17">
        <f>IF(COUNT(F58:F59)=0,"",IFERROR((N(F58)+N(F59))/F56,""))</f>
        <v/>
      </c>
      <c r="G69" s="16">
        <f>JAN!D69</f>
        <v/>
      </c>
      <c r="H69" s="16">
        <f>FEB!D69</f>
        <v/>
      </c>
      <c r="I69" s="16">
        <f>MAR!D69</f>
        <v/>
      </c>
      <c r="J69" s="17">
        <f>IF(COUNT(J58:J59)=0,"",IFERROR((N(J58)+N(J59))/J56,""))</f>
        <v/>
      </c>
      <c r="K69" s="16">
        <f>APR!D69</f>
        <v/>
      </c>
      <c r="L69" s="16">
        <f>MAY!D69</f>
        <v/>
      </c>
      <c r="M69" s="16">
        <f>JUN!D69</f>
        <v/>
      </c>
      <c r="N69" s="17">
        <f>IF(COUNT(N58:N59)=0,"",IFERROR((N(N58)+N(N59))/N56,""))</f>
        <v/>
      </c>
      <c r="O69" s="16">
        <f>JUL!D69</f>
        <v/>
      </c>
      <c r="P69" s="16">
        <f>AUG!D69</f>
        <v/>
      </c>
      <c r="Q69" s="16">
        <f>SEP!D69</f>
        <v/>
      </c>
      <c r="R69" s="17">
        <f>IF(COUNT(R58:R59)=0,"",IFERROR((N(R58)+N(R59))/R56,""))</f>
        <v/>
      </c>
      <c r="S69" s="17">
        <f>IF(COUNT(S58:S59)=0,"",IFERROR((N(S58)+N(S59))/S56,""))</f>
        <v/>
      </c>
    </row>
    <row r="70" ht="18.75" customHeight="1">
      <c r="A70" s="3" t="n"/>
      <c r="B70" s="25" t="inlineStr">
        <is>
          <t>Input Cells Not Submitted</t>
        </is>
      </c>
      <c r="C70" s="14">
        <f>OCT!D70</f>
        <v/>
      </c>
      <c r="D70" s="14">
        <f>NOV!D70</f>
        <v/>
      </c>
      <c r="E70" s="14">
        <f>DEC!D70</f>
        <v/>
      </c>
      <c r="F70" s="14">
        <f>SUM(C70:E70)</f>
        <v/>
      </c>
      <c r="G70" s="14">
        <f>JAN!D70</f>
        <v/>
      </c>
      <c r="H70" s="14">
        <f>FEB!D70</f>
        <v/>
      </c>
      <c r="I70" s="14">
        <f>MAR!D70</f>
        <v/>
      </c>
      <c r="J70" s="14">
        <f>SUM(G70:I70)</f>
        <v/>
      </c>
      <c r="K70" s="14">
        <f>APR!D70</f>
        <v/>
      </c>
      <c r="L70" s="14">
        <f>MAY!D70</f>
        <v/>
      </c>
      <c r="M70" s="14">
        <f>JUN!D70</f>
        <v/>
      </c>
      <c r="N70" s="14">
        <f>SUM(K70:M70)</f>
        <v/>
      </c>
      <c r="O70" s="14">
        <f>JUL!D70</f>
        <v/>
      </c>
      <c r="P70" s="14">
        <f>AUG!D70</f>
        <v/>
      </c>
      <c r="Q70" s="14">
        <f>SEP!D70</f>
        <v/>
      </c>
      <c r="R70" s="14">
        <f>SUM(O70:Q70)</f>
        <v/>
      </c>
      <c r="S70" s="14">
        <f>SUM(C70:E70,G70:I70,K70:M70,O70:Q70)</f>
        <v/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 t="n">
        <v>202610</v>
      </c>
      <c r="B2" s="5" t="inlineStr">
        <is>
          <t>OCT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30" t="n"/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IF('(GODDARD)'!$AB$4="","",'(GODDARD)'!$AB$4)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IF('(GODDARD)'!$AD$4="","",'(GODDARD)'!$AD$4)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IF('(GODDARD)'!$G$4="","",'(GODDARD)'!$G$4)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IF('(GODDARD)'!$O$4="","",'(GODDARD)'!$O$4)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VALUE(TEXT(EDATE(DATE(LEFT(OCT!A2,4),RIGHT(OCT!A2,2),1),1),"yyyymm"))</f>
        <v/>
      </c>
      <c r="B2" s="5" t="inlineStr">
        <is>
          <t>NOV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IF(OCT!C5="","",OCT!C5)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IF('(GODDARD)'!$AB$5="","",'(GODDARD)'!$AB$5)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IF('(GODDARD)'!$AD$5="","",'(GODDARD)'!$AD$5)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IF('(GODDARD)'!$G$5="","",'(GODDARD)'!$G$5)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IF('(GODDARD)'!$O$5="","",'(GODDARD)'!$O$5)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VALUE(TEXT(EDATE(DATE(LEFT(NOV!A2,4),RIGHT(NOV!A2,2),1),1),"yyyymm"))</f>
        <v/>
      </c>
      <c r="B2" s="5" t="inlineStr">
        <is>
          <t>DEC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IF(NOV!C5="","",NOV!C5)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IF('(GODDARD)'!$AB$6="","",'(GODDARD)'!$AB$6)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IF('(GODDARD)'!$AD$6="","",'(GODDARD)'!$AD$6)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IF('(GODDARD)'!$G$6="","",'(GODDARD)'!$G$6)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IF('(GODDARD)'!$O$6="","",'(GODDARD)'!$O$6)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VALUE(TEXT(EDATE(DATE(LEFT(DEC!A2,4),RIGHT(DEC!A2,2),1),1),"yyyymm"))</f>
        <v/>
      </c>
      <c r="B2" s="5" t="inlineStr">
        <is>
          <t>JAN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IF(DEC!C5="","",DEC!C5)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IF('(GODDARD)'!$AB$7="","",'(GODDARD)'!$AB$7)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IF('(GODDARD)'!$AD$7="","",'(GODDARD)'!$AD$7)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IF('(GODDARD)'!$G$7="","",'(GODDARD)'!$G$7)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IF('(GODDARD)'!$O$7="","",'(GODDARD)'!$O$7)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VALUE(TEXT(EDATE(DATE(LEFT(JAN!A2,4),RIGHT(JAN!A2,2),1),1),"yyyymm"))</f>
        <v/>
      </c>
      <c r="B2" s="5" t="inlineStr">
        <is>
          <t>FEB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IF(JAN!C5="","",JAN!C5)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IF('(GODDARD)'!$AB$8="","",'(GODDARD)'!$AB$8)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IF('(GODDARD)'!$AD$8="","",'(GODDARD)'!$AD$8)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IF('(GODDARD)'!$G$8="","",'(GODDARD)'!$G$8)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IF('(GODDARD)'!$O$8="","",'(GODDARD)'!$O$8)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VALUE(TEXT(EDATE(DATE(LEFT(FEB!A2,4),RIGHT(FEB!A2,2),1),1),"yyyymm"))</f>
        <v/>
      </c>
      <c r="B2" s="5" t="inlineStr">
        <is>
          <t>MAR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IF(FEB!C5="","",FEB!C5)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IF('(GODDARD)'!$AB$9="","",'(GODDARD)'!$AB$9)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IF('(GODDARD)'!$AD$9="","",'(GODDARD)'!$AD$9)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IF('(GODDARD)'!$G$9="","",'(GODDARD)'!$G$9)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IF('(GODDARD)'!$O$9="","",'(GODDARD)'!$O$9)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VALUE(TEXT(EDATE(DATE(LEFT(MAR!A2,4),RIGHT(MAR!A2,2),1),1),"yyyymm"))</f>
        <v/>
      </c>
      <c r="B2" s="5" t="inlineStr">
        <is>
          <t>APR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IF(MAR!C5="","",MAR!C5)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IF('(GODDARD)'!$AB$10="","",'(GODDARD)'!$AB$10)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IF('(GODDARD)'!$AD$10="","",'(GODDARD)'!$AD$10)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IF('(GODDARD)'!$G$10="","",'(GODDARD)'!$G$10)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IF('(GODDARD)'!$O$10="","",'(GODDARD)'!$O$10)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VALUE(TEXT(EDATE(DATE(LEFT(APR!A2,4),RIGHT(APR!A2,2),1),1),"yyyymm"))</f>
        <v/>
      </c>
      <c r="B2" s="5" t="inlineStr">
        <is>
          <t>MAY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IF(APR!C5="","",APR!C5)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IF('(GODDARD)'!$AB$11="","",'(GODDARD)'!$AB$11)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IF('(GODDARD)'!$AD$11="","",'(GODDARD)'!$AD$11)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IF('(GODDARD)'!$G$11="","",'(GODDARD)'!$G$11)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IF('(GODDARD)'!$O$11="","",'(GODDARD)'!$O$11)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VALUE(TEXT(EDATE(DATE(LEFT(MAY!A2,4),RIGHT(MAY!A2,2),1),1),"yyyymm"))</f>
        <v/>
      </c>
      <c r="B2" s="5" t="inlineStr">
        <is>
          <t>JUN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IF(MAY!C5="","",MAY!C5)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IF('(GODDARD)'!$AB$12="","",'(GODDARD)'!$AB$12)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IF('(GODDARD)'!$AD$12="","",'(GODDARD)'!$AD$12)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IF('(GODDARD)'!$G$12="","",'(GODDARD)'!$G$12)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IF('(GODDARD)'!$O$12="","",'(GODDARD)'!$O$12)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VALUE(TEXT(EDATE(DATE(LEFT(JUN!A2,4),RIGHT(JUN!A2,2),1),1),"yyyymm"))</f>
        <v/>
      </c>
      <c r="B2" s="5" t="inlineStr">
        <is>
          <t>JUL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IF(JUN!C5="","",JUN!C5)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IF('(GODDARD)'!$AB$13="","",'(GODDARD)'!$AB$13)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IF('(GODDARD)'!$AD$13="","",'(GODDARD)'!$AD$13)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IF('(GODDARD)'!$G$13="","",'(GODDARD)'!$G$13)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IF('(GODDARD)'!$O$13="","",'(GODDARD)'!$O$13)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VALUE(TEXT(EDATE(DATE(LEFT(JUL!A2,4),RIGHT(JUL!A2,2),1),1),"yyyymm"))</f>
        <v/>
      </c>
      <c r="B2" s="5" t="inlineStr">
        <is>
          <t>AUG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IF(JUL!C5="","",JUL!C5)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IF('(GODDARD)'!$AB$14="","",'(GODDARD)'!$AB$14)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IF('(GODDARD)'!$AD$14="","",'(GODDARD)'!$AD$14)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IF('(GODDARD)'!$G$14="","",'(GODDARD)'!$G$14)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IF('(GODDARD)'!$O$14="","",'(GODDARD)'!$O$14)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5.26953125" customWidth="1" min="3" max="3"/>
    <col width="15.7265625" customWidth="1" min="4" max="4"/>
    <col width="21" customWidth="1" min="5" max="5"/>
    <col width="11.81640625" customWidth="1" min="6" max="6"/>
  </cols>
  <sheetData>
    <row r="1" ht="30" customHeight="1">
      <c r="A1" s="1" t="n"/>
      <c r="B1" s="2" t="inlineStr">
        <is>
          <t>HEAD OFFICE</t>
        </is>
      </c>
      <c r="C1" s="26" t="n"/>
      <c r="D1" s="3" t="n"/>
      <c r="E1" s="3" t="n"/>
      <c r="F1" s="3" t="n"/>
    </row>
    <row r="2" ht="72" customHeight="1">
      <c r="A2" s="4">
        <f>VALUE(TEXT(EDATE(DATE(LEFT(AUG!A2,4),RIGHT(AUG!A2,2),1),1),"yyyymm"))</f>
        <v/>
      </c>
      <c r="B2" s="5" t="inlineStr">
        <is>
          <t>SEP</t>
        </is>
      </c>
      <c r="C2" s="27" t="inlineStr">
        <is>
          <t>Goddard Enterprises Limited (Barbados)</t>
        </is>
      </c>
      <c r="D2" s="28" t="inlineStr">
        <is>
          <t>TOTAL</t>
        </is>
      </c>
      <c r="E2" s="4" t="inlineStr">
        <is>
          <t>Total by Division</t>
        </is>
      </c>
      <c r="F2" s="29">
        <f>N(F11)&lt;&gt;0</f>
        <v/>
      </c>
    </row>
    <row r="3" ht="15.5" customHeight="1">
      <c r="A3" s="9">
        <f>+A2</f>
        <v/>
      </c>
      <c r="B3" s="10" t="inlineStr">
        <is>
          <t>Permanent (Regular) Headcount</t>
        </is>
      </c>
      <c r="C3" s="30" t="n"/>
      <c r="D3" s="31">
        <f>IF(COUNT(C3:C3)=0,"",SUM(C3:C3))</f>
        <v/>
      </c>
      <c r="E3" s="4" t="inlineStr">
        <is>
          <t>∑</t>
        </is>
      </c>
      <c r="F3" s="3" t="n"/>
    </row>
    <row r="4" ht="15.5" customHeight="1">
      <c r="A4" s="3" t="n"/>
      <c r="B4" s="10" t="inlineStr">
        <is>
          <t>Temporary (Fix Term) Headcount</t>
        </is>
      </c>
      <c r="C4" s="30" t="n"/>
      <c r="D4" s="31">
        <f>IF(COUNT(C4:C4)=0,"",SUM(C4:C4))</f>
        <v/>
      </c>
      <c r="E4" s="4" t="inlineStr">
        <is>
          <t>∑</t>
        </is>
      </c>
      <c r="F4" s="3" t="n"/>
    </row>
    <row r="5" ht="15.5" customHeight="1">
      <c r="A5" s="3" t="n"/>
      <c r="B5" s="13" t="inlineStr">
        <is>
          <t>Employee Headcount (Productivity)</t>
        </is>
      </c>
      <c r="C5" s="11">
        <f>IF(COUNT(C3:C4)=0,"",SUM(C3:C4))</f>
        <v/>
      </c>
      <c r="D5" s="31">
        <f>IF(COUNT(D3:D4)=0,"",SUM(D3:D4))</f>
        <v/>
      </c>
      <c r="E5" s="4" t="inlineStr">
        <is>
          <t>ϝ</t>
        </is>
      </c>
      <c r="F5" s="3" t="n"/>
    </row>
    <row r="6" ht="15.5" customHeight="1">
      <c r="A6" s="3" t="n"/>
      <c r="B6" s="10" t="inlineStr">
        <is>
          <t>Headcount = 1.00</t>
        </is>
      </c>
      <c r="C6" s="30" t="n"/>
      <c r="D6" s="31">
        <f>IF(COUNT(C6:C6)=0,"",SUM(C6:C6))</f>
        <v/>
      </c>
      <c r="E6" s="4" t="inlineStr">
        <is>
          <t>∑</t>
        </is>
      </c>
      <c r="F6" s="3" t="n"/>
    </row>
    <row r="7" ht="15.5" customHeight="1">
      <c r="A7" s="3" t="n"/>
      <c r="B7" s="10" t="inlineStr">
        <is>
          <t>Headcount = 0.75</t>
        </is>
      </c>
      <c r="C7" s="30" t="n"/>
      <c r="D7" s="31">
        <f>IF(COUNT(C7:C7)=0,"",SUM(C7:C7))</f>
        <v/>
      </c>
      <c r="E7" s="4" t="inlineStr">
        <is>
          <t>∑</t>
        </is>
      </c>
      <c r="F7" s="3" t="n"/>
    </row>
    <row r="8" ht="15.5" customHeight="1">
      <c r="A8" s="3" t="n"/>
      <c r="B8" s="10" t="inlineStr">
        <is>
          <t>Headcount = 0.50</t>
        </is>
      </c>
      <c r="C8" s="30" t="n"/>
      <c r="D8" s="31">
        <f>IF(COUNT(C8:C8)=0,"",SUM(C8:C8))</f>
        <v/>
      </c>
      <c r="E8" s="4" t="inlineStr">
        <is>
          <t>∑</t>
        </is>
      </c>
      <c r="F8" s="3" t="n"/>
    </row>
    <row r="9" ht="15.5" customHeight="1">
      <c r="A9" s="3" t="n"/>
      <c r="B9" s="10" t="inlineStr">
        <is>
          <t>Headcount = 0.25</t>
        </is>
      </c>
      <c r="C9" s="30" t="n"/>
      <c r="D9" s="31">
        <f>IF(COUNT(C9:C9)=0,"",SUM(C9:C9))</f>
        <v/>
      </c>
      <c r="E9" s="4" t="inlineStr">
        <is>
          <t>∑</t>
        </is>
      </c>
      <c r="F9" s="3" t="n"/>
    </row>
    <row r="10" ht="15.5" customHeight="1">
      <c r="A10" s="3" t="n"/>
      <c r="B10" s="10" t="inlineStr">
        <is>
          <t>Standard Monthly Hours (FTE basis)</t>
        </is>
      </c>
      <c r="C10" s="32" t="n"/>
      <c r="D10" s="33">
        <f>IFERROR(AVERAGE(C10:C10),"")</f>
        <v/>
      </c>
      <c r="E10" s="4" t="inlineStr">
        <is>
          <t>Avg</t>
        </is>
      </c>
      <c r="F10" s="3" t="n"/>
    </row>
    <row r="11" ht="15.5" customHeight="1">
      <c r="A11" s="3" t="n"/>
      <c r="B11" s="13" t="inlineStr">
        <is>
          <t>Employee FTE (Finance)</t>
        </is>
      </c>
      <c r="C11" s="16">
        <f>IF(COUNT(C6:C9)=0,"",N(C6)+N(C7)*0.75+N(C8)*0.5+N(C9)*0.25)</f>
        <v/>
      </c>
      <c r="D11" s="34">
        <f>IF(COUNT(D6:D9)=0,"",N(D6)+N(D7)*0.75+N(D8)*0.5+N(D9)*0.25)</f>
        <v/>
      </c>
      <c r="E11" s="4" t="inlineStr">
        <is>
          <t>FTE</t>
        </is>
      </c>
      <c r="F11" s="35">
        <f>IF(COUNT(D5:D9)=0,"",N(D6)+N(D7)+N(D8)+N(D9)-N(D5))</f>
        <v/>
      </c>
    </row>
    <row r="12" ht="15.5" customHeight="1">
      <c r="A12" s="3" t="n"/>
      <c r="B12" s="10" t="inlineStr">
        <is>
          <t>Subcontracted Workforce HC</t>
        </is>
      </c>
      <c r="C12" s="30" t="n"/>
      <c r="D12" s="31">
        <f>IF(COUNT(C12:C12)=0,"",SUM(C12:C12))</f>
        <v/>
      </c>
      <c r="E12" s="4" t="inlineStr">
        <is>
          <t>∑</t>
        </is>
      </c>
      <c r="F12" s="3" t="n"/>
    </row>
    <row r="13" ht="15.5" customHeight="1">
      <c r="A13" s="3" t="n"/>
      <c r="B13" s="10" t="inlineStr">
        <is>
          <t>Subcontracted Productive Hours</t>
        </is>
      </c>
      <c r="C13" s="32" t="n"/>
      <c r="D13" s="33">
        <f>IF(COUNT(C13:C13)=0,"",SUM(C13:C13))</f>
        <v/>
      </c>
      <c r="E13" s="4" t="inlineStr">
        <is>
          <t>∑</t>
        </is>
      </c>
      <c r="F13" s="3" t="n"/>
    </row>
    <row r="14" ht="15.5" customHeight="1">
      <c r="A14" s="3" t="n"/>
      <c r="B14" s="13" t="inlineStr">
        <is>
          <t>Subcontracted FTE</t>
        </is>
      </c>
      <c r="C14" s="16">
        <f>IFERROR(C13/C10,"")</f>
        <v/>
      </c>
      <c r="D14" s="34">
        <f>IF(COUNT(C14:C14)=0,"",SUM(C14:C14))</f>
        <v/>
      </c>
      <c r="E14" s="4" t="inlineStr">
        <is>
          <t>FTE</t>
        </is>
      </c>
      <c r="F14" s="3" t="n"/>
    </row>
    <row r="15" ht="15.5" customHeight="1">
      <c r="A15" s="3" t="n"/>
      <c r="B15" s="18" t="inlineStr">
        <is>
          <t>Total Operational Workforce</t>
        </is>
      </c>
      <c r="C15" s="11">
        <f>IF(COUNT(C5,C12)=0,"",SUM(C5,C12))</f>
        <v/>
      </c>
      <c r="D15" s="31">
        <f>IF(COUNT(D5,D12)=0,"",SUM(D5,D12))</f>
        <v/>
      </c>
      <c r="E15" s="4" t="inlineStr">
        <is>
          <t>ϝ</t>
        </is>
      </c>
      <c r="F15" s="3" t="n"/>
    </row>
    <row r="16" ht="15.5" customHeight="1">
      <c r="A16" s="3" t="n"/>
      <c r="B16" s="18" t="inlineStr">
        <is>
          <t>Total Operational FTE</t>
        </is>
      </c>
      <c r="C16" s="16">
        <f>IF(COUNT(C11,C14)=0,"",SUM(C11,C14))</f>
        <v/>
      </c>
      <c r="D16" s="34">
        <f>IF(COUNT(D11,D14)=0,"",SUM(D11,D14))</f>
        <v/>
      </c>
      <c r="E16" s="4" t="inlineStr">
        <is>
          <t>FTE</t>
        </is>
      </c>
      <c r="F16" s="3" t="n"/>
    </row>
    <row r="17" ht="15.5" customHeight="1">
      <c r="A17" s="3" t="n"/>
      <c r="B17" s="13" t="inlineStr">
        <is>
          <t>Subcontracted Share of Workforce (%)</t>
        </is>
      </c>
      <c r="C17" s="19">
        <f>IFERROR(C12/C15,"")</f>
        <v/>
      </c>
      <c r="D17" s="36">
        <f>IFERROR(D12/D15,"")</f>
        <v/>
      </c>
      <c r="E17" s="4" t="inlineStr">
        <is>
          <t>ϝ</t>
        </is>
      </c>
      <c r="F17" s="3" t="n"/>
    </row>
    <row r="18" ht="15.5" customHeight="1">
      <c r="A18" s="3" t="n"/>
      <c r="B18" s="10" t="inlineStr">
        <is>
          <t>FTE HR Team</t>
        </is>
      </c>
      <c r="C18" s="30" t="n"/>
      <c r="D18" s="31">
        <f>IF(COUNT(C18:C18)=0,"",SUM(C18:C18))</f>
        <v/>
      </c>
      <c r="E18" s="4" t="inlineStr">
        <is>
          <t>∑</t>
        </is>
      </c>
      <c r="F18" s="3" t="n"/>
    </row>
    <row r="19" ht="15.5" customHeight="1">
      <c r="A19" s="3" t="n"/>
      <c r="B19" s="10" t="inlineStr">
        <is>
          <t>Permanent Hires</t>
        </is>
      </c>
      <c r="C19" s="30" t="n"/>
      <c r="D19" s="31">
        <f>IF(COUNT(C19:C19)=0,"",SUM(C19:C19))</f>
        <v/>
      </c>
      <c r="E19" s="4" t="inlineStr">
        <is>
          <t>∑</t>
        </is>
      </c>
      <c r="F19" s="3" t="n"/>
    </row>
    <row r="20" ht="15.5" customHeight="1">
      <c r="A20" s="3" t="n"/>
      <c r="B20" s="10" t="inlineStr">
        <is>
          <t>Temporary Hires</t>
        </is>
      </c>
      <c r="C20" s="30" t="n"/>
      <c r="D20" s="31">
        <f>IF(COUNT(C20:C20)=0,"",SUM(C20:C20))</f>
        <v/>
      </c>
      <c r="E20" s="4" t="inlineStr">
        <is>
          <t>∑</t>
        </is>
      </c>
      <c r="F20" s="3" t="n"/>
    </row>
    <row r="21" ht="15.5" customHeight="1">
      <c r="A21" s="3" t="n"/>
      <c r="B21" s="13" t="inlineStr">
        <is>
          <t>Total Hires</t>
        </is>
      </c>
      <c r="C21" s="11">
        <f>IF(COUNT(C19:C20)=0,"",SUM(C19:C20))</f>
        <v/>
      </c>
      <c r="D21" s="31">
        <f>IF(COUNT(D19:D20)=0,"",SUM(D19:D20))</f>
        <v/>
      </c>
      <c r="E21" s="4" t="inlineStr">
        <is>
          <t>ϝ</t>
        </is>
      </c>
      <c r="F21" s="3" t="n"/>
    </row>
    <row r="22" ht="15.5" customHeight="1">
      <c r="A22" s="3" t="n"/>
      <c r="B22" s="10" t="inlineStr">
        <is>
          <t>Permanent Exits</t>
        </is>
      </c>
      <c r="C22" s="30" t="n"/>
      <c r="D22" s="31">
        <f>IF(COUNT(C22:C22)=0,"",SUM(C22:C22))</f>
        <v/>
      </c>
      <c r="E22" s="4" t="inlineStr">
        <is>
          <t>∑</t>
        </is>
      </c>
      <c r="F22" s="3" t="n"/>
    </row>
    <row r="23" ht="15.5" customHeight="1">
      <c r="A23" s="3" t="n"/>
      <c r="B23" s="10" t="inlineStr">
        <is>
          <t>Temporary Exits</t>
        </is>
      </c>
      <c r="C23" s="30" t="n"/>
      <c r="D23" s="31">
        <f>IF(COUNT(C23:C23)=0,"",SUM(C23:C23))</f>
        <v/>
      </c>
      <c r="E23" s="4" t="inlineStr">
        <is>
          <t>∑</t>
        </is>
      </c>
      <c r="F23" s="3" t="n"/>
    </row>
    <row r="24" ht="15.5" customHeight="1">
      <c r="A24" s="3" t="n"/>
      <c r="B24" s="13" t="inlineStr">
        <is>
          <t>Total Exits</t>
        </is>
      </c>
      <c r="C24" s="11">
        <f>IF(COUNT(C22:C23)=0,"",SUM(C22:C23))</f>
        <v/>
      </c>
      <c r="D24" s="31">
        <f>IF(COUNT(D22:D23)=0,"",SUM(D22:D23))</f>
        <v/>
      </c>
      <c r="E24" s="4" t="inlineStr">
        <is>
          <t>ϝ</t>
        </is>
      </c>
      <c r="F24" s="3" t="n"/>
    </row>
    <row r="25" ht="15.5" customHeight="1">
      <c r="A25" s="3" t="n"/>
      <c r="B25" s="21" t="inlineStr">
        <is>
          <t>Permanent Turnover (%)</t>
        </is>
      </c>
      <c r="C25" s="19">
        <f>IF(COUNT(C31,C32)&lt;2,"",IF((C32+C31)=0,"",N(C22)/((C32+C31)/2)))</f>
        <v/>
      </c>
      <c r="D25" s="36">
        <f>IF(COUNT(D31,D32)&lt;2,"",IF((D32+D31)=0,"",N(D22)/((D32+D31)/2)))</f>
        <v/>
      </c>
      <c r="E25" s="4" t="inlineStr">
        <is>
          <t>ϝ</t>
        </is>
      </c>
      <c r="F25" s="3" t="n"/>
    </row>
    <row r="26" ht="15.5" customHeight="1">
      <c r="A26" s="3" t="n"/>
      <c r="B26" s="21" t="inlineStr">
        <is>
          <t>Temporary Turnover (%)</t>
        </is>
      </c>
      <c r="C26" s="19">
        <f>IF(COUNT(C31,C32)&lt;2,"",IF((C32+C31)=0,"",N(C23)/((C32+C31)/2)))</f>
        <v/>
      </c>
      <c r="D26" s="36">
        <f>IF(COUNT(D31,D32)&lt;2,"",IF((D32+D31)=0,"",N(D23)/((D32+D31)/2)))</f>
        <v/>
      </c>
      <c r="E26" s="4" t="inlineStr">
        <is>
          <t>ϝ</t>
        </is>
      </c>
      <c r="F26" s="3" t="n"/>
    </row>
    <row r="27" ht="15.5" customHeight="1">
      <c r="A27" s="3" t="n"/>
      <c r="B27" s="22" t="inlineStr">
        <is>
          <t>Voluntary Terminations</t>
        </is>
      </c>
      <c r="C27" s="30" t="n"/>
      <c r="D27" s="31">
        <f>IF(COUNT(C27:C27)=0,"",SUM(C27:C27))</f>
        <v/>
      </c>
      <c r="E27" s="4" t="inlineStr">
        <is>
          <t>∑</t>
        </is>
      </c>
      <c r="F27" s="3" t="n"/>
    </row>
    <row r="28" ht="15.5" customHeight="1">
      <c r="A28" s="3" t="n"/>
      <c r="B28" s="22" t="inlineStr">
        <is>
          <t>Involuntary Terminations</t>
        </is>
      </c>
      <c r="C28" s="30" t="n"/>
      <c r="D28" s="31">
        <f>IF(COUNT(C28:C28)=0,"",SUM(C28:C28))</f>
        <v/>
      </c>
      <c r="E28" s="4" t="inlineStr">
        <is>
          <t>∑</t>
        </is>
      </c>
      <c r="F28" s="3" t="n"/>
    </row>
    <row r="29" ht="15.5" customHeight="1">
      <c r="A29" s="3" t="n"/>
      <c r="B29" s="21" t="inlineStr">
        <is>
          <t>Voluntary Turnover (%)</t>
        </is>
      </c>
      <c r="C29" s="19">
        <f>IF(COUNT(C31,C32)&lt;2,"",IF((C32+C31)=0,"",N(C27)/((C32+C31)/2)))</f>
        <v/>
      </c>
      <c r="D29" s="36">
        <f>IF(COUNT(D31,D32)&lt;2,"",IF((D32+D31)=0,"",N(D27)/((D32+D31)/2)))</f>
        <v/>
      </c>
      <c r="E29" s="4" t="inlineStr">
        <is>
          <t>ϝ</t>
        </is>
      </c>
      <c r="F29" s="3" t="n"/>
    </row>
    <row r="30" ht="15.5" customHeight="1">
      <c r="A30" s="3" t="n"/>
      <c r="B30" s="21" t="inlineStr">
        <is>
          <t>Involuntary Turnover (%)</t>
        </is>
      </c>
      <c r="C30" s="19">
        <f>IF(COUNT(C31,C32)&lt;2,"",IF((C32+C31)=0,"",N(C28)/((C32+C31)/2)))</f>
        <v/>
      </c>
      <c r="D30" s="36">
        <f>IF(COUNT(D31,D32)&lt;2,"",IF((D32+D31)=0,"",N(D28)/((D32+D31)/2)))</f>
        <v/>
      </c>
      <c r="E30" s="4" t="inlineStr">
        <is>
          <t>ϝ</t>
        </is>
      </c>
      <c r="F30" s="3" t="n"/>
    </row>
    <row r="31" ht="15.5" customHeight="1">
      <c r="A31" s="3" t="n"/>
      <c r="B31" s="10" t="inlineStr">
        <is>
          <t>Headcount last Month</t>
        </is>
      </c>
      <c r="C31" s="11">
        <f>IF(AUG!C5="","",AUG!C5)</f>
        <v/>
      </c>
      <c r="D31" s="31">
        <f>IF(COUNT(C31:C31)=0,"",SUM(C31:C31))</f>
        <v/>
      </c>
      <c r="E31" s="4" t="inlineStr">
        <is>
          <t>∑</t>
        </is>
      </c>
      <c r="F31" s="3" t="n"/>
    </row>
    <row r="32" ht="15.5" customHeight="1">
      <c r="A32" s="3" t="n"/>
      <c r="B32" s="13" t="inlineStr">
        <is>
          <t>Headcount this Month</t>
        </is>
      </c>
      <c r="C32" s="11">
        <f>IF(C5="","",C5)</f>
        <v/>
      </c>
      <c r="D32" s="31">
        <f>IF(COUNT(C32:C32)=0,"",SUM(C32:C32))</f>
        <v/>
      </c>
      <c r="E32" s="4" t="inlineStr">
        <is>
          <t>∑</t>
        </is>
      </c>
      <c r="F32" s="3" t="n"/>
    </row>
    <row r="33" ht="15.5" customHeight="1">
      <c r="A33" s="3" t="n"/>
      <c r="B33" s="13" t="inlineStr">
        <is>
          <t>Full Turnover (%)</t>
        </is>
      </c>
      <c r="C33" s="19">
        <f>IF(COUNT(C31,C32)&lt;2,"",IF((C32+C31)=0,"",N(C24)/((C32+C31)/2)))</f>
        <v/>
      </c>
      <c r="D33" s="36">
        <f>IF(COUNT(D31,D32)&lt;2,"",IF((D32+D31)=0,"",N(D24)/((D32+D31)/2)))</f>
        <v/>
      </c>
      <c r="E33" s="4" t="inlineStr">
        <is>
          <t>ϝ</t>
        </is>
      </c>
      <c r="F33" s="3" t="n"/>
    </row>
    <row r="34" ht="15.75" customHeight="1">
      <c r="A34" s="3" t="n"/>
      <c r="B34" s="22" t="inlineStr">
        <is>
          <t>Permanent Vacancies</t>
        </is>
      </c>
      <c r="C34" s="30" t="n"/>
      <c r="D34" s="31">
        <f>IF(COUNT(C34:C34)=0,"",SUM(C34:C34))</f>
        <v/>
      </c>
      <c r="E34" s="4" t="inlineStr">
        <is>
          <t>∑</t>
        </is>
      </c>
      <c r="F34" s="3" t="n"/>
    </row>
    <row r="35" ht="15.75" customHeight="1">
      <c r="A35" s="3" t="n"/>
      <c r="B35" s="22" t="inlineStr">
        <is>
          <t>Temporary Vacancies</t>
        </is>
      </c>
      <c r="C35" s="30" t="n"/>
      <c r="D35" s="31">
        <f>IF(COUNT(C35:C35)=0,"",SUM(C35:C35))</f>
        <v/>
      </c>
      <c r="E35" s="4" t="inlineStr">
        <is>
          <t>∑</t>
        </is>
      </c>
      <c r="F35" s="3" t="n"/>
    </row>
    <row r="36" ht="15.75" customHeight="1">
      <c r="A36" s="3" t="n"/>
      <c r="B36" s="13" t="inlineStr">
        <is>
          <t>Total Vacancies</t>
        </is>
      </c>
      <c r="C36" s="11">
        <f>IF(COUNT(C34:C35)=0,"",SUM(C34:C35))</f>
        <v/>
      </c>
      <c r="D36" s="31">
        <f>IF(COUNT(D34:D35)=0,"",SUM(D34:D35))</f>
        <v/>
      </c>
      <c r="E36" s="4" t="inlineStr">
        <is>
          <t>ϝ</t>
        </is>
      </c>
      <c r="F36" s="3" t="n"/>
    </row>
    <row r="37" ht="15.5" customHeight="1">
      <c r="A37" s="3" t="n"/>
      <c r="B37" s="13" t="inlineStr">
        <is>
          <t>Authorized Positions</t>
        </is>
      </c>
      <c r="C37" s="11">
        <f>IF(COUNT(C5,C36)=0,"",N(C5)+N(C36))</f>
        <v/>
      </c>
      <c r="D37" s="31">
        <f>IF(COUNT(D5,D36)=0,"",N(D5)+N(D36))</f>
        <v/>
      </c>
      <c r="E37" s="4" t="inlineStr">
        <is>
          <t>ϝ</t>
        </is>
      </c>
      <c r="F37" s="3" t="n"/>
    </row>
    <row r="38" ht="15.5" customHeight="1">
      <c r="A38" s="3" t="n"/>
      <c r="B38" s="13" t="inlineStr">
        <is>
          <t>Vacancy Rate (%)</t>
        </is>
      </c>
      <c r="C38" s="19">
        <f>IFERROR(C36/C37,"")</f>
        <v/>
      </c>
      <c r="D38" s="36">
        <f>IFERROR(D36/D37,"")</f>
        <v/>
      </c>
      <c r="E38" s="4" t="inlineStr">
        <is>
          <t>ϝ</t>
        </is>
      </c>
      <c r="F38" s="3" t="n"/>
    </row>
    <row r="39" ht="15.5" customHeight="1">
      <c r="A39" s="3" t="n"/>
      <c r="B39" s="10" t="inlineStr">
        <is>
          <t>Permanent TimeToHire (Days) YTD</t>
        </is>
      </c>
      <c r="C39" s="14">
        <f>IF('(GODDARD)'!$AB$15="","",'(GODDARD)'!$AB$15)</f>
        <v/>
      </c>
      <c r="D39" s="33">
        <f>IFERROR(AVERAGE(C39:C39),"")</f>
        <v/>
      </c>
      <c r="E39" s="4" t="inlineStr">
        <is>
          <t>Avg</t>
        </is>
      </c>
      <c r="F39" s="3" t="n"/>
    </row>
    <row r="40" ht="15.5" customHeight="1">
      <c r="A40" s="3" t="n"/>
      <c r="B40" s="10" t="inlineStr">
        <is>
          <t>Temporary TimeToHire (Days) YTD</t>
        </is>
      </c>
      <c r="C40" s="14">
        <f>IF('(GODDARD)'!$AD$15="","",'(GODDARD)'!$AD$15)</f>
        <v/>
      </c>
      <c r="D40" s="33">
        <f>IFERROR(AVERAGE(C40:C40),"")</f>
        <v/>
      </c>
      <c r="E40" s="4" t="inlineStr">
        <is>
          <t>Avg</t>
        </is>
      </c>
      <c r="F40" s="3" t="n"/>
    </row>
    <row r="41" ht="15.5" customHeight="1">
      <c r="A41" s="3" t="n"/>
      <c r="B41" s="13" t="inlineStr">
        <is>
          <t>Check-ins Rate Completed (%)</t>
        </is>
      </c>
      <c r="C41" s="37" t="n"/>
      <c r="D41" s="38">
        <f>IFERROR(AVERAGE(C41:C41),"")</f>
        <v/>
      </c>
      <c r="E41" s="4" t="inlineStr">
        <is>
          <t>Avg</t>
        </is>
      </c>
      <c r="F41" s="3" t="n"/>
    </row>
    <row r="42" ht="15.5" customHeight="1">
      <c r="A42" s="3" t="n"/>
      <c r="B42" s="10" t="inlineStr">
        <is>
          <t>EE Objectives Completed (#)</t>
        </is>
      </c>
      <c r="C42" s="30" t="n"/>
      <c r="D42" s="31">
        <f>IF(COUNT(C42:C42)=0,"",SUM(C42:C42))</f>
        <v/>
      </c>
      <c r="E42" s="4" t="inlineStr">
        <is>
          <t>∑</t>
        </is>
      </c>
      <c r="F42" s="3" t="n"/>
    </row>
    <row r="43" ht="15.5" customHeight="1">
      <c r="A43" s="3" t="n"/>
      <c r="B43" s="10" t="inlineStr">
        <is>
          <t>Non-certified Absent (Days Lost)</t>
        </is>
      </c>
      <c r="C43" s="32" t="n"/>
      <c r="D43" s="33">
        <f>IF(COUNT(C43:C43)=0,"",SUM(C43:C43))</f>
        <v/>
      </c>
      <c r="E43" s="4" t="inlineStr">
        <is>
          <t>∑</t>
        </is>
      </c>
      <c r="F43" s="3" t="n"/>
    </row>
    <row r="44" ht="15.5" customHeight="1">
      <c r="A44" s="3" t="n"/>
      <c r="B44" s="10" t="inlineStr">
        <is>
          <t>Certified sick leave (Days Lost)</t>
        </is>
      </c>
      <c r="C44" s="32" t="n"/>
      <c r="D44" s="33">
        <f>IF(COUNT(C44:C44)=0,"",SUM(C44:C44))</f>
        <v/>
      </c>
      <c r="E44" s="4" t="inlineStr">
        <is>
          <t>∑</t>
        </is>
      </c>
      <c r="F44" s="3" t="n"/>
    </row>
    <row r="45" ht="15.5" customHeight="1">
      <c r="A45" s="3" t="n"/>
      <c r="B45" s="18" t="inlineStr">
        <is>
          <t>Total Absences</t>
        </is>
      </c>
      <c r="C45" s="14">
        <f>IF(COUNT(C43:C44)=0,"",SUM(C43:C44))</f>
        <v/>
      </c>
      <c r="D45" s="33">
        <f>IF(COUNT(D43:D44)=0,"",SUM(D43:D44))</f>
        <v/>
      </c>
      <c r="E45" s="4" t="inlineStr">
        <is>
          <t>ϝ</t>
        </is>
      </c>
      <c r="F45" s="3" t="n"/>
    </row>
    <row r="46" ht="15.5" customHeight="1">
      <c r="A46" s="3" t="n"/>
      <c r="B46" s="13" t="inlineStr">
        <is>
          <t>Absent Rate Non-Certified (%)</t>
        </is>
      </c>
      <c r="C46" s="19">
        <f>IF('(GODDARD)'!$G$15="","",'(GODDARD)'!$G$15)</f>
        <v/>
      </c>
      <c r="D46" s="36">
        <f t="array" ref="D46">IF(COUNT(C46:C46)=0,"",IFERROR(SUMPRODUCT(IFERROR(C46:C46*((C3:C3)+(C4:C4)),0))/SUMPRODUCT(IFERROR(ISNUMBER(C46:C46)*((C3:C3)+(C4:C4)),0)),""))</f>
        <v/>
      </c>
      <c r="E46" s="4" t="inlineStr">
        <is>
          <t>Weighted</t>
        </is>
      </c>
      <c r="F46" s="3" t="n"/>
    </row>
    <row r="47" ht="15.5" customHeight="1">
      <c r="A47" s="3" t="n"/>
      <c r="B47" s="13" t="inlineStr">
        <is>
          <t>Absent Rate Certified (%)</t>
        </is>
      </c>
      <c r="C47" s="19">
        <f>IF('(GODDARD)'!$O$15="","",'(GODDARD)'!$O$15)</f>
        <v/>
      </c>
      <c r="D47" s="36">
        <f t="array" ref="D47">IF(COUNT(C47:C47)=0,"",IFERROR(SUMPRODUCT(IFERROR(C47:C47*((C3:C3)+(C4:C4)),0))/SUMPRODUCT(IFERROR(ISNUMBER(C47:C47)*((C3:C3)+(C4:C4)),0)),""))</f>
        <v/>
      </c>
      <c r="E47" s="4" t="inlineStr">
        <is>
          <t>Weighted</t>
        </is>
      </c>
      <c r="F47" s="3" t="n"/>
    </row>
    <row r="48" ht="15.5" customHeight="1">
      <c r="A48" s="3" t="n"/>
      <c r="B48" s="13" t="inlineStr">
        <is>
          <t>Absent Rate Total (%)</t>
        </is>
      </c>
      <c r="C48" s="19">
        <f>IF(COUNT(C46:C47)=0,"",SUM(C46:C47))</f>
        <v/>
      </c>
      <c r="D48" s="36">
        <f>IF(COUNT(D46:D47)=0,"",SUM(D46:D47))</f>
        <v/>
      </c>
      <c r="E48" s="4" t="inlineStr">
        <is>
          <t>Weighted</t>
        </is>
      </c>
      <c r="F48" s="3" t="n"/>
    </row>
    <row r="49" ht="15.5" customHeight="1">
      <c r="A49" s="3" t="n"/>
      <c r="B49" s="18" t="inlineStr">
        <is>
          <t>Weight factor</t>
        </is>
      </c>
      <c r="C49" s="19">
        <f>IFERROR(C5/$D5,"")</f>
        <v/>
      </c>
      <c r="D49" s="36">
        <f>IF(COUNT(C49:C49)=0,"",SUM(C49:C49))</f>
        <v/>
      </c>
      <c r="E49" s="4" t="inlineStr">
        <is>
          <t>Weight Factor</t>
        </is>
      </c>
      <c r="F49" s="3" t="n"/>
    </row>
    <row r="50" ht="15.5" customHeight="1">
      <c r="A50" s="3" t="n"/>
      <c r="B50" s="10" t="inlineStr">
        <is>
          <t>Leadership (Hours)</t>
        </is>
      </c>
      <c r="C50" s="32" t="n"/>
      <c r="D50" s="33">
        <f>IF(COUNT(C50:C50)=0,"",SUM(C50:C50))</f>
        <v/>
      </c>
      <c r="E50" s="4" t="inlineStr">
        <is>
          <t>∑</t>
        </is>
      </c>
      <c r="F50" s="3" t="n"/>
    </row>
    <row r="51" ht="15.5" customHeight="1">
      <c r="A51" s="3" t="n"/>
      <c r="B51" s="10" t="inlineStr">
        <is>
          <t>Technical (Hours)</t>
        </is>
      </c>
      <c r="C51" s="32" t="n"/>
      <c r="D51" s="33">
        <f>IF(COUNT(C51:C51)=0,"",SUM(C51:C51))</f>
        <v/>
      </c>
      <c r="E51" s="4" t="inlineStr">
        <is>
          <t>∑</t>
        </is>
      </c>
      <c r="F51" s="3" t="n"/>
    </row>
    <row r="52" ht="15.5" customHeight="1">
      <c r="A52" s="3" t="n"/>
      <c r="B52" s="10" t="inlineStr">
        <is>
          <t>Professional Develop. (Hours)</t>
        </is>
      </c>
      <c r="C52" s="32" t="n"/>
      <c r="D52" s="33">
        <f>IF(COUNT(C52:C52)=0,"",SUM(C52:C52))</f>
        <v/>
      </c>
      <c r="E52" s="4" t="inlineStr">
        <is>
          <t>∑</t>
        </is>
      </c>
      <c r="F52" s="3" t="n"/>
    </row>
    <row r="53" ht="15.5" customHeight="1">
      <c r="A53" s="3" t="n"/>
      <c r="B53" s="10" t="inlineStr">
        <is>
          <t>HSSE (Hours)</t>
        </is>
      </c>
      <c r="C53" s="32" t="n"/>
      <c r="D53" s="33">
        <f>IF(COUNT(C53:C53)=0,"",SUM(C53:C53))</f>
        <v/>
      </c>
      <c r="E53" s="4" t="inlineStr">
        <is>
          <t>∑</t>
        </is>
      </c>
      <c r="F53" s="3" t="n"/>
    </row>
    <row r="54" ht="15.5" customHeight="1">
      <c r="A54" s="3" t="n"/>
      <c r="B54" s="10" t="inlineStr">
        <is>
          <t>Workday (Hours)</t>
        </is>
      </c>
      <c r="C54" s="32" t="n"/>
      <c r="D54" s="33">
        <f>IF(COUNT(C54:C54)=0,"",SUM(C54:C54))</f>
        <v/>
      </c>
      <c r="E54" s="4" t="inlineStr">
        <is>
          <t>∑</t>
        </is>
      </c>
      <c r="F54" s="3" t="n"/>
    </row>
    <row r="55" ht="15.5" customHeight="1">
      <c r="A55" s="3" t="n"/>
      <c r="B55" s="13" t="inlineStr">
        <is>
          <t>Total Training Hours</t>
        </is>
      </c>
      <c r="C55" s="14">
        <f>IF(COUNT(C50:C54)=0,"",SUM(C50:C54))</f>
        <v/>
      </c>
      <c r="D55" s="33">
        <f>IF(COUNT(D50:D54)=0,"",SUM(D50:D54))</f>
        <v/>
      </c>
      <c r="E55" s="4" t="inlineStr">
        <is>
          <t>ϝ</t>
        </is>
      </c>
      <c r="F55" s="3" t="n"/>
    </row>
    <row r="56" ht="15.5" customHeight="1">
      <c r="A56" s="3" t="n"/>
      <c r="B56" s="10" t="inlineStr">
        <is>
          <t>Total Trained (Staff)</t>
        </is>
      </c>
      <c r="C56" s="32" t="n"/>
      <c r="D56" s="33">
        <f>IF(COUNT(C56:C56)=0,"",SUM(C56:C56))</f>
        <v/>
      </c>
      <c r="E56" s="4" t="inlineStr">
        <is>
          <t>∑</t>
        </is>
      </c>
      <c r="F56" s="3" t="n"/>
    </row>
    <row r="57" ht="15.5" customHeight="1">
      <c r="A57" s="3" t="n"/>
      <c r="B57" s="10" t="inlineStr">
        <is>
          <t>Training Programs (#)</t>
        </is>
      </c>
      <c r="C57" s="32" t="n"/>
      <c r="D57" s="33">
        <f>IF(COUNT(C57:C57)=0,"",SUM(C57:C57))</f>
        <v/>
      </c>
      <c r="E57" s="4" t="inlineStr">
        <is>
          <t>∑</t>
        </is>
      </c>
      <c r="F57" s="3" t="n"/>
    </row>
    <row r="58" ht="15.5" customHeight="1">
      <c r="A58" s="3" t="n"/>
      <c r="B58" s="10" t="inlineStr">
        <is>
          <t>Training  Cost (USD)</t>
        </is>
      </c>
      <c r="C58" s="32" t="n"/>
      <c r="D58" s="33">
        <f>IF(COUNT(C58:C58)=0,"",SUM(C58:C58))</f>
        <v/>
      </c>
      <c r="E58" s="4" t="inlineStr">
        <is>
          <t>∑</t>
        </is>
      </c>
      <c r="F58" s="3" t="n"/>
    </row>
    <row r="59" ht="15.5" customHeight="1">
      <c r="A59" s="3" t="n"/>
      <c r="B59" s="10" t="inlineStr">
        <is>
          <t>Training Travel Cost (USD)</t>
        </is>
      </c>
      <c r="C59" s="32" t="n"/>
      <c r="D59" s="33">
        <f>IF(COUNT(C59:C59)=0,"",SUM(C59:C59))</f>
        <v/>
      </c>
      <c r="E59" s="4" t="inlineStr">
        <is>
          <t>∑</t>
        </is>
      </c>
      <c r="F59" s="3" t="n"/>
    </row>
    <row r="60" ht="15.5" customHeight="1">
      <c r="A60" s="3" t="n"/>
      <c r="B60" s="13" t="inlineStr">
        <is>
          <t>Leadership Hours Trained (%)</t>
        </is>
      </c>
      <c r="C60" s="19">
        <f>IFERROR(C50/C$55,"")</f>
        <v/>
      </c>
      <c r="D60" s="36">
        <f>IFERROR(D50/D$55,"")</f>
        <v/>
      </c>
      <c r="E60" s="4" t="inlineStr">
        <is>
          <t>ϝ</t>
        </is>
      </c>
      <c r="F60" s="3" t="n"/>
    </row>
    <row r="61" ht="15.5" customHeight="1">
      <c r="A61" s="3" t="n"/>
      <c r="B61" s="13" t="inlineStr">
        <is>
          <t>Technical Hours Trained (%)</t>
        </is>
      </c>
      <c r="C61" s="19">
        <f>IFERROR(C51/C$55,"")</f>
        <v/>
      </c>
      <c r="D61" s="36">
        <f>IFERROR(D51/D$55,"")</f>
        <v/>
      </c>
      <c r="E61" s="4" t="inlineStr">
        <is>
          <t>ϝ</t>
        </is>
      </c>
      <c r="F61" s="3" t="n"/>
    </row>
    <row r="62" ht="15.5" customHeight="1">
      <c r="A62" s="3" t="n"/>
      <c r="B62" s="13" t="inlineStr">
        <is>
          <t>Profess. Dev. Hours Trained (%)</t>
        </is>
      </c>
      <c r="C62" s="19">
        <f>IFERROR(C52/C$55,"")</f>
        <v/>
      </c>
      <c r="D62" s="36">
        <f>IFERROR(D52/D$55,"")</f>
        <v/>
      </c>
      <c r="E62" s="4" t="inlineStr">
        <is>
          <t>ϝ</t>
        </is>
      </c>
      <c r="F62" s="3" t="n"/>
    </row>
    <row r="63" ht="15.5" customHeight="1">
      <c r="A63" s="3" t="n"/>
      <c r="B63" s="13" t="inlineStr">
        <is>
          <t>HSSE Hours Trained (%)</t>
        </is>
      </c>
      <c r="C63" s="19">
        <f>IFERROR(C53/C$55,"")</f>
        <v/>
      </c>
      <c r="D63" s="36">
        <f>IFERROR(D53/D$55,"")</f>
        <v/>
      </c>
      <c r="E63" s="4" t="inlineStr">
        <is>
          <t>ϝ</t>
        </is>
      </c>
      <c r="F63" s="3" t="n"/>
    </row>
    <row r="64" ht="15.75" customHeight="1">
      <c r="A64" s="3" t="n"/>
      <c r="B64" s="13" t="inlineStr">
        <is>
          <t>Workday Hours Trained (%)</t>
        </is>
      </c>
      <c r="C64" s="19">
        <f>IFERROR(C54/C$55,"")</f>
        <v/>
      </c>
      <c r="D64" s="36">
        <f>IFERROR(D54/D$55,"")</f>
        <v/>
      </c>
      <c r="E64" s="4" t="inlineStr">
        <is>
          <t>ϝ</t>
        </is>
      </c>
      <c r="F64" s="3" t="n"/>
    </row>
    <row r="65" ht="15.75" customHeight="1">
      <c r="A65" s="3" t="n"/>
      <c r="B65" s="13" t="inlineStr">
        <is>
          <t>Staff Trained (%)</t>
        </is>
      </c>
      <c r="C65" s="19">
        <f>IFERROR(C56/C5,"")</f>
        <v/>
      </c>
      <c r="D65" s="36">
        <f>IFERROR(D56/D5,"")</f>
        <v/>
      </c>
      <c r="E65" s="4" t="inlineStr">
        <is>
          <t>ϝ</t>
        </is>
      </c>
      <c r="F65" s="3" t="n"/>
    </row>
    <row r="66" ht="15.75" customHeight="1">
      <c r="A66" s="3" t="n"/>
      <c r="B66" s="18" t="inlineStr">
        <is>
          <t>Training Hours / EE</t>
        </is>
      </c>
      <c r="C66" s="16">
        <f>IFERROR(C55/C5,"")</f>
        <v/>
      </c>
      <c r="D66" s="34">
        <f>IFERROR(D55/D5,"")</f>
        <v/>
      </c>
      <c r="E66" s="4" t="inlineStr">
        <is>
          <t>ϝ</t>
        </is>
      </c>
      <c r="F66" s="3" t="n"/>
    </row>
    <row r="67" ht="15.75" customHeight="1">
      <c r="A67" s="3" t="n"/>
      <c r="B67" s="18" t="inlineStr">
        <is>
          <t>Training Hours / EE Trained</t>
        </is>
      </c>
      <c r="C67" s="16">
        <f>IFERROR(C55/C56,"")</f>
        <v/>
      </c>
      <c r="D67" s="34">
        <f>IFERROR(D55/D56,"")</f>
        <v/>
      </c>
      <c r="E67" s="4" t="inlineStr">
        <is>
          <t>ϝ</t>
        </is>
      </c>
      <c r="F67" s="3" t="n"/>
    </row>
    <row r="68" ht="15.75" customHeight="1">
      <c r="A68" s="3" t="n"/>
      <c r="B68" s="18" t="inlineStr">
        <is>
          <t>Training Invest. / EE (USD)</t>
        </is>
      </c>
      <c r="C68" s="16">
        <f>IF(COUNT(C58:C59)=0,"",IFERROR((N(C58)+N(C59))/C5,""))</f>
        <v/>
      </c>
      <c r="D68" s="34">
        <f>IF(COUNT(D58:D59)=0,"",IFERROR((N(D58)+N(D59))/D5,""))</f>
        <v/>
      </c>
      <c r="E68" s="4" t="inlineStr">
        <is>
          <t>ϝ</t>
        </is>
      </c>
      <c r="F68" s="3" t="n"/>
    </row>
    <row r="69" ht="15.75" customHeight="1">
      <c r="A69" s="3" t="n"/>
      <c r="B69" s="18" t="inlineStr">
        <is>
          <t>Training Invest. / EE Trained (USD)</t>
        </is>
      </c>
      <c r="C69" s="16">
        <f>IF(COUNT(C58:C59)=0,"",IFERROR((N(C58)+N(C59))/C56,""))</f>
        <v/>
      </c>
      <c r="D69" s="34">
        <f>IF(COUNT(D58:D59)=0,"",IFERROR((N(D58)+N(D59))/D56,""))</f>
        <v/>
      </c>
      <c r="E69" s="4" t="inlineStr">
        <is>
          <t>ϝ</t>
        </is>
      </c>
      <c r="F69" s="3" t="n"/>
    </row>
    <row r="70" ht="15.75" customHeight="1">
      <c r="A70" s="3" t="n"/>
      <c r="B70" s="18" t="inlineStr">
        <is>
          <t>Input Cells Not Submitted</t>
        </is>
      </c>
      <c r="C70" s="14">
        <f>COUNTBLANK(C3:C4)+COUNTBLANK(C6:C10)+COUNTBLANK(C12:C13)+COUNTBLANK(C18:C20)+COUNTBLANK(C22:C23)+COUNTBLANK(C27:C28)+COUNTBLANK(C34:C35)+COUNTBLANK(C39:C44)+COUNTBLANK(C46:C47)+COUNTBLANK(C50:C54)+COUNTBLANK(C56:C59)</f>
        <v/>
      </c>
      <c r="D70" s="33">
        <f>SUM(C70:C70)</f>
        <v/>
      </c>
      <c r="E70" s="39" t="inlineStr">
        <is>
          <t>∑</t>
        </is>
      </c>
      <c r="F70" s="3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2"/>
  <sheetViews>
    <sheetView showGridLines="0" zoomScale="80" workbookViewId="0">
      <selection activeCell="A1" sqref="A1"/>
    </sheetView>
  </sheetViews>
  <sheetFormatPr baseColWidth="8" defaultRowHeight="15"/>
  <cols>
    <col width="5.5" customWidth="1" min="1" max="1"/>
    <col width="16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5.5" customWidth="1" min="8" max="8"/>
    <col width="16" customWidth="1" min="9" max="9"/>
    <col width="13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3" customWidth="1" min="16" max="16"/>
    <col width="5.5" customWidth="1" min="17" max="17"/>
    <col width="16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3" customWidth="1" min="24" max="24"/>
    <col width="5.5" customWidth="1" min="25" max="25"/>
    <col width="16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4.75" customHeight="1">
      <c r="A1" s="40" t="inlineStr">
        <is>
          <t>Goddard Enterprises Limited (Barbados)</t>
        </is>
      </c>
      <c r="B1" s="41" t="n"/>
      <c r="C1" s="42" t="n"/>
      <c r="D1" s="40" t="inlineStr">
        <is>
          <t>ABSENCE RATE YTD</t>
        </is>
      </c>
      <c r="E1" s="43" t="n"/>
      <c r="F1" s="44" t="n"/>
      <c r="G1" s="45">
        <f>G16</f>
        <v/>
      </c>
      <c r="I1" s="40">
        <f>A1</f>
        <v/>
      </c>
      <c r="J1" s="41" t="n"/>
      <c r="K1" s="42" t="n"/>
      <c r="L1" s="40" t="inlineStr">
        <is>
          <t>ABSENCE RATE YTD</t>
        </is>
      </c>
      <c r="M1" s="43" t="n"/>
      <c r="N1" s="44" t="n"/>
      <c r="O1" s="45">
        <f>O16</f>
        <v/>
      </c>
      <c r="Q1" s="40">
        <f>A1</f>
        <v/>
      </c>
      <c r="R1" s="41" t="n"/>
      <c r="S1" s="42" t="n"/>
      <c r="T1" s="40" t="inlineStr">
        <is>
          <t>ABSENCE RATE YTD</t>
        </is>
      </c>
      <c r="U1" s="43" t="n"/>
      <c r="V1" s="44" t="n"/>
      <c r="W1" s="45">
        <f>W16</f>
        <v/>
      </c>
      <c r="Y1" s="40">
        <f>A1</f>
        <v/>
      </c>
      <c r="Z1" s="41" t="n"/>
      <c r="AA1" s="42" t="n"/>
      <c r="AB1" s="40" t="inlineStr">
        <is>
          <t>TIME TO HIRE YTD (Days)</t>
        </is>
      </c>
      <c r="AC1" s="43" t="n"/>
      <c r="AD1" s="44" t="n"/>
      <c r="AE1" s="46">
        <f>AE16</f>
        <v/>
      </c>
    </row>
    <row r="2" ht="18.75" customHeight="1">
      <c r="A2" s="47" t="inlineStr">
        <is>
          <t>NON-CERTIFIED</t>
        </is>
      </c>
      <c r="B2" s="41" t="n"/>
      <c r="C2" s="42" t="n"/>
      <c r="D2" s="48" t="n"/>
      <c r="E2" s="49" t="n"/>
      <c r="F2" s="50" t="n"/>
      <c r="G2" s="51" t="n"/>
      <c r="I2" s="47" t="inlineStr">
        <is>
          <t>CERTIFIED</t>
        </is>
      </c>
      <c r="J2" s="41" t="n"/>
      <c r="K2" s="42" t="n"/>
      <c r="L2" s="48" t="n"/>
      <c r="M2" s="49" t="n"/>
      <c r="N2" s="50" t="n"/>
      <c r="O2" s="51" t="n"/>
      <c r="Q2" s="47" t="inlineStr">
        <is>
          <t>TOTAL ABSENCES</t>
        </is>
      </c>
      <c r="R2" s="41" t="n"/>
      <c r="S2" s="42" t="n"/>
      <c r="T2" s="48" t="n"/>
      <c r="U2" s="49" t="n"/>
      <c r="V2" s="50" t="n"/>
      <c r="W2" s="51" t="n"/>
      <c r="Y2" s="47" t="inlineStr">
        <is>
          <t>TIME TO HIRE BY MONTH</t>
        </is>
      </c>
      <c r="Z2" s="41" t="n"/>
      <c r="AA2" s="42" t="n"/>
      <c r="AB2" s="48" t="n"/>
      <c r="AC2" s="49" t="n"/>
      <c r="AD2" s="50" t="n"/>
      <c r="AE2" s="51" t="n"/>
    </row>
    <row r="3" ht="55" customHeight="1">
      <c r="A3" s="52" t="inlineStr">
        <is>
          <t>No.</t>
        </is>
      </c>
      <c r="B3" s="52" t="inlineStr">
        <is>
          <t>Month</t>
        </is>
      </c>
      <c r="C3" s="52" t="inlineStr">
        <is>
          <t>Total Employees</t>
        </is>
      </c>
      <c r="D3" s="52" t="inlineStr">
        <is>
          <t>Working Days</t>
        </is>
      </c>
      <c r="E3" s="52" t="inlineStr">
        <is>
          <t>Total Days Lost</t>
        </is>
      </c>
      <c r="F3" s="52" t="inlineStr">
        <is>
          <t>Total Working Days</t>
        </is>
      </c>
      <c r="G3" s="52" t="inlineStr">
        <is>
          <t>Monthly Absence Rate</t>
        </is>
      </c>
      <c r="I3" s="52" t="inlineStr">
        <is>
          <t>No.</t>
        </is>
      </c>
      <c r="J3" s="52" t="inlineStr">
        <is>
          <t>Month</t>
        </is>
      </c>
      <c r="K3" s="52" t="inlineStr">
        <is>
          <t>Total Employees</t>
        </is>
      </c>
      <c r="L3" s="52" t="inlineStr">
        <is>
          <t>Working Days</t>
        </is>
      </c>
      <c r="M3" s="52" t="inlineStr">
        <is>
          <t>Total Days Lost</t>
        </is>
      </c>
      <c r="N3" s="52" t="inlineStr">
        <is>
          <t>Total Working Days</t>
        </is>
      </c>
      <c r="O3" s="52" t="inlineStr">
        <is>
          <t>Monthly Absence Rate</t>
        </is>
      </c>
      <c r="Q3" s="52" t="inlineStr">
        <is>
          <t>No.</t>
        </is>
      </c>
      <c r="R3" s="52" t="inlineStr">
        <is>
          <t>Month</t>
        </is>
      </c>
      <c r="S3" s="52" t="inlineStr">
        <is>
          <t>Total Employees</t>
        </is>
      </c>
      <c r="T3" s="52" t="inlineStr">
        <is>
          <t>Working Days</t>
        </is>
      </c>
      <c r="U3" s="52" t="inlineStr">
        <is>
          <t>Total Days Lost</t>
        </is>
      </c>
      <c r="V3" s="52" t="inlineStr">
        <is>
          <t>Total Working Days</t>
        </is>
      </c>
      <c r="W3" s="52" t="inlineStr">
        <is>
          <t>Monthly Absence Rate</t>
        </is>
      </c>
      <c r="Y3" s="52" t="inlineStr">
        <is>
          <t>No.</t>
        </is>
      </c>
      <c r="Z3" s="52" t="inlineStr">
        <is>
          <t>Month</t>
        </is>
      </c>
      <c r="AA3" s="52" t="inlineStr">
        <is>
          <t>Permanent Posts Filled YTD</t>
        </is>
      </c>
      <c r="AB3" s="52" t="inlineStr">
        <is>
          <t>Permanent Time to Hire YTD (Days)</t>
        </is>
      </c>
      <c r="AC3" s="52" t="inlineStr">
        <is>
          <t>Temporary Posts Filled YTD</t>
        </is>
      </c>
      <c r="AD3" s="52" t="inlineStr">
        <is>
          <t>Temporary Time to Hire YTD (Days)</t>
        </is>
      </c>
      <c r="AE3" s="52" t="inlineStr">
        <is>
          <t>Total Time to Hire YTD (Days)</t>
        </is>
      </c>
    </row>
    <row r="4" ht="18.75" customHeight="1">
      <c r="A4" s="53" t="n">
        <v>1</v>
      </c>
      <c r="B4" s="54" t="n">
        <v>46296</v>
      </c>
      <c r="C4" s="53">
        <f>IF(OCT!$C$5="","",OCT!$C$5)</f>
        <v/>
      </c>
      <c r="D4" s="55" t="n"/>
      <c r="E4" s="56">
        <f>IF(OCT!$C$43="","",OCT!$C$43)</f>
        <v/>
      </c>
      <c r="F4" s="57">
        <f>IF(OR(C4="",D4=""),"",C4*D4)</f>
        <v/>
      </c>
      <c r="G4" s="58">
        <f>IF(OR(E4="",N(F4)=0),"",E4/F4)</f>
        <v/>
      </c>
      <c r="I4" s="53" t="n">
        <v>1</v>
      </c>
      <c r="J4" s="54" t="n">
        <v>46296</v>
      </c>
      <c r="K4" s="53">
        <f>C4</f>
        <v/>
      </c>
      <c r="L4" s="59">
        <f>IF(D4="","",D4)</f>
        <v/>
      </c>
      <c r="M4" s="56">
        <f>IF(OCT!$C$44="","",OCT!$C$44)</f>
        <v/>
      </c>
      <c r="N4" s="57">
        <f>IF(OR(K4="",L4=""),"",K4*L4)</f>
        <v/>
      </c>
      <c r="O4" s="58">
        <f>IF(OR(M4="",N(N4)=0),"",M4/N4)</f>
        <v/>
      </c>
      <c r="Q4" s="53" t="n">
        <v>1</v>
      </c>
      <c r="R4" s="54" t="n">
        <v>46296</v>
      </c>
      <c r="S4" s="53">
        <f>C4</f>
        <v/>
      </c>
      <c r="T4" s="59">
        <f>IF(D4="","",D4)</f>
        <v/>
      </c>
      <c r="U4" s="56">
        <f>IF(COUNT(E4,M4)=0,"",SUM(E4,M4))</f>
        <v/>
      </c>
      <c r="V4" s="57">
        <f>IF(OR(S4="",T4=""),"",S4*T4)</f>
        <v/>
      </c>
      <c r="W4" s="58">
        <f>IF(OR(U4="",N(V4)=0),"",U4/V4)</f>
        <v/>
      </c>
      <c r="Y4" s="53" t="n">
        <v>1</v>
      </c>
      <c r="Z4" s="54" t="n">
        <v>46296</v>
      </c>
      <c r="AA4" s="59">
        <f>IF($C4="","",SUMPRODUCT(($E$21:$E$60&gt;=$Z$4)*($E$21:$E$60&lt;=EOMONTH($Z4,0)),$G$21:$G$60))</f>
        <v/>
      </c>
      <c r="AB4" s="56">
        <f>IF(N(AA4)=0,"",SUMPRODUCT(($E$21:$E$60&gt;=$Z$4)*($E$21:$E$60&lt;=EOMONTH($Z4,0)),$F$21:$F$60,$G$21:$G$60)/AA4)</f>
        <v/>
      </c>
      <c r="AC4" s="59">
        <f>IF($C4="","",SUMPRODUCT(($L$21:$L$60&gt;=$Z$4)*($L$21:$L$60&lt;=EOMONTH($Z4,0)),$N$21:$N$60))</f>
        <v/>
      </c>
      <c r="AD4" s="56">
        <f>IF(N(AC4)=0,"",SUMPRODUCT(($L$21:$L$60&gt;=$Z$4)*($L$21:$L$60&lt;=EOMONTH($Z4,0)),$M$21:$M$60,$N$21:$N$60)/AC4)</f>
        <v/>
      </c>
      <c r="AE4" s="56">
        <f>IF(N(AA4)+N(AC4)=0,"",(N(AB4)*N(AA4)+N(AD4)*N(AC4))/(N(AA4)+N(AC4)))</f>
        <v/>
      </c>
    </row>
    <row r="5" ht="18.75" customHeight="1">
      <c r="A5" s="53" t="n">
        <v>2</v>
      </c>
      <c r="B5" s="54" t="n">
        <v>46327</v>
      </c>
      <c r="C5" s="53">
        <f>IF(NOV!$C$5="","",NOV!$C$5)</f>
        <v/>
      </c>
      <c r="D5" s="55" t="n"/>
      <c r="E5" s="56">
        <f>IF(NOV!$C$43="","",NOV!$C$43)</f>
        <v/>
      </c>
      <c r="F5" s="57">
        <f>IF(OR(C5="",D5=""),"",C5*D5)</f>
        <v/>
      </c>
      <c r="G5" s="58">
        <f>IF(OR(E5="",N(F5)=0),"",E5/F5)</f>
        <v/>
      </c>
      <c r="I5" s="53" t="n">
        <v>2</v>
      </c>
      <c r="J5" s="54" t="n">
        <v>46327</v>
      </c>
      <c r="K5" s="53">
        <f>C5</f>
        <v/>
      </c>
      <c r="L5" s="59">
        <f>IF(D5="","",D5)</f>
        <v/>
      </c>
      <c r="M5" s="56">
        <f>IF(NOV!$C$44="","",NOV!$C$44)</f>
        <v/>
      </c>
      <c r="N5" s="57">
        <f>IF(OR(K5="",L5=""),"",K5*L5)</f>
        <v/>
      </c>
      <c r="O5" s="58">
        <f>IF(OR(M5="",N(N5)=0),"",M5/N5)</f>
        <v/>
      </c>
      <c r="Q5" s="53" t="n">
        <v>2</v>
      </c>
      <c r="R5" s="54" t="n">
        <v>46327</v>
      </c>
      <c r="S5" s="53">
        <f>C5</f>
        <v/>
      </c>
      <c r="T5" s="59">
        <f>IF(D5="","",D5)</f>
        <v/>
      </c>
      <c r="U5" s="56">
        <f>IF(COUNT(E5,M5)=0,"",SUM(E5,M5))</f>
        <v/>
      </c>
      <c r="V5" s="57">
        <f>IF(OR(S5="",T5=""),"",S5*T5)</f>
        <v/>
      </c>
      <c r="W5" s="58">
        <f>IF(OR(U5="",N(V5)=0),"",U5/V5)</f>
        <v/>
      </c>
      <c r="Y5" s="53" t="n">
        <v>2</v>
      </c>
      <c r="Z5" s="54" t="n">
        <v>46327</v>
      </c>
      <c r="AA5" s="59">
        <f>IF($C5="","",SUMPRODUCT(($E$21:$E$60&gt;=$Z$4)*($E$21:$E$60&lt;=EOMONTH($Z5,0)),$G$21:$G$60))</f>
        <v/>
      </c>
      <c r="AB5" s="56">
        <f>IF(N(AA5)=0,"",SUMPRODUCT(($E$21:$E$60&gt;=$Z$4)*($E$21:$E$60&lt;=EOMONTH($Z5,0)),$F$21:$F$60,$G$21:$G$60)/AA5)</f>
        <v/>
      </c>
      <c r="AC5" s="59">
        <f>IF($C5="","",SUMPRODUCT(($L$21:$L$60&gt;=$Z$4)*($L$21:$L$60&lt;=EOMONTH($Z5,0)),$N$21:$N$60))</f>
        <v/>
      </c>
      <c r="AD5" s="56">
        <f>IF(N(AC5)=0,"",SUMPRODUCT(($L$21:$L$60&gt;=$Z$4)*($L$21:$L$60&lt;=EOMONTH($Z5,0)),$M$21:$M$60,$N$21:$N$60)/AC5)</f>
        <v/>
      </c>
      <c r="AE5" s="56">
        <f>IF(N(AA5)+N(AC5)=0,"",(N(AB5)*N(AA5)+N(AD5)*N(AC5))/(N(AA5)+N(AC5)))</f>
        <v/>
      </c>
    </row>
    <row r="6" ht="18.75" customHeight="1">
      <c r="A6" s="53" t="n">
        <v>3</v>
      </c>
      <c r="B6" s="54" t="n">
        <v>46357</v>
      </c>
      <c r="C6" s="53">
        <f>IF(DEC!$C$5="","",DEC!$C$5)</f>
        <v/>
      </c>
      <c r="D6" s="55" t="n"/>
      <c r="E6" s="56">
        <f>IF(DEC!$C$43="","",DEC!$C$43)</f>
        <v/>
      </c>
      <c r="F6" s="57">
        <f>IF(OR(C6="",D6=""),"",C6*D6)</f>
        <v/>
      </c>
      <c r="G6" s="58">
        <f>IF(OR(E6="",N(F6)=0),"",E6/F6)</f>
        <v/>
      </c>
      <c r="I6" s="53" t="n">
        <v>3</v>
      </c>
      <c r="J6" s="54" t="n">
        <v>46357</v>
      </c>
      <c r="K6" s="53">
        <f>C6</f>
        <v/>
      </c>
      <c r="L6" s="59">
        <f>IF(D6="","",D6)</f>
        <v/>
      </c>
      <c r="M6" s="56">
        <f>IF(DEC!$C$44="","",DEC!$C$44)</f>
        <v/>
      </c>
      <c r="N6" s="57">
        <f>IF(OR(K6="",L6=""),"",K6*L6)</f>
        <v/>
      </c>
      <c r="O6" s="58">
        <f>IF(OR(M6="",N(N6)=0),"",M6/N6)</f>
        <v/>
      </c>
      <c r="Q6" s="53" t="n">
        <v>3</v>
      </c>
      <c r="R6" s="54" t="n">
        <v>46357</v>
      </c>
      <c r="S6" s="53">
        <f>C6</f>
        <v/>
      </c>
      <c r="T6" s="59">
        <f>IF(D6="","",D6)</f>
        <v/>
      </c>
      <c r="U6" s="56">
        <f>IF(COUNT(E6,M6)=0,"",SUM(E6,M6))</f>
        <v/>
      </c>
      <c r="V6" s="57">
        <f>IF(OR(S6="",T6=""),"",S6*T6)</f>
        <v/>
      </c>
      <c r="W6" s="58">
        <f>IF(OR(U6="",N(V6)=0),"",U6/V6)</f>
        <v/>
      </c>
      <c r="Y6" s="53" t="n">
        <v>3</v>
      </c>
      <c r="Z6" s="54" t="n">
        <v>46357</v>
      </c>
      <c r="AA6" s="59">
        <f>IF($C6="","",SUMPRODUCT(($E$21:$E$60&gt;=$Z$4)*($E$21:$E$60&lt;=EOMONTH($Z6,0)),$G$21:$G$60))</f>
        <v/>
      </c>
      <c r="AB6" s="56">
        <f>IF(N(AA6)=0,"",SUMPRODUCT(($E$21:$E$60&gt;=$Z$4)*($E$21:$E$60&lt;=EOMONTH($Z6,0)),$F$21:$F$60,$G$21:$G$60)/AA6)</f>
        <v/>
      </c>
      <c r="AC6" s="59">
        <f>IF($C6="","",SUMPRODUCT(($L$21:$L$60&gt;=$Z$4)*($L$21:$L$60&lt;=EOMONTH($Z6,0)),$N$21:$N$60))</f>
        <v/>
      </c>
      <c r="AD6" s="56">
        <f>IF(N(AC6)=0,"",SUMPRODUCT(($L$21:$L$60&gt;=$Z$4)*($L$21:$L$60&lt;=EOMONTH($Z6,0)),$M$21:$M$60,$N$21:$N$60)/AC6)</f>
        <v/>
      </c>
      <c r="AE6" s="56">
        <f>IF(N(AA6)+N(AC6)=0,"",(N(AB6)*N(AA6)+N(AD6)*N(AC6))/(N(AA6)+N(AC6)))</f>
        <v/>
      </c>
    </row>
    <row r="7" ht="18.75" customHeight="1">
      <c r="A7" s="53" t="n">
        <v>4</v>
      </c>
      <c r="B7" s="54" t="n">
        <v>46388</v>
      </c>
      <c r="C7" s="53">
        <f>IF(JAN!$C$5="","",JAN!$C$5)</f>
        <v/>
      </c>
      <c r="D7" s="55" t="n"/>
      <c r="E7" s="56">
        <f>IF(JAN!$C$43="","",JAN!$C$43)</f>
        <v/>
      </c>
      <c r="F7" s="57">
        <f>IF(OR(C7="",D7=""),"",C7*D7)</f>
        <v/>
      </c>
      <c r="G7" s="58">
        <f>IF(OR(E7="",N(F7)=0),"",E7/F7)</f>
        <v/>
      </c>
      <c r="I7" s="53" t="n">
        <v>4</v>
      </c>
      <c r="J7" s="54" t="n">
        <v>46388</v>
      </c>
      <c r="K7" s="53">
        <f>C7</f>
        <v/>
      </c>
      <c r="L7" s="59">
        <f>IF(D7="","",D7)</f>
        <v/>
      </c>
      <c r="M7" s="56">
        <f>IF(JAN!$C$44="","",JAN!$C$44)</f>
        <v/>
      </c>
      <c r="N7" s="57">
        <f>IF(OR(K7="",L7=""),"",K7*L7)</f>
        <v/>
      </c>
      <c r="O7" s="58">
        <f>IF(OR(M7="",N(N7)=0),"",M7/N7)</f>
        <v/>
      </c>
      <c r="Q7" s="53" t="n">
        <v>4</v>
      </c>
      <c r="R7" s="54" t="n">
        <v>46388</v>
      </c>
      <c r="S7" s="53">
        <f>C7</f>
        <v/>
      </c>
      <c r="T7" s="59">
        <f>IF(D7="","",D7)</f>
        <v/>
      </c>
      <c r="U7" s="56">
        <f>IF(COUNT(E7,M7)=0,"",SUM(E7,M7))</f>
        <v/>
      </c>
      <c r="V7" s="57">
        <f>IF(OR(S7="",T7=""),"",S7*T7)</f>
        <v/>
      </c>
      <c r="W7" s="58">
        <f>IF(OR(U7="",N(V7)=0),"",U7/V7)</f>
        <v/>
      </c>
      <c r="Y7" s="53" t="n">
        <v>4</v>
      </c>
      <c r="Z7" s="54" t="n">
        <v>46388</v>
      </c>
      <c r="AA7" s="59">
        <f>IF($C7="","",SUMPRODUCT(($E$21:$E$60&gt;=$Z$4)*($E$21:$E$60&lt;=EOMONTH($Z7,0)),$G$21:$G$60))</f>
        <v/>
      </c>
      <c r="AB7" s="56">
        <f>IF(N(AA7)=0,"",SUMPRODUCT(($E$21:$E$60&gt;=$Z$4)*($E$21:$E$60&lt;=EOMONTH($Z7,0)),$F$21:$F$60,$G$21:$G$60)/AA7)</f>
        <v/>
      </c>
      <c r="AC7" s="59">
        <f>IF($C7="","",SUMPRODUCT(($L$21:$L$60&gt;=$Z$4)*($L$21:$L$60&lt;=EOMONTH($Z7,0)),$N$21:$N$60))</f>
        <v/>
      </c>
      <c r="AD7" s="56">
        <f>IF(N(AC7)=0,"",SUMPRODUCT(($L$21:$L$60&gt;=$Z$4)*($L$21:$L$60&lt;=EOMONTH($Z7,0)),$M$21:$M$60,$N$21:$N$60)/AC7)</f>
        <v/>
      </c>
      <c r="AE7" s="56">
        <f>IF(N(AA7)+N(AC7)=0,"",(N(AB7)*N(AA7)+N(AD7)*N(AC7))/(N(AA7)+N(AC7)))</f>
        <v/>
      </c>
    </row>
    <row r="8" ht="18.75" customHeight="1">
      <c r="A8" s="53" t="n">
        <v>5</v>
      </c>
      <c r="B8" s="54" t="n">
        <v>46419</v>
      </c>
      <c r="C8" s="53">
        <f>IF(FEB!$C$5="","",FEB!$C$5)</f>
        <v/>
      </c>
      <c r="D8" s="55" t="n"/>
      <c r="E8" s="56">
        <f>IF(FEB!$C$43="","",FEB!$C$43)</f>
        <v/>
      </c>
      <c r="F8" s="57">
        <f>IF(OR(C8="",D8=""),"",C8*D8)</f>
        <v/>
      </c>
      <c r="G8" s="58">
        <f>IF(OR(E8="",N(F8)=0),"",E8/F8)</f>
        <v/>
      </c>
      <c r="I8" s="53" t="n">
        <v>5</v>
      </c>
      <c r="J8" s="54" t="n">
        <v>46419</v>
      </c>
      <c r="K8" s="53">
        <f>C8</f>
        <v/>
      </c>
      <c r="L8" s="59">
        <f>IF(D8="","",D8)</f>
        <v/>
      </c>
      <c r="M8" s="56">
        <f>IF(FEB!$C$44="","",FEB!$C$44)</f>
        <v/>
      </c>
      <c r="N8" s="57">
        <f>IF(OR(K8="",L8=""),"",K8*L8)</f>
        <v/>
      </c>
      <c r="O8" s="58">
        <f>IF(OR(M8="",N(N8)=0),"",M8/N8)</f>
        <v/>
      </c>
      <c r="Q8" s="53" t="n">
        <v>5</v>
      </c>
      <c r="R8" s="54" t="n">
        <v>46419</v>
      </c>
      <c r="S8" s="53">
        <f>C8</f>
        <v/>
      </c>
      <c r="T8" s="59">
        <f>IF(D8="","",D8)</f>
        <v/>
      </c>
      <c r="U8" s="56">
        <f>IF(COUNT(E8,M8)=0,"",SUM(E8,M8))</f>
        <v/>
      </c>
      <c r="V8" s="57">
        <f>IF(OR(S8="",T8=""),"",S8*T8)</f>
        <v/>
      </c>
      <c r="W8" s="58">
        <f>IF(OR(U8="",N(V8)=0),"",U8/V8)</f>
        <v/>
      </c>
      <c r="Y8" s="53" t="n">
        <v>5</v>
      </c>
      <c r="Z8" s="54" t="n">
        <v>46419</v>
      </c>
      <c r="AA8" s="59">
        <f>IF($C8="","",SUMPRODUCT(($E$21:$E$60&gt;=$Z$4)*($E$21:$E$60&lt;=EOMONTH($Z8,0)),$G$21:$G$60))</f>
        <v/>
      </c>
      <c r="AB8" s="56">
        <f>IF(N(AA8)=0,"",SUMPRODUCT(($E$21:$E$60&gt;=$Z$4)*($E$21:$E$60&lt;=EOMONTH($Z8,0)),$F$21:$F$60,$G$21:$G$60)/AA8)</f>
        <v/>
      </c>
      <c r="AC8" s="59">
        <f>IF($C8="","",SUMPRODUCT(($L$21:$L$60&gt;=$Z$4)*($L$21:$L$60&lt;=EOMONTH($Z8,0)),$N$21:$N$60))</f>
        <v/>
      </c>
      <c r="AD8" s="56">
        <f>IF(N(AC8)=0,"",SUMPRODUCT(($L$21:$L$60&gt;=$Z$4)*($L$21:$L$60&lt;=EOMONTH($Z8,0)),$M$21:$M$60,$N$21:$N$60)/AC8)</f>
        <v/>
      </c>
      <c r="AE8" s="56">
        <f>IF(N(AA8)+N(AC8)=0,"",(N(AB8)*N(AA8)+N(AD8)*N(AC8))/(N(AA8)+N(AC8)))</f>
        <v/>
      </c>
    </row>
    <row r="9" ht="18.75" customHeight="1">
      <c r="A9" s="53" t="n">
        <v>6</v>
      </c>
      <c r="B9" s="54" t="n">
        <v>46447</v>
      </c>
      <c r="C9" s="53">
        <f>IF(MAR!$C$5="","",MAR!$C$5)</f>
        <v/>
      </c>
      <c r="D9" s="55" t="n"/>
      <c r="E9" s="56">
        <f>IF(MAR!$C$43="","",MAR!$C$43)</f>
        <v/>
      </c>
      <c r="F9" s="57">
        <f>IF(OR(C9="",D9=""),"",C9*D9)</f>
        <v/>
      </c>
      <c r="G9" s="58">
        <f>IF(OR(E9="",N(F9)=0),"",E9/F9)</f>
        <v/>
      </c>
      <c r="I9" s="53" t="n">
        <v>6</v>
      </c>
      <c r="J9" s="54" t="n">
        <v>46447</v>
      </c>
      <c r="K9" s="53">
        <f>C9</f>
        <v/>
      </c>
      <c r="L9" s="59">
        <f>IF(D9="","",D9)</f>
        <v/>
      </c>
      <c r="M9" s="56">
        <f>IF(MAR!$C$44="","",MAR!$C$44)</f>
        <v/>
      </c>
      <c r="N9" s="57">
        <f>IF(OR(K9="",L9=""),"",K9*L9)</f>
        <v/>
      </c>
      <c r="O9" s="58">
        <f>IF(OR(M9="",N(N9)=0),"",M9/N9)</f>
        <v/>
      </c>
      <c r="Q9" s="53" t="n">
        <v>6</v>
      </c>
      <c r="R9" s="54" t="n">
        <v>46447</v>
      </c>
      <c r="S9" s="53">
        <f>C9</f>
        <v/>
      </c>
      <c r="T9" s="59">
        <f>IF(D9="","",D9)</f>
        <v/>
      </c>
      <c r="U9" s="56">
        <f>IF(COUNT(E9,M9)=0,"",SUM(E9,M9))</f>
        <v/>
      </c>
      <c r="V9" s="57">
        <f>IF(OR(S9="",T9=""),"",S9*T9)</f>
        <v/>
      </c>
      <c r="W9" s="58">
        <f>IF(OR(U9="",N(V9)=0),"",U9/V9)</f>
        <v/>
      </c>
      <c r="Y9" s="53" t="n">
        <v>6</v>
      </c>
      <c r="Z9" s="54" t="n">
        <v>46447</v>
      </c>
      <c r="AA9" s="59">
        <f>IF($C9="","",SUMPRODUCT(($E$21:$E$60&gt;=$Z$4)*($E$21:$E$60&lt;=EOMONTH($Z9,0)),$G$21:$G$60))</f>
        <v/>
      </c>
      <c r="AB9" s="56">
        <f>IF(N(AA9)=0,"",SUMPRODUCT(($E$21:$E$60&gt;=$Z$4)*($E$21:$E$60&lt;=EOMONTH($Z9,0)),$F$21:$F$60,$G$21:$G$60)/AA9)</f>
        <v/>
      </c>
      <c r="AC9" s="59">
        <f>IF($C9="","",SUMPRODUCT(($L$21:$L$60&gt;=$Z$4)*($L$21:$L$60&lt;=EOMONTH($Z9,0)),$N$21:$N$60))</f>
        <v/>
      </c>
      <c r="AD9" s="56">
        <f>IF(N(AC9)=0,"",SUMPRODUCT(($L$21:$L$60&gt;=$Z$4)*($L$21:$L$60&lt;=EOMONTH($Z9,0)),$M$21:$M$60,$N$21:$N$60)/AC9)</f>
        <v/>
      </c>
      <c r="AE9" s="56">
        <f>IF(N(AA9)+N(AC9)=0,"",(N(AB9)*N(AA9)+N(AD9)*N(AC9))/(N(AA9)+N(AC9)))</f>
        <v/>
      </c>
    </row>
    <row r="10" ht="18.75" customHeight="1">
      <c r="A10" s="53" t="n">
        <v>7</v>
      </c>
      <c r="B10" s="54" t="n">
        <v>46478</v>
      </c>
      <c r="C10" s="53">
        <f>IF(APR!$C$5="","",APR!$C$5)</f>
        <v/>
      </c>
      <c r="D10" s="55" t="n"/>
      <c r="E10" s="56">
        <f>IF(APR!$C$43="","",APR!$C$43)</f>
        <v/>
      </c>
      <c r="F10" s="57">
        <f>IF(OR(C10="",D10=""),"",C10*D10)</f>
        <v/>
      </c>
      <c r="G10" s="58">
        <f>IF(OR(E10="",N(F10)=0),"",E10/F10)</f>
        <v/>
      </c>
      <c r="I10" s="53" t="n">
        <v>7</v>
      </c>
      <c r="J10" s="54" t="n">
        <v>46478</v>
      </c>
      <c r="K10" s="53">
        <f>C10</f>
        <v/>
      </c>
      <c r="L10" s="59">
        <f>IF(D10="","",D10)</f>
        <v/>
      </c>
      <c r="M10" s="56">
        <f>IF(APR!$C$44="","",APR!$C$44)</f>
        <v/>
      </c>
      <c r="N10" s="57">
        <f>IF(OR(K10="",L10=""),"",K10*L10)</f>
        <v/>
      </c>
      <c r="O10" s="58">
        <f>IF(OR(M10="",N(N10)=0),"",M10/N10)</f>
        <v/>
      </c>
      <c r="Q10" s="53" t="n">
        <v>7</v>
      </c>
      <c r="R10" s="54" t="n">
        <v>46478</v>
      </c>
      <c r="S10" s="53">
        <f>C10</f>
        <v/>
      </c>
      <c r="T10" s="59">
        <f>IF(D10="","",D10)</f>
        <v/>
      </c>
      <c r="U10" s="56">
        <f>IF(COUNT(E10,M10)=0,"",SUM(E10,M10))</f>
        <v/>
      </c>
      <c r="V10" s="57">
        <f>IF(OR(S10="",T10=""),"",S10*T10)</f>
        <v/>
      </c>
      <c r="W10" s="58">
        <f>IF(OR(U10="",N(V10)=0),"",U10/V10)</f>
        <v/>
      </c>
      <c r="Y10" s="53" t="n">
        <v>7</v>
      </c>
      <c r="Z10" s="54" t="n">
        <v>46478</v>
      </c>
      <c r="AA10" s="59">
        <f>IF($C10="","",SUMPRODUCT(($E$21:$E$60&gt;=$Z$4)*($E$21:$E$60&lt;=EOMONTH($Z10,0)),$G$21:$G$60))</f>
        <v/>
      </c>
      <c r="AB10" s="56">
        <f>IF(N(AA10)=0,"",SUMPRODUCT(($E$21:$E$60&gt;=$Z$4)*($E$21:$E$60&lt;=EOMONTH($Z10,0)),$F$21:$F$60,$G$21:$G$60)/AA10)</f>
        <v/>
      </c>
      <c r="AC10" s="59">
        <f>IF($C10="","",SUMPRODUCT(($L$21:$L$60&gt;=$Z$4)*($L$21:$L$60&lt;=EOMONTH($Z10,0)),$N$21:$N$60))</f>
        <v/>
      </c>
      <c r="AD10" s="56">
        <f>IF(N(AC10)=0,"",SUMPRODUCT(($L$21:$L$60&gt;=$Z$4)*($L$21:$L$60&lt;=EOMONTH($Z10,0)),$M$21:$M$60,$N$21:$N$60)/AC10)</f>
        <v/>
      </c>
      <c r="AE10" s="56">
        <f>IF(N(AA10)+N(AC10)=0,"",(N(AB10)*N(AA10)+N(AD10)*N(AC10))/(N(AA10)+N(AC10)))</f>
        <v/>
      </c>
    </row>
    <row r="11" ht="18.75" customHeight="1">
      <c r="A11" s="53" t="n">
        <v>8</v>
      </c>
      <c r="B11" s="54" t="n">
        <v>46508</v>
      </c>
      <c r="C11" s="53">
        <f>IF(MAY!$C$5="","",MAY!$C$5)</f>
        <v/>
      </c>
      <c r="D11" s="55" t="n"/>
      <c r="E11" s="56">
        <f>IF(MAY!$C$43="","",MAY!$C$43)</f>
        <v/>
      </c>
      <c r="F11" s="57">
        <f>IF(OR(C11="",D11=""),"",C11*D11)</f>
        <v/>
      </c>
      <c r="G11" s="58">
        <f>IF(OR(E11="",N(F11)=0),"",E11/F11)</f>
        <v/>
      </c>
      <c r="I11" s="53" t="n">
        <v>8</v>
      </c>
      <c r="J11" s="54" t="n">
        <v>46508</v>
      </c>
      <c r="K11" s="53">
        <f>C11</f>
        <v/>
      </c>
      <c r="L11" s="59">
        <f>IF(D11="","",D11)</f>
        <v/>
      </c>
      <c r="M11" s="56">
        <f>IF(MAY!$C$44="","",MAY!$C$44)</f>
        <v/>
      </c>
      <c r="N11" s="57">
        <f>IF(OR(K11="",L11=""),"",K11*L11)</f>
        <v/>
      </c>
      <c r="O11" s="58">
        <f>IF(OR(M11="",N(N11)=0),"",M11/N11)</f>
        <v/>
      </c>
      <c r="Q11" s="53" t="n">
        <v>8</v>
      </c>
      <c r="R11" s="54" t="n">
        <v>46508</v>
      </c>
      <c r="S11" s="53">
        <f>C11</f>
        <v/>
      </c>
      <c r="T11" s="59">
        <f>IF(D11="","",D11)</f>
        <v/>
      </c>
      <c r="U11" s="56">
        <f>IF(COUNT(E11,M11)=0,"",SUM(E11,M11))</f>
        <v/>
      </c>
      <c r="V11" s="57">
        <f>IF(OR(S11="",T11=""),"",S11*T11)</f>
        <v/>
      </c>
      <c r="W11" s="58">
        <f>IF(OR(U11="",N(V11)=0),"",U11/V11)</f>
        <v/>
      </c>
      <c r="Y11" s="53" t="n">
        <v>8</v>
      </c>
      <c r="Z11" s="54" t="n">
        <v>46508</v>
      </c>
      <c r="AA11" s="59">
        <f>IF($C11="","",SUMPRODUCT(($E$21:$E$60&gt;=$Z$4)*($E$21:$E$60&lt;=EOMONTH($Z11,0)),$G$21:$G$60))</f>
        <v/>
      </c>
      <c r="AB11" s="56">
        <f>IF(N(AA11)=0,"",SUMPRODUCT(($E$21:$E$60&gt;=$Z$4)*($E$21:$E$60&lt;=EOMONTH($Z11,0)),$F$21:$F$60,$G$21:$G$60)/AA11)</f>
        <v/>
      </c>
      <c r="AC11" s="59">
        <f>IF($C11="","",SUMPRODUCT(($L$21:$L$60&gt;=$Z$4)*($L$21:$L$60&lt;=EOMONTH($Z11,0)),$N$21:$N$60))</f>
        <v/>
      </c>
      <c r="AD11" s="56">
        <f>IF(N(AC11)=0,"",SUMPRODUCT(($L$21:$L$60&gt;=$Z$4)*($L$21:$L$60&lt;=EOMONTH($Z11,0)),$M$21:$M$60,$N$21:$N$60)/AC11)</f>
        <v/>
      </c>
      <c r="AE11" s="56">
        <f>IF(N(AA11)+N(AC11)=0,"",(N(AB11)*N(AA11)+N(AD11)*N(AC11))/(N(AA11)+N(AC11)))</f>
        <v/>
      </c>
    </row>
    <row r="12" ht="18.75" customHeight="1">
      <c r="A12" s="53" t="n">
        <v>9</v>
      </c>
      <c r="B12" s="54" t="n">
        <v>46539</v>
      </c>
      <c r="C12" s="53">
        <f>IF(JUN!$C$5="","",JUN!$C$5)</f>
        <v/>
      </c>
      <c r="D12" s="55" t="n"/>
      <c r="E12" s="56">
        <f>IF(JUN!$C$43="","",JUN!$C$43)</f>
        <v/>
      </c>
      <c r="F12" s="57">
        <f>IF(OR(C12="",D12=""),"",C12*D12)</f>
        <v/>
      </c>
      <c r="G12" s="58">
        <f>IF(OR(E12="",N(F12)=0),"",E12/F12)</f>
        <v/>
      </c>
      <c r="I12" s="53" t="n">
        <v>9</v>
      </c>
      <c r="J12" s="54" t="n">
        <v>46539</v>
      </c>
      <c r="K12" s="53">
        <f>C12</f>
        <v/>
      </c>
      <c r="L12" s="59">
        <f>IF(D12="","",D12)</f>
        <v/>
      </c>
      <c r="M12" s="56">
        <f>IF(JUN!$C$44="","",JUN!$C$44)</f>
        <v/>
      </c>
      <c r="N12" s="57">
        <f>IF(OR(K12="",L12=""),"",K12*L12)</f>
        <v/>
      </c>
      <c r="O12" s="58">
        <f>IF(OR(M12="",N(N12)=0),"",M12/N12)</f>
        <v/>
      </c>
      <c r="Q12" s="53" t="n">
        <v>9</v>
      </c>
      <c r="R12" s="54" t="n">
        <v>46539</v>
      </c>
      <c r="S12" s="53">
        <f>C12</f>
        <v/>
      </c>
      <c r="T12" s="59">
        <f>IF(D12="","",D12)</f>
        <v/>
      </c>
      <c r="U12" s="56">
        <f>IF(COUNT(E12,M12)=0,"",SUM(E12,M12))</f>
        <v/>
      </c>
      <c r="V12" s="57">
        <f>IF(OR(S12="",T12=""),"",S12*T12)</f>
        <v/>
      </c>
      <c r="W12" s="58">
        <f>IF(OR(U12="",N(V12)=0),"",U12/V12)</f>
        <v/>
      </c>
      <c r="Y12" s="53" t="n">
        <v>9</v>
      </c>
      <c r="Z12" s="54" t="n">
        <v>46539</v>
      </c>
      <c r="AA12" s="59">
        <f>IF($C12="","",SUMPRODUCT(($E$21:$E$60&gt;=$Z$4)*($E$21:$E$60&lt;=EOMONTH($Z12,0)),$G$21:$G$60))</f>
        <v/>
      </c>
      <c r="AB12" s="56">
        <f>IF(N(AA12)=0,"",SUMPRODUCT(($E$21:$E$60&gt;=$Z$4)*($E$21:$E$60&lt;=EOMONTH($Z12,0)),$F$21:$F$60,$G$21:$G$60)/AA12)</f>
        <v/>
      </c>
      <c r="AC12" s="59">
        <f>IF($C12="","",SUMPRODUCT(($L$21:$L$60&gt;=$Z$4)*($L$21:$L$60&lt;=EOMONTH($Z12,0)),$N$21:$N$60))</f>
        <v/>
      </c>
      <c r="AD12" s="56">
        <f>IF(N(AC12)=0,"",SUMPRODUCT(($L$21:$L$60&gt;=$Z$4)*($L$21:$L$60&lt;=EOMONTH($Z12,0)),$M$21:$M$60,$N$21:$N$60)/AC12)</f>
        <v/>
      </c>
      <c r="AE12" s="56">
        <f>IF(N(AA12)+N(AC12)=0,"",(N(AB12)*N(AA12)+N(AD12)*N(AC12))/(N(AA12)+N(AC12)))</f>
        <v/>
      </c>
    </row>
    <row r="13" ht="18.75" customHeight="1">
      <c r="A13" s="53" t="n">
        <v>10</v>
      </c>
      <c r="B13" s="54" t="n">
        <v>46569</v>
      </c>
      <c r="C13" s="53">
        <f>IF(JUL!$C$5="","",JUL!$C$5)</f>
        <v/>
      </c>
      <c r="D13" s="55" t="n"/>
      <c r="E13" s="56">
        <f>IF(JUL!$C$43="","",JUL!$C$43)</f>
        <v/>
      </c>
      <c r="F13" s="57">
        <f>IF(OR(C13="",D13=""),"",C13*D13)</f>
        <v/>
      </c>
      <c r="G13" s="58">
        <f>IF(OR(E13="",N(F13)=0),"",E13/F13)</f>
        <v/>
      </c>
      <c r="I13" s="53" t="n">
        <v>10</v>
      </c>
      <c r="J13" s="54" t="n">
        <v>46569</v>
      </c>
      <c r="K13" s="53">
        <f>C13</f>
        <v/>
      </c>
      <c r="L13" s="59">
        <f>IF(D13="","",D13)</f>
        <v/>
      </c>
      <c r="M13" s="56">
        <f>IF(JUL!$C$44="","",JUL!$C$44)</f>
        <v/>
      </c>
      <c r="N13" s="57">
        <f>IF(OR(K13="",L13=""),"",K13*L13)</f>
        <v/>
      </c>
      <c r="O13" s="58">
        <f>IF(OR(M13="",N(N13)=0),"",M13/N13)</f>
        <v/>
      </c>
      <c r="Q13" s="53" t="n">
        <v>10</v>
      </c>
      <c r="R13" s="54" t="n">
        <v>46569</v>
      </c>
      <c r="S13" s="53">
        <f>C13</f>
        <v/>
      </c>
      <c r="T13" s="59">
        <f>IF(D13="","",D13)</f>
        <v/>
      </c>
      <c r="U13" s="56">
        <f>IF(COUNT(E13,M13)=0,"",SUM(E13,M13))</f>
        <v/>
      </c>
      <c r="V13" s="57">
        <f>IF(OR(S13="",T13=""),"",S13*T13)</f>
        <v/>
      </c>
      <c r="W13" s="58">
        <f>IF(OR(U13="",N(V13)=0),"",U13/V13)</f>
        <v/>
      </c>
      <c r="Y13" s="53" t="n">
        <v>10</v>
      </c>
      <c r="Z13" s="54" t="n">
        <v>46569</v>
      </c>
      <c r="AA13" s="59">
        <f>IF($C13="","",SUMPRODUCT(($E$21:$E$60&gt;=$Z$4)*($E$21:$E$60&lt;=EOMONTH($Z13,0)),$G$21:$G$60))</f>
        <v/>
      </c>
      <c r="AB13" s="56">
        <f>IF(N(AA13)=0,"",SUMPRODUCT(($E$21:$E$60&gt;=$Z$4)*($E$21:$E$60&lt;=EOMONTH($Z13,0)),$F$21:$F$60,$G$21:$G$60)/AA13)</f>
        <v/>
      </c>
      <c r="AC13" s="59">
        <f>IF($C13="","",SUMPRODUCT(($L$21:$L$60&gt;=$Z$4)*($L$21:$L$60&lt;=EOMONTH($Z13,0)),$N$21:$N$60))</f>
        <v/>
      </c>
      <c r="AD13" s="56">
        <f>IF(N(AC13)=0,"",SUMPRODUCT(($L$21:$L$60&gt;=$Z$4)*($L$21:$L$60&lt;=EOMONTH($Z13,0)),$M$21:$M$60,$N$21:$N$60)/AC13)</f>
        <v/>
      </c>
      <c r="AE13" s="56">
        <f>IF(N(AA13)+N(AC13)=0,"",(N(AB13)*N(AA13)+N(AD13)*N(AC13))/(N(AA13)+N(AC13)))</f>
        <v/>
      </c>
    </row>
    <row r="14" ht="18.75" customHeight="1">
      <c r="A14" s="53" t="n">
        <v>11</v>
      </c>
      <c r="B14" s="54" t="n">
        <v>46600</v>
      </c>
      <c r="C14" s="53">
        <f>IF(AUG!$C$5="","",AUG!$C$5)</f>
        <v/>
      </c>
      <c r="D14" s="55" t="n"/>
      <c r="E14" s="56">
        <f>IF(AUG!$C$43="","",AUG!$C$43)</f>
        <v/>
      </c>
      <c r="F14" s="57">
        <f>IF(OR(C14="",D14=""),"",C14*D14)</f>
        <v/>
      </c>
      <c r="G14" s="58">
        <f>IF(OR(E14="",N(F14)=0),"",E14/F14)</f>
        <v/>
      </c>
      <c r="I14" s="53" t="n">
        <v>11</v>
      </c>
      <c r="J14" s="54" t="n">
        <v>46600</v>
      </c>
      <c r="K14" s="53">
        <f>C14</f>
        <v/>
      </c>
      <c r="L14" s="59">
        <f>IF(D14="","",D14)</f>
        <v/>
      </c>
      <c r="M14" s="56">
        <f>IF(AUG!$C$44="","",AUG!$C$44)</f>
        <v/>
      </c>
      <c r="N14" s="57">
        <f>IF(OR(K14="",L14=""),"",K14*L14)</f>
        <v/>
      </c>
      <c r="O14" s="58">
        <f>IF(OR(M14="",N(N14)=0),"",M14/N14)</f>
        <v/>
      </c>
      <c r="Q14" s="53" t="n">
        <v>11</v>
      </c>
      <c r="R14" s="54" t="n">
        <v>46600</v>
      </c>
      <c r="S14" s="53">
        <f>C14</f>
        <v/>
      </c>
      <c r="T14" s="59">
        <f>IF(D14="","",D14)</f>
        <v/>
      </c>
      <c r="U14" s="56">
        <f>IF(COUNT(E14,M14)=0,"",SUM(E14,M14))</f>
        <v/>
      </c>
      <c r="V14" s="57">
        <f>IF(OR(S14="",T14=""),"",S14*T14)</f>
        <v/>
      </c>
      <c r="W14" s="58">
        <f>IF(OR(U14="",N(V14)=0),"",U14/V14)</f>
        <v/>
      </c>
      <c r="Y14" s="53" t="n">
        <v>11</v>
      </c>
      <c r="Z14" s="54" t="n">
        <v>46600</v>
      </c>
      <c r="AA14" s="59">
        <f>IF($C14="","",SUMPRODUCT(($E$21:$E$60&gt;=$Z$4)*($E$21:$E$60&lt;=EOMONTH($Z14,0)),$G$21:$G$60))</f>
        <v/>
      </c>
      <c r="AB14" s="56">
        <f>IF(N(AA14)=0,"",SUMPRODUCT(($E$21:$E$60&gt;=$Z$4)*($E$21:$E$60&lt;=EOMONTH($Z14,0)),$F$21:$F$60,$G$21:$G$60)/AA14)</f>
        <v/>
      </c>
      <c r="AC14" s="59">
        <f>IF($C14="","",SUMPRODUCT(($L$21:$L$60&gt;=$Z$4)*($L$21:$L$60&lt;=EOMONTH($Z14,0)),$N$21:$N$60))</f>
        <v/>
      </c>
      <c r="AD14" s="56">
        <f>IF(N(AC14)=0,"",SUMPRODUCT(($L$21:$L$60&gt;=$Z$4)*($L$21:$L$60&lt;=EOMONTH($Z14,0)),$M$21:$M$60,$N$21:$N$60)/AC14)</f>
        <v/>
      </c>
      <c r="AE14" s="56">
        <f>IF(N(AA14)+N(AC14)=0,"",(N(AB14)*N(AA14)+N(AD14)*N(AC14))/(N(AA14)+N(AC14)))</f>
        <v/>
      </c>
    </row>
    <row r="15" ht="18.75" customHeight="1">
      <c r="A15" s="53" t="n">
        <v>12</v>
      </c>
      <c r="B15" s="54" t="n">
        <v>46631</v>
      </c>
      <c r="C15" s="53">
        <f>IF(SEP!$C$5="","",SEP!$C$5)</f>
        <v/>
      </c>
      <c r="D15" s="55" t="n"/>
      <c r="E15" s="56">
        <f>IF(SEP!$C$43="","",SEP!$C$43)</f>
        <v/>
      </c>
      <c r="F15" s="57">
        <f>IF(OR(C15="",D15=""),"",C15*D15)</f>
        <v/>
      </c>
      <c r="G15" s="58">
        <f>IF(OR(E15="",N(F15)=0),"",E15/F15)</f>
        <v/>
      </c>
      <c r="I15" s="53" t="n">
        <v>12</v>
      </c>
      <c r="J15" s="54" t="n">
        <v>46631</v>
      </c>
      <c r="K15" s="53">
        <f>C15</f>
        <v/>
      </c>
      <c r="L15" s="59">
        <f>IF(D15="","",D15)</f>
        <v/>
      </c>
      <c r="M15" s="56">
        <f>IF(SEP!$C$44="","",SEP!$C$44)</f>
        <v/>
      </c>
      <c r="N15" s="57">
        <f>IF(OR(K15="",L15=""),"",K15*L15)</f>
        <v/>
      </c>
      <c r="O15" s="58">
        <f>IF(OR(M15="",N(N15)=0),"",M15/N15)</f>
        <v/>
      </c>
      <c r="Q15" s="53" t="n">
        <v>12</v>
      </c>
      <c r="R15" s="54" t="n">
        <v>46631</v>
      </c>
      <c r="S15" s="53">
        <f>C15</f>
        <v/>
      </c>
      <c r="T15" s="59">
        <f>IF(D15="","",D15)</f>
        <v/>
      </c>
      <c r="U15" s="56">
        <f>IF(COUNT(E15,M15)=0,"",SUM(E15,M15))</f>
        <v/>
      </c>
      <c r="V15" s="57">
        <f>IF(OR(S15="",T15=""),"",S15*T15)</f>
        <v/>
      </c>
      <c r="W15" s="58">
        <f>IF(OR(U15="",N(V15)=0),"",U15/V15)</f>
        <v/>
      </c>
      <c r="Y15" s="53" t="n">
        <v>12</v>
      </c>
      <c r="Z15" s="54" t="n">
        <v>46631</v>
      </c>
      <c r="AA15" s="59">
        <f>IF($C15="","",SUMPRODUCT(($E$21:$E$60&gt;=$Z$4)*($E$21:$E$60&lt;=EOMONTH($Z15,0)),$G$21:$G$60))</f>
        <v/>
      </c>
      <c r="AB15" s="56">
        <f>IF(N(AA15)=0,"",SUMPRODUCT(($E$21:$E$60&gt;=$Z$4)*($E$21:$E$60&lt;=EOMONTH($Z15,0)),$F$21:$F$60,$G$21:$G$60)/AA15)</f>
        <v/>
      </c>
      <c r="AC15" s="59">
        <f>IF($C15="","",SUMPRODUCT(($L$21:$L$60&gt;=$Z$4)*($L$21:$L$60&lt;=EOMONTH($Z15,0)),$N$21:$N$60))</f>
        <v/>
      </c>
      <c r="AD15" s="56">
        <f>IF(N(AC15)=0,"",SUMPRODUCT(($L$21:$L$60&gt;=$Z$4)*($L$21:$L$60&lt;=EOMONTH($Z15,0)),$M$21:$M$60,$N$21:$N$60)/AC15)</f>
        <v/>
      </c>
      <c r="AE15" s="56">
        <f>IF(N(AA15)+N(AC15)=0,"",(N(AB15)*N(AA15)+N(AD15)*N(AC15))/(N(AA15)+N(AC15)))</f>
        <v/>
      </c>
    </row>
    <row r="16" ht="18.75" customHeight="1">
      <c r="A16" s="60" t="n"/>
      <c r="B16" s="60" t="n"/>
      <c r="C16" s="60" t="n"/>
      <c r="D16" s="61" t="inlineStr">
        <is>
          <t>Total YTD</t>
        </is>
      </c>
      <c r="E16" s="62">
        <f>IF(COUNT(E4:E15)=0,"",SUM(E4:E15))</f>
        <v/>
      </c>
      <c r="F16" s="63">
        <f>SUMPRODUCT(--ISNUMBER(E4:E15),F4:F15)</f>
        <v/>
      </c>
      <c r="G16" s="64">
        <f>IF(COUNT(E4:E15)=0,"",IFERROR(E16/F16,""))</f>
        <v/>
      </c>
      <c r="I16" s="60" t="n"/>
      <c r="J16" s="60" t="n"/>
      <c r="K16" s="60" t="n"/>
      <c r="L16" s="61" t="inlineStr">
        <is>
          <t>Total YTD</t>
        </is>
      </c>
      <c r="M16" s="62">
        <f>IF(COUNT(M4:M15)=0,"",SUM(M4:M15))</f>
        <v/>
      </c>
      <c r="N16" s="63">
        <f>SUMPRODUCT(--ISNUMBER(M4:M15),N4:N15)</f>
        <v/>
      </c>
      <c r="O16" s="64">
        <f>IF(COUNT(M4:M15)=0,"",IFERROR(M16/N16,""))</f>
        <v/>
      </c>
      <c r="Q16" s="60" t="n"/>
      <c r="R16" s="60" t="n"/>
      <c r="S16" s="60" t="n"/>
      <c r="T16" s="61" t="inlineStr">
        <is>
          <t>Total YTD</t>
        </is>
      </c>
      <c r="U16" s="62">
        <f>IF(COUNT(U4:U15)=0,"",SUM(U4:U15))</f>
        <v/>
      </c>
      <c r="V16" s="63">
        <f>SUMPRODUCT(--ISNUMBER(U4:U15),V4:V15)</f>
        <v/>
      </c>
      <c r="W16" s="64">
        <f>IF(COUNT(U4:U15)=0,"",IFERROR(U16/V16,""))</f>
        <v/>
      </c>
      <c r="Y16" s="60" t="n"/>
      <c r="Z16" s="61" t="inlineStr">
        <is>
          <t>FY2027 YTD</t>
        </is>
      </c>
      <c r="AA16" s="65">
        <f>SUMPRODUCT(($E$21:$E$60&gt;=$Z$4)*($E$21:$E$60&lt;=EOMONTH($Z$15,0)),$G$21:$G$60)</f>
        <v/>
      </c>
      <c r="AB16" s="62">
        <f>IF(N(AA16)=0,"",SUMPRODUCT(($E$21:$E$60&gt;=$Z$4)*($E$21:$E$60&lt;=EOMONTH($Z$15,0)),$F$21:$F$60,$G$21:$G$60)/AA16)</f>
        <v/>
      </c>
      <c r="AC16" s="65">
        <f>SUMPRODUCT(($L$21:$L$60&gt;=$Z$4)*($L$21:$L$60&lt;=EOMONTH($Z$15,0)),$N$21:$N$60)</f>
        <v/>
      </c>
      <c r="AD16" s="62">
        <f>IF(N(AC16)=0,"",SUMPRODUCT(($L$21:$L$60&gt;=$Z$4)*($L$21:$L$60&lt;=EOMONTH($Z$15,0)),$M$21:$M$60,$N$21:$N$60)/AC16)</f>
        <v/>
      </c>
      <c r="AE16" s="62">
        <f>IF(N(AA16)+N(AC16)=0,"",(N(AB16)*N(AA16)+N(AD16)*N(AC16))/(N(AA16)+N(AC16)))</f>
        <v/>
      </c>
    </row>
    <row r="17">
      <c r="Y17" s="66" t="inlineStr">
        <is>
          <t>Only contracts signed within FY2027 (Oct-2026 to the month shown) are counted; weighted by posts filled.</t>
        </is>
      </c>
    </row>
    <row r="18" ht="24.75" customHeight="1">
      <c r="A18" s="40">
        <f>A1</f>
        <v/>
      </c>
      <c r="B18" s="41" t="n"/>
      <c r="C18" s="42" t="n"/>
      <c r="D18" s="40" t="inlineStr">
        <is>
          <t>TIME TO HIRE YTD (Days)</t>
        </is>
      </c>
      <c r="E18" s="44" t="n"/>
      <c r="F18" s="46">
        <f>AB16</f>
        <v/>
      </c>
      <c r="G18" s="44" t="n"/>
      <c r="H18" s="40">
        <f>A1</f>
        <v/>
      </c>
      <c r="I18" s="41" t="n"/>
      <c r="J18" s="42" t="n"/>
      <c r="K18" s="40" t="inlineStr">
        <is>
          <t>TIME TO HIRE YTD (Days)</t>
        </is>
      </c>
      <c r="L18" s="44" t="n"/>
      <c r="M18" s="46">
        <f>AD16</f>
        <v/>
      </c>
      <c r="N18" s="44" t="n"/>
    </row>
    <row r="19" ht="21.75" customHeight="1">
      <c r="A19" s="47" t="inlineStr">
        <is>
          <t>PERMANENT EE</t>
        </is>
      </c>
      <c r="B19" s="41" t="n"/>
      <c r="C19" s="42" t="n"/>
      <c r="D19" s="48" t="n"/>
      <c r="E19" s="50" t="n"/>
      <c r="F19" s="48" t="n"/>
      <c r="G19" s="50" t="n"/>
      <c r="H19" s="47" t="inlineStr">
        <is>
          <t>TEMPORARY EE</t>
        </is>
      </c>
      <c r="I19" s="41" t="n"/>
      <c r="J19" s="42" t="n"/>
      <c r="K19" s="48" t="n"/>
      <c r="L19" s="50" t="n"/>
      <c r="M19" s="48" t="n"/>
      <c r="N19" s="50" t="n"/>
    </row>
    <row r="20" ht="60" customHeight="1">
      <c r="A20" s="52" t="inlineStr">
        <is>
          <t>No.</t>
        </is>
      </c>
      <c r="B20" s="52" t="inlineStr">
        <is>
          <t>Job Title</t>
        </is>
      </c>
      <c r="C20" s="52" t="inlineStr">
        <is>
          <t>No. of Posts</t>
        </is>
      </c>
      <c r="D20" s="52" t="inlineStr">
        <is>
          <t>Job Opening Date (mm/dd/yyyy)</t>
        </is>
      </c>
      <c r="E20" s="52" t="inlineStr">
        <is>
          <t>Contract Signed Date (mm/dd/yyyy)</t>
        </is>
      </c>
      <c r="F20" s="52" t="inlineStr">
        <is>
          <t>Time to Hire by Position (Days)</t>
        </is>
      </c>
      <c r="G20" s="52" t="inlineStr">
        <is>
          <t>Posts Filled (auto)</t>
        </is>
      </c>
      <c r="H20" s="52" t="inlineStr">
        <is>
          <t>No.</t>
        </is>
      </c>
      <c r="I20" s="52" t="inlineStr">
        <is>
          <t>Job Title</t>
        </is>
      </c>
      <c r="J20" s="52" t="inlineStr">
        <is>
          <t>No. of Posts</t>
        </is>
      </c>
      <c r="K20" s="52" t="inlineStr">
        <is>
          <t>Job Opening Date (mm/dd/yyyy)</t>
        </is>
      </c>
      <c r="L20" s="52" t="inlineStr">
        <is>
          <t>Contract Signed Date (mm/dd/yyyy)</t>
        </is>
      </c>
      <c r="M20" s="52" t="inlineStr">
        <is>
          <t>Time to Hire by Position (Days)</t>
        </is>
      </c>
      <c r="N20" s="52" t="inlineStr">
        <is>
          <t>Posts Filled (auto)</t>
        </is>
      </c>
    </row>
    <row r="21">
      <c r="A21" s="53" t="n">
        <v>1</v>
      </c>
      <c r="B21" s="67" t="n"/>
      <c r="C21" s="55" t="n"/>
      <c r="D21" s="68" t="n"/>
      <c r="E21" s="68" t="n"/>
      <c r="F21" s="59">
        <f>IF(OR(E21="",D21=""),"",MAX(E21-D21,0))</f>
        <v/>
      </c>
      <c r="G21" s="59">
        <f>IF(F21="","",IF(N(C21)=0,1,C21))</f>
        <v/>
      </c>
      <c r="H21" s="53" t="n">
        <v>1</v>
      </c>
      <c r="I21" s="67" t="n"/>
      <c r="J21" s="55" t="n"/>
      <c r="K21" s="68" t="n"/>
      <c r="L21" s="68" t="n"/>
      <c r="M21" s="59">
        <f>IF(OR(L21="",K21=""),"",MAX(L21-K21,0))</f>
        <v/>
      </c>
      <c r="N21" s="59">
        <f>IF(M21="","",IF(N(J21)=0,1,J21))</f>
        <v/>
      </c>
    </row>
    <row r="22">
      <c r="A22" s="53" t="n">
        <v>2</v>
      </c>
      <c r="B22" s="67" t="n"/>
      <c r="C22" s="55" t="n"/>
      <c r="D22" s="68" t="n"/>
      <c r="E22" s="68" t="n"/>
      <c r="F22" s="59">
        <f>IF(OR(E22="",D22=""),"",MAX(E22-D22,0))</f>
        <v/>
      </c>
      <c r="G22" s="59">
        <f>IF(F22="","",IF(N(C22)=0,1,C22))</f>
        <v/>
      </c>
      <c r="H22" s="53" t="n">
        <v>2</v>
      </c>
      <c r="I22" s="67" t="n"/>
      <c r="J22" s="55" t="n"/>
      <c r="K22" s="68" t="n"/>
      <c r="L22" s="68" t="n"/>
      <c r="M22" s="59">
        <f>IF(OR(L22="",K22=""),"",MAX(L22-K22,0))</f>
        <v/>
      </c>
      <c r="N22" s="59">
        <f>IF(M22="","",IF(N(J22)=0,1,J22))</f>
        <v/>
      </c>
    </row>
    <row r="23">
      <c r="A23" s="53" t="n">
        <v>3</v>
      </c>
      <c r="B23" s="67" t="n"/>
      <c r="C23" s="55" t="n"/>
      <c r="D23" s="68" t="n"/>
      <c r="E23" s="68" t="n"/>
      <c r="F23" s="59">
        <f>IF(OR(E23="",D23=""),"",MAX(E23-D23,0))</f>
        <v/>
      </c>
      <c r="G23" s="59">
        <f>IF(F23="","",IF(N(C23)=0,1,C23))</f>
        <v/>
      </c>
      <c r="H23" s="53" t="n">
        <v>3</v>
      </c>
      <c r="I23" s="67" t="n"/>
      <c r="J23" s="55" t="n"/>
      <c r="K23" s="68" t="n"/>
      <c r="L23" s="68" t="n"/>
      <c r="M23" s="59">
        <f>IF(OR(L23="",K23=""),"",MAX(L23-K23,0))</f>
        <v/>
      </c>
      <c r="N23" s="59">
        <f>IF(M23="","",IF(N(J23)=0,1,J23))</f>
        <v/>
      </c>
    </row>
    <row r="24">
      <c r="A24" s="53" t="n">
        <v>4</v>
      </c>
      <c r="B24" s="67" t="n"/>
      <c r="C24" s="55" t="n"/>
      <c r="D24" s="68" t="n"/>
      <c r="E24" s="68" t="n"/>
      <c r="F24" s="59">
        <f>IF(OR(E24="",D24=""),"",MAX(E24-D24,0))</f>
        <v/>
      </c>
      <c r="G24" s="59">
        <f>IF(F24="","",IF(N(C24)=0,1,C24))</f>
        <v/>
      </c>
      <c r="H24" s="53" t="n">
        <v>4</v>
      </c>
      <c r="I24" s="67" t="n"/>
      <c r="J24" s="55" t="n"/>
      <c r="K24" s="68" t="n"/>
      <c r="L24" s="68" t="n"/>
      <c r="M24" s="59">
        <f>IF(OR(L24="",K24=""),"",MAX(L24-K24,0))</f>
        <v/>
      </c>
      <c r="N24" s="59">
        <f>IF(M24="","",IF(N(J24)=0,1,J24))</f>
        <v/>
      </c>
    </row>
    <row r="25">
      <c r="A25" s="53" t="n">
        <v>5</v>
      </c>
      <c r="B25" s="67" t="n"/>
      <c r="C25" s="55" t="n"/>
      <c r="D25" s="68" t="n"/>
      <c r="E25" s="68" t="n"/>
      <c r="F25" s="59">
        <f>IF(OR(E25="",D25=""),"",MAX(E25-D25,0))</f>
        <v/>
      </c>
      <c r="G25" s="59">
        <f>IF(F25="","",IF(N(C25)=0,1,C25))</f>
        <v/>
      </c>
      <c r="H25" s="53" t="n">
        <v>5</v>
      </c>
      <c r="I25" s="67" t="n"/>
      <c r="J25" s="55" t="n"/>
      <c r="K25" s="68" t="n"/>
      <c r="L25" s="68" t="n"/>
      <c r="M25" s="59">
        <f>IF(OR(L25="",K25=""),"",MAX(L25-K25,0))</f>
        <v/>
      </c>
      <c r="N25" s="59">
        <f>IF(M25="","",IF(N(J25)=0,1,J25))</f>
        <v/>
      </c>
    </row>
    <row r="26">
      <c r="A26" s="53" t="n">
        <v>6</v>
      </c>
      <c r="B26" s="67" t="n"/>
      <c r="C26" s="55" t="n"/>
      <c r="D26" s="68" t="n"/>
      <c r="E26" s="68" t="n"/>
      <c r="F26" s="59">
        <f>IF(OR(E26="",D26=""),"",MAX(E26-D26,0))</f>
        <v/>
      </c>
      <c r="G26" s="59">
        <f>IF(F26="","",IF(N(C26)=0,1,C26))</f>
        <v/>
      </c>
      <c r="H26" s="53" t="n">
        <v>6</v>
      </c>
      <c r="I26" s="67" t="n"/>
      <c r="J26" s="55" t="n"/>
      <c r="K26" s="68" t="n"/>
      <c r="L26" s="68" t="n"/>
      <c r="M26" s="59">
        <f>IF(OR(L26="",K26=""),"",MAX(L26-K26,0))</f>
        <v/>
      </c>
      <c r="N26" s="59">
        <f>IF(M26="","",IF(N(J26)=0,1,J26))</f>
        <v/>
      </c>
    </row>
    <row r="27">
      <c r="A27" s="53" t="n">
        <v>7</v>
      </c>
      <c r="B27" s="67" t="n"/>
      <c r="C27" s="55" t="n"/>
      <c r="D27" s="68" t="n"/>
      <c r="E27" s="68" t="n"/>
      <c r="F27" s="59">
        <f>IF(OR(E27="",D27=""),"",MAX(E27-D27,0))</f>
        <v/>
      </c>
      <c r="G27" s="59">
        <f>IF(F27="","",IF(N(C27)=0,1,C27))</f>
        <v/>
      </c>
      <c r="H27" s="53" t="n">
        <v>7</v>
      </c>
      <c r="I27" s="67" t="n"/>
      <c r="J27" s="55" t="n"/>
      <c r="K27" s="68" t="n"/>
      <c r="L27" s="68" t="n"/>
      <c r="M27" s="59">
        <f>IF(OR(L27="",K27=""),"",MAX(L27-K27,0))</f>
        <v/>
      </c>
      <c r="N27" s="59">
        <f>IF(M27="","",IF(N(J27)=0,1,J27))</f>
        <v/>
      </c>
    </row>
    <row r="28">
      <c r="A28" s="53" t="n">
        <v>8</v>
      </c>
      <c r="B28" s="67" t="n"/>
      <c r="C28" s="55" t="n"/>
      <c r="D28" s="68" t="n"/>
      <c r="E28" s="68" t="n"/>
      <c r="F28" s="59">
        <f>IF(OR(E28="",D28=""),"",MAX(E28-D28,0))</f>
        <v/>
      </c>
      <c r="G28" s="59">
        <f>IF(F28="","",IF(N(C28)=0,1,C28))</f>
        <v/>
      </c>
      <c r="H28" s="53" t="n">
        <v>8</v>
      </c>
      <c r="I28" s="67" t="n"/>
      <c r="J28" s="55" t="n"/>
      <c r="K28" s="68" t="n"/>
      <c r="L28" s="68" t="n"/>
      <c r="M28" s="59">
        <f>IF(OR(L28="",K28=""),"",MAX(L28-K28,0))</f>
        <v/>
      </c>
      <c r="N28" s="59">
        <f>IF(M28="","",IF(N(J28)=0,1,J28))</f>
        <v/>
      </c>
    </row>
    <row r="29">
      <c r="A29" s="53" t="n">
        <v>9</v>
      </c>
      <c r="B29" s="67" t="n"/>
      <c r="C29" s="55" t="n"/>
      <c r="D29" s="68" t="n"/>
      <c r="E29" s="68" t="n"/>
      <c r="F29" s="59">
        <f>IF(OR(E29="",D29=""),"",MAX(E29-D29,0))</f>
        <v/>
      </c>
      <c r="G29" s="59">
        <f>IF(F29="","",IF(N(C29)=0,1,C29))</f>
        <v/>
      </c>
      <c r="H29" s="53" t="n">
        <v>9</v>
      </c>
      <c r="I29" s="67" t="n"/>
      <c r="J29" s="55" t="n"/>
      <c r="K29" s="68" t="n"/>
      <c r="L29" s="68" t="n"/>
      <c r="M29" s="59">
        <f>IF(OR(L29="",K29=""),"",MAX(L29-K29,0))</f>
        <v/>
      </c>
      <c r="N29" s="59">
        <f>IF(M29="","",IF(N(J29)=0,1,J29))</f>
        <v/>
      </c>
    </row>
    <row r="30">
      <c r="A30" s="53" t="n">
        <v>10</v>
      </c>
      <c r="B30" s="67" t="n"/>
      <c r="C30" s="55" t="n"/>
      <c r="D30" s="68" t="n"/>
      <c r="E30" s="68" t="n"/>
      <c r="F30" s="59">
        <f>IF(OR(E30="",D30=""),"",MAX(E30-D30,0))</f>
        <v/>
      </c>
      <c r="G30" s="59">
        <f>IF(F30="","",IF(N(C30)=0,1,C30))</f>
        <v/>
      </c>
      <c r="H30" s="53" t="n">
        <v>10</v>
      </c>
      <c r="I30" s="67" t="n"/>
      <c r="J30" s="55" t="n"/>
      <c r="K30" s="68" t="n"/>
      <c r="L30" s="68" t="n"/>
      <c r="M30" s="59">
        <f>IF(OR(L30="",K30=""),"",MAX(L30-K30,0))</f>
        <v/>
      </c>
      <c r="N30" s="59">
        <f>IF(M30="","",IF(N(J30)=0,1,J30))</f>
        <v/>
      </c>
    </row>
    <row r="31">
      <c r="A31" s="53" t="n">
        <v>11</v>
      </c>
      <c r="B31" s="67" t="n"/>
      <c r="C31" s="55" t="n"/>
      <c r="D31" s="68" t="n"/>
      <c r="E31" s="68" t="n"/>
      <c r="F31" s="59">
        <f>IF(OR(E31="",D31=""),"",MAX(E31-D31,0))</f>
        <v/>
      </c>
      <c r="G31" s="59">
        <f>IF(F31="","",IF(N(C31)=0,1,C31))</f>
        <v/>
      </c>
      <c r="H31" s="53" t="n">
        <v>11</v>
      </c>
      <c r="I31" s="67" t="n"/>
      <c r="J31" s="55" t="n"/>
      <c r="K31" s="68" t="n"/>
      <c r="L31" s="68" t="n"/>
      <c r="M31" s="59">
        <f>IF(OR(L31="",K31=""),"",MAX(L31-K31,0))</f>
        <v/>
      </c>
      <c r="N31" s="59">
        <f>IF(M31="","",IF(N(J31)=0,1,J31))</f>
        <v/>
      </c>
    </row>
    <row r="32">
      <c r="A32" s="53" t="n">
        <v>12</v>
      </c>
      <c r="B32" s="67" t="n"/>
      <c r="C32" s="55" t="n"/>
      <c r="D32" s="68" t="n"/>
      <c r="E32" s="68" t="n"/>
      <c r="F32" s="59">
        <f>IF(OR(E32="",D32=""),"",MAX(E32-D32,0))</f>
        <v/>
      </c>
      <c r="G32" s="59">
        <f>IF(F32="","",IF(N(C32)=0,1,C32))</f>
        <v/>
      </c>
      <c r="H32" s="53" t="n">
        <v>12</v>
      </c>
      <c r="I32" s="67" t="n"/>
      <c r="J32" s="55" t="n"/>
      <c r="K32" s="68" t="n"/>
      <c r="L32" s="68" t="n"/>
      <c r="M32" s="59">
        <f>IF(OR(L32="",K32=""),"",MAX(L32-K32,0))</f>
        <v/>
      </c>
      <c r="N32" s="59">
        <f>IF(M32="","",IF(N(J32)=0,1,J32))</f>
        <v/>
      </c>
    </row>
    <row r="33">
      <c r="A33" s="53" t="n">
        <v>13</v>
      </c>
      <c r="B33" s="67" t="n"/>
      <c r="C33" s="55" t="n"/>
      <c r="D33" s="68" t="n"/>
      <c r="E33" s="68" t="n"/>
      <c r="F33" s="59">
        <f>IF(OR(E33="",D33=""),"",MAX(E33-D33,0))</f>
        <v/>
      </c>
      <c r="G33" s="59">
        <f>IF(F33="","",IF(N(C33)=0,1,C33))</f>
        <v/>
      </c>
      <c r="H33" s="53" t="n">
        <v>13</v>
      </c>
      <c r="I33" s="67" t="n"/>
      <c r="J33" s="55" t="n"/>
      <c r="K33" s="68" t="n"/>
      <c r="L33" s="68" t="n"/>
      <c r="M33" s="59">
        <f>IF(OR(L33="",K33=""),"",MAX(L33-K33,0))</f>
        <v/>
      </c>
      <c r="N33" s="59">
        <f>IF(M33="","",IF(N(J33)=0,1,J33))</f>
        <v/>
      </c>
    </row>
    <row r="34">
      <c r="A34" s="53" t="n">
        <v>14</v>
      </c>
      <c r="B34" s="67" t="n"/>
      <c r="C34" s="55" t="n"/>
      <c r="D34" s="68" t="n"/>
      <c r="E34" s="68" t="n"/>
      <c r="F34" s="59">
        <f>IF(OR(E34="",D34=""),"",MAX(E34-D34,0))</f>
        <v/>
      </c>
      <c r="G34" s="59">
        <f>IF(F34="","",IF(N(C34)=0,1,C34))</f>
        <v/>
      </c>
      <c r="H34" s="53" t="n">
        <v>14</v>
      </c>
      <c r="I34" s="67" t="n"/>
      <c r="J34" s="55" t="n"/>
      <c r="K34" s="68" t="n"/>
      <c r="L34" s="68" t="n"/>
      <c r="M34" s="59">
        <f>IF(OR(L34="",K34=""),"",MAX(L34-K34,0))</f>
        <v/>
      </c>
      <c r="N34" s="59">
        <f>IF(M34="","",IF(N(J34)=0,1,J34))</f>
        <v/>
      </c>
    </row>
    <row r="35">
      <c r="A35" s="53" t="n">
        <v>15</v>
      </c>
      <c r="B35" s="67" t="n"/>
      <c r="C35" s="55" t="n"/>
      <c r="D35" s="68" t="n"/>
      <c r="E35" s="68" t="n"/>
      <c r="F35" s="59">
        <f>IF(OR(E35="",D35=""),"",MAX(E35-D35,0))</f>
        <v/>
      </c>
      <c r="G35" s="59">
        <f>IF(F35="","",IF(N(C35)=0,1,C35))</f>
        <v/>
      </c>
      <c r="H35" s="53" t="n">
        <v>15</v>
      </c>
      <c r="I35" s="67" t="n"/>
      <c r="J35" s="55" t="n"/>
      <c r="K35" s="68" t="n"/>
      <c r="L35" s="68" t="n"/>
      <c r="M35" s="59">
        <f>IF(OR(L35="",K35=""),"",MAX(L35-K35,0))</f>
        <v/>
      </c>
      <c r="N35" s="59">
        <f>IF(M35="","",IF(N(J35)=0,1,J35))</f>
        <v/>
      </c>
    </row>
    <row r="36">
      <c r="A36" s="53" t="n">
        <v>16</v>
      </c>
      <c r="B36" s="67" t="n"/>
      <c r="C36" s="55" t="n"/>
      <c r="D36" s="68" t="n"/>
      <c r="E36" s="68" t="n"/>
      <c r="F36" s="59">
        <f>IF(OR(E36="",D36=""),"",MAX(E36-D36,0))</f>
        <v/>
      </c>
      <c r="G36" s="59">
        <f>IF(F36="","",IF(N(C36)=0,1,C36))</f>
        <v/>
      </c>
      <c r="H36" s="53" t="n">
        <v>16</v>
      </c>
      <c r="I36" s="67" t="n"/>
      <c r="J36" s="55" t="n"/>
      <c r="K36" s="68" t="n"/>
      <c r="L36" s="68" t="n"/>
      <c r="M36" s="59">
        <f>IF(OR(L36="",K36=""),"",MAX(L36-K36,0))</f>
        <v/>
      </c>
      <c r="N36" s="59">
        <f>IF(M36="","",IF(N(J36)=0,1,J36))</f>
        <v/>
      </c>
    </row>
    <row r="37">
      <c r="A37" s="53" t="n">
        <v>17</v>
      </c>
      <c r="B37" s="67" t="n"/>
      <c r="C37" s="55" t="n"/>
      <c r="D37" s="68" t="n"/>
      <c r="E37" s="68" t="n"/>
      <c r="F37" s="59">
        <f>IF(OR(E37="",D37=""),"",MAX(E37-D37,0))</f>
        <v/>
      </c>
      <c r="G37" s="59">
        <f>IF(F37="","",IF(N(C37)=0,1,C37))</f>
        <v/>
      </c>
      <c r="H37" s="53" t="n">
        <v>17</v>
      </c>
      <c r="I37" s="67" t="n"/>
      <c r="J37" s="55" t="n"/>
      <c r="K37" s="68" t="n"/>
      <c r="L37" s="68" t="n"/>
      <c r="M37" s="59">
        <f>IF(OR(L37="",K37=""),"",MAX(L37-K37,0))</f>
        <v/>
      </c>
      <c r="N37" s="59">
        <f>IF(M37="","",IF(N(J37)=0,1,J37))</f>
        <v/>
      </c>
    </row>
    <row r="38">
      <c r="A38" s="53" t="n">
        <v>18</v>
      </c>
      <c r="B38" s="67" t="n"/>
      <c r="C38" s="55" t="n"/>
      <c r="D38" s="68" t="n"/>
      <c r="E38" s="68" t="n"/>
      <c r="F38" s="59">
        <f>IF(OR(E38="",D38=""),"",MAX(E38-D38,0))</f>
        <v/>
      </c>
      <c r="G38" s="59">
        <f>IF(F38="","",IF(N(C38)=0,1,C38))</f>
        <v/>
      </c>
      <c r="H38" s="53" t="n">
        <v>18</v>
      </c>
      <c r="I38" s="67" t="n"/>
      <c r="J38" s="55" t="n"/>
      <c r="K38" s="68" t="n"/>
      <c r="L38" s="68" t="n"/>
      <c r="M38" s="59">
        <f>IF(OR(L38="",K38=""),"",MAX(L38-K38,0))</f>
        <v/>
      </c>
      <c r="N38" s="59">
        <f>IF(M38="","",IF(N(J38)=0,1,J38))</f>
        <v/>
      </c>
    </row>
    <row r="39">
      <c r="A39" s="53" t="n">
        <v>19</v>
      </c>
      <c r="B39" s="67" t="n"/>
      <c r="C39" s="55" t="n"/>
      <c r="D39" s="68" t="n"/>
      <c r="E39" s="68" t="n"/>
      <c r="F39" s="59">
        <f>IF(OR(E39="",D39=""),"",MAX(E39-D39,0))</f>
        <v/>
      </c>
      <c r="G39" s="59">
        <f>IF(F39="","",IF(N(C39)=0,1,C39))</f>
        <v/>
      </c>
      <c r="H39" s="53" t="n">
        <v>19</v>
      </c>
      <c r="I39" s="67" t="n"/>
      <c r="J39" s="55" t="n"/>
      <c r="K39" s="68" t="n"/>
      <c r="L39" s="68" t="n"/>
      <c r="M39" s="59">
        <f>IF(OR(L39="",K39=""),"",MAX(L39-K39,0))</f>
        <v/>
      </c>
      <c r="N39" s="59">
        <f>IF(M39="","",IF(N(J39)=0,1,J39))</f>
        <v/>
      </c>
    </row>
    <row r="40">
      <c r="A40" s="53" t="n">
        <v>20</v>
      </c>
      <c r="B40" s="67" t="n"/>
      <c r="C40" s="55" t="n"/>
      <c r="D40" s="68" t="n"/>
      <c r="E40" s="68" t="n"/>
      <c r="F40" s="59">
        <f>IF(OR(E40="",D40=""),"",MAX(E40-D40,0))</f>
        <v/>
      </c>
      <c r="G40" s="59">
        <f>IF(F40="","",IF(N(C40)=0,1,C40))</f>
        <v/>
      </c>
      <c r="H40" s="53" t="n">
        <v>20</v>
      </c>
      <c r="I40" s="67" t="n"/>
      <c r="J40" s="55" t="n"/>
      <c r="K40" s="68" t="n"/>
      <c r="L40" s="68" t="n"/>
      <c r="M40" s="59">
        <f>IF(OR(L40="",K40=""),"",MAX(L40-K40,0))</f>
        <v/>
      </c>
      <c r="N40" s="59">
        <f>IF(M40="","",IF(N(J40)=0,1,J40))</f>
        <v/>
      </c>
    </row>
    <row r="41">
      <c r="A41" s="53" t="n">
        <v>21</v>
      </c>
      <c r="B41" s="67" t="n"/>
      <c r="C41" s="55" t="n"/>
      <c r="D41" s="68" t="n"/>
      <c r="E41" s="68" t="n"/>
      <c r="F41" s="59">
        <f>IF(OR(E41="",D41=""),"",MAX(E41-D41,0))</f>
        <v/>
      </c>
      <c r="G41" s="59">
        <f>IF(F41="","",IF(N(C41)=0,1,C41))</f>
        <v/>
      </c>
      <c r="H41" s="53" t="n">
        <v>21</v>
      </c>
      <c r="I41" s="67" t="n"/>
      <c r="J41" s="55" t="n"/>
      <c r="K41" s="68" t="n"/>
      <c r="L41" s="68" t="n"/>
      <c r="M41" s="59">
        <f>IF(OR(L41="",K41=""),"",MAX(L41-K41,0))</f>
        <v/>
      </c>
      <c r="N41" s="59">
        <f>IF(M41="","",IF(N(J41)=0,1,J41))</f>
        <v/>
      </c>
    </row>
    <row r="42">
      <c r="A42" s="53" t="n">
        <v>22</v>
      </c>
      <c r="B42" s="67" t="n"/>
      <c r="C42" s="55" t="n"/>
      <c r="D42" s="68" t="n"/>
      <c r="E42" s="68" t="n"/>
      <c r="F42" s="59">
        <f>IF(OR(E42="",D42=""),"",MAX(E42-D42,0))</f>
        <v/>
      </c>
      <c r="G42" s="59">
        <f>IF(F42="","",IF(N(C42)=0,1,C42))</f>
        <v/>
      </c>
      <c r="H42" s="53" t="n">
        <v>22</v>
      </c>
      <c r="I42" s="67" t="n"/>
      <c r="J42" s="55" t="n"/>
      <c r="K42" s="68" t="n"/>
      <c r="L42" s="68" t="n"/>
      <c r="M42" s="59">
        <f>IF(OR(L42="",K42=""),"",MAX(L42-K42,0))</f>
        <v/>
      </c>
      <c r="N42" s="59">
        <f>IF(M42="","",IF(N(J42)=0,1,J42))</f>
        <v/>
      </c>
    </row>
    <row r="43">
      <c r="A43" s="53" t="n">
        <v>23</v>
      </c>
      <c r="B43" s="67" t="n"/>
      <c r="C43" s="55" t="n"/>
      <c r="D43" s="68" t="n"/>
      <c r="E43" s="68" t="n"/>
      <c r="F43" s="59">
        <f>IF(OR(E43="",D43=""),"",MAX(E43-D43,0))</f>
        <v/>
      </c>
      <c r="G43" s="59">
        <f>IF(F43="","",IF(N(C43)=0,1,C43))</f>
        <v/>
      </c>
      <c r="H43" s="53" t="n">
        <v>23</v>
      </c>
      <c r="I43" s="67" t="n"/>
      <c r="J43" s="55" t="n"/>
      <c r="K43" s="68" t="n"/>
      <c r="L43" s="68" t="n"/>
      <c r="M43" s="59">
        <f>IF(OR(L43="",K43=""),"",MAX(L43-K43,0))</f>
        <v/>
      </c>
      <c r="N43" s="59">
        <f>IF(M43="","",IF(N(J43)=0,1,J43))</f>
        <v/>
      </c>
    </row>
    <row r="44">
      <c r="A44" s="53" t="n">
        <v>24</v>
      </c>
      <c r="B44" s="67" t="n"/>
      <c r="C44" s="55" t="n"/>
      <c r="D44" s="68" t="n"/>
      <c r="E44" s="68" t="n"/>
      <c r="F44" s="59">
        <f>IF(OR(E44="",D44=""),"",MAX(E44-D44,0))</f>
        <v/>
      </c>
      <c r="G44" s="59">
        <f>IF(F44="","",IF(N(C44)=0,1,C44))</f>
        <v/>
      </c>
      <c r="H44" s="53" t="n">
        <v>24</v>
      </c>
      <c r="I44" s="67" t="n"/>
      <c r="J44" s="55" t="n"/>
      <c r="K44" s="68" t="n"/>
      <c r="L44" s="68" t="n"/>
      <c r="M44" s="59">
        <f>IF(OR(L44="",K44=""),"",MAX(L44-K44,0))</f>
        <v/>
      </c>
      <c r="N44" s="59">
        <f>IF(M44="","",IF(N(J44)=0,1,J44))</f>
        <v/>
      </c>
    </row>
    <row r="45">
      <c r="A45" s="53" t="n">
        <v>25</v>
      </c>
      <c r="B45" s="67" t="n"/>
      <c r="C45" s="55" t="n"/>
      <c r="D45" s="68" t="n"/>
      <c r="E45" s="68" t="n"/>
      <c r="F45" s="59">
        <f>IF(OR(E45="",D45=""),"",MAX(E45-D45,0))</f>
        <v/>
      </c>
      <c r="G45" s="59">
        <f>IF(F45="","",IF(N(C45)=0,1,C45))</f>
        <v/>
      </c>
      <c r="H45" s="53" t="n">
        <v>25</v>
      </c>
      <c r="I45" s="67" t="n"/>
      <c r="J45" s="55" t="n"/>
      <c r="K45" s="68" t="n"/>
      <c r="L45" s="68" t="n"/>
      <c r="M45" s="59">
        <f>IF(OR(L45="",K45=""),"",MAX(L45-K45,0))</f>
        <v/>
      </c>
      <c r="N45" s="59">
        <f>IF(M45="","",IF(N(J45)=0,1,J45))</f>
        <v/>
      </c>
    </row>
    <row r="46">
      <c r="A46" s="53" t="n">
        <v>26</v>
      </c>
      <c r="B46" s="67" t="n"/>
      <c r="C46" s="55" t="n"/>
      <c r="D46" s="68" t="n"/>
      <c r="E46" s="68" t="n"/>
      <c r="F46" s="59">
        <f>IF(OR(E46="",D46=""),"",MAX(E46-D46,0))</f>
        <v/>
      </c>
      <c r="G46" s="59">
        <f>IF(F46="","",IF(N(C46)=0,1,C46))</f>
        <v/>
      </c>
      <c r="H46" s="53" t="n">
        <v>26</v>
      </c>
      <c r="I46" s="67" t="n"/>
      <c r="J46" s="55" t="n"/>
      <c r="K46" s="68" t="n"/>
      <c r="L46" s="68" t="n"/>
      <c r="M46" s="59">
        <f>IF(OR(L46="",K46=""),"",MAX(L46-K46,0))</f>
        <v/>
      </c>
      <c r="N46" s="59">
        <f>IF(M46="","",IF(N(J46)=0,1,J46))</f>
        <v/>
      </c>
    </row>
    <row r="47">
      <c r="A47" s="53" t="n">
        <v>27</v>
      </c>
      <c r="B47" s="67" t="n"/>
      <c r="C47" s="55" t="n"/>
      <c r="D47" s="68" t="n"/>
      <c r="E47" s="68" t="n"/>
      <c r="F47" s="59">
        <f>IF(OR(E47="",D47=""),"",MAX(E47-D47,0))</f>
        <v/>
      </c>
      <c r="G47" s="59">
        <f>IF(F47="","",IF(N(C47)=0,1,C47))</f>
        <v/>
      </c>
      <c r="H47" s="53" t="n">
        <v>27</v>
      </c>
      <c r="I47" s="67" t="n"/>
      <c r="J47" s="55" t="n"/>
      <c r="K47" s="68" t="n"/>
      <c r="L47" s="68" t="n"/>
      <c r="M47" s="59">
        <f>IF(OR(L47="",K47=""),"",MAX(L47-K47,0))</f>
        <v/>
      </c>
      <c r="N47" s="59">
        <f>IF(M47="","",IF(N(J47)=0,1,J47))</f>
        <v/>
      </c>
    </row>
    <row r="48">
      <c r="A48" s="53" t="n">
        <v>28</v>
      </c>
      <c r="B48" s="67" t="n"/>
      <c r="C48" s="55" t="n"/>
      <c r="D48" s="68" t="n"/>
      <c r="E48" s="68" t="n"/>
      <c r="F48" s="59">
        <f>IF(OR(E48="",D48=""),"",MAX(E48-D48,0))</f>
        <v/>
      </c>
      <c r="G48" s="59">
        <f>IF(F48="","",IF(N(C48)=0,1,C48))</f>
        <v/>
      </c>
      <c r="H48" s="53" t="n">
        <v>28</v>
      </c>
      <c r="I48" s="67" t="n"/>
      <c r="J48" s="55" t="n"/>
      <c r="K48" s="68" t="n"/>
      <c r="L48" s="68" t="n"/>
      <c r="M48" s="59">
        <f>IF(OR(L48="",K48=""),"",MAX(L48-K48,0))</f>
        <v/>
      </c>
      <c r="N48" s="59">
        <f>IF(M48="","",IF(N(J48)=0,1,J48))</f>
        <v/>
      </c>
    </row>
    <row r="49">
      <c r="A49" s="53" t="n">
        <v>29</v>
      </c>
      <c r="B49" s="67" t="n"/>
      <c r="C49" s="55" t="n"/>
      <c r="D49" s="68" t="n"/>
      <c r="E49" s="68" t="n"/>
      <c r="F49" s="59">
        <f>IF(OR(E49="",D49=""),"",MAX(E49-D49,0))</f>
        <v/>
      </c>
      <c r="G49" s="59">
        <f>IF(F49="","",IF(N(C49)=0,1,C49))</f>
        <v/>
      </c>
      <c r="H49" s="53" t="n">
        <v>29</v>
      </c>
      <c r="I49" s="67" t="n"/>
      <c r="J49" s="55" t="n"/>
      <c r="K49" s="68" t="n"/>
      <c r="L49" s="68" t="n"/>
      <c r="M49" s="59">
        <f>IF(OR(L49="",K49=""),"",MAX(L49-K49,0))</f>
        <v/>
      </c>
      <c r="N49" s="59">
        <f>IF(M49="","",IF(N(J49)=0,1,J49))</f>
        <v/>
      </c>
    </row>
    <row r="50">
      <c r="A50" s="53" t="n">
        <v>30</v>
      </c>
      <c r="B50" s="67" t="n"/>
      <c r="C50" s="55" t="n"/>
      <c r="D50" s="68" t="n"/>
      <c r="E50" s="68" t="n"/>
      <c r="F50" s="59">
        <f>IF(OR(E50="",D50=""),"",MAX(E50-D50,0))</f>
        <v/>
      </c>
      <c r="G50" s="59">
        <f>IF(F50="","",IF(N(C50)=0,1,C50))</f>
        <v/>
      </c>
      <c r="H50" s="53" t="n">
        <v>30</v>
      </c>
      <c r="I50" s="67" t="n"/>
      <c r="J50" s="55" t="n"/>
      <c r="K50" s="68" t="n"/>
      <c r="L50" s="68" t="n"/>
      <c r="M50" s="59">
        <f>IF(OR(L50="",K50=""),"",MAX(L50-K50,0))</f>
        <v/>
      </c>
      <c r="N50" s="59">
        <f>IF(M50="","",IF(N(J50)=0,1,J50))</f>
        <v/>
      </c>
    </row>
    <row r="51">
      <c r="A51" s="53" t="n">
        <v>31</v>
      </c>
      <c r="B51" s="67" t="n"/>
      <c r="C51" s="55" t="n"/>
      <c r="D51" s="68" t="n"/>
      <c r="E51" s="68" t="n"/>
      <c r="F51" s="59">
        <f>IF(OR(E51="",D51=""),"",MAX(E51-D51,0))</f>
        <v/>
      </c>
      <c r="G51" s="59">
        <f>IF(F51="","",IF(N(C51)=0,1,C51))</f>
        <v/>
      </c>
      <c r="H51" s="53" t="n">
        <v>31</v>
      </c>
      <c r="I51" s="67" t="n"/>
      <c r="J51" s="55" t="n"/>
      <c r="K51" s="68" t="n"/>
      <c r="L51" s="68" t="n"/>
      <c r="M51" s="59">
        <f>IF(OR(L51="",K51=""),"",MAX(L51-K51,0))</f>
        <v/>
      </c>
      <c r="N51" s="59">
        <f>IF(M51="","",IF(N(J51)=0,1,J51))</f>
        <v/>
      </c>
    </row>
    <row r="52">
      <c r="A52" s="53" t="n">
        <v>32</v>
      </c>
      <c r="B52" s="67" t="n"/>
      <c r="C52" s="55" t="n"/>
      <c r="D52" s="68" t="n"/>
      <c r="E52" s="68" t="n"/>
      <c r="F52" s="59">
        <f>IF(OR(E52="",D52=""),"",MAX(E52-D52,0))</f>
        <v/>
      </c>
      <c r="G52" s="59">
        <f>IF(F52="","",IF(N(C52)=0,1,C52))</f>
        <v/>
      </c>
      <c r="H52" s="53" t="n">
        <v>32</v>
      </c>
      <c r="I52" s="67" t="n"/>
      <c r="J52" s="55" t="n"/>
      <c r="K52" s="68" t="n"/>
      <c r="L52" s="68" t="n"/>
      <c r="M52" s="59">
        <f>IF(OR(L52="",K52=""),"",MAX(L52-K52,0))</f>
        <v/>
      </c>
      <c r="N52" s="59">
        <f>IF(M52="","",IF(N(J52)=0,1,J52))</f>
        <v/>
      </c>
    </row>
    <row r="53">
      <c r="A53" s="53" t="n">
        <v>33</v>
      </c>
      <c r="B53" s="67" t="n"/>
      <c r="C53" s="55" t="n"/>
      <c r="D53" s="68" t="n"/>
      <c r="E53" s="68" t="n"/>
      <c r="F53" s="59">
        <f>IF(OR(E53="",D53=""),"",MAX(E53-D53,0))</f>
        <v/>
      </c>
      <c r="G53" s="59">
        <f>IF(F53="","",IF(N(C53)=0,1,C53))</f>
        <v/>
      </c>
      <c r="H53" s="53" t="n">
        <v>33</v>
      </c>
      <c r="I53" s="67" t="n"/>
      <c r="J53" s="55" t="n"/>
      <c r="K53" s="68" t="n"/>
      <c r="L53" s="68" t="n"/>
      <c r="M53" s="59">
        <f>IF(OR(L53="",K53=""),"",MAX(L53-K53,0))</f>
        <v/>
      </c>
      <c r="N53" s="59">
        <f>IF(M53="","",IF(N(J53)=0,1,J53))</f>
        <v/>
      </c>
    </row>
    <row r="54">
      <c r="A54" s="53" t="n">
        <v>34</v>
      </c>
      <c r="B54" s="67" t="n"/>
      <c r="C54" s="55" t="n"/>
      <c r="D54" s="68" t="n"/>
      <c r="E54" s="68" t="n"/>
      <c r="F54" s="59">
        <f>IF(OR(E54="",D54=""),"",MAX(E54-D54,0))</f>
        <v/>
      </c>
      <c r="G54" s="59">
        <f>IF(F54="","",IF(N(C54)=0,1,C54))</f>
        <v/>
      </c>
      <c r="H54" s="53" t="n">
        <v>34</v>
      </c>
      <c r="I54" s="67" t="n"/>
      <c r="J54" s="55" t="n"/>
      <c r="K54" s="68" t="n"/>
      <c r="L54" s="68" t="n"/>
      <c r="M54" s="59">
        <f>IF(OR(L54="",K54=""),"",MAX(L54-K54,0))</f>
        <v/>
      </c>
      <c r="N54" s="59">
        <f>IF(M54="","",IF(N(J54)=0,1,J54))</f>
        <v/>
      </c>
    </row>
    <row r="55">
      <c r="A55" s="53" t="n">
        <v>35</v>
      </c>
      <c r="B55" s="67" t="n"/>
      <c r="C55" s="55" t="n"/>
      <c r="D55" s="68" t="n"/>
      <c r="E55" s="68" t="n"/>
      <c r="F55" s="59">
        <f>IF(OR(E55="",D55=""),"",MAX(E55-D55,0))</f>
        <v/>
      </c>
      <c r="G55" s="59">
        <f>IF(F55="","",IF(N(C55)=0,1,C55))</f>
        <v/>
      </c>
      <c r="H55" s="53" t="n">
        <v>35</v>
      </c>
      <c r="I55" s="67" t="n"/>
      <c r="J55" s="55" t="n"/>
      <c r="K55" s="68" t="n"/>
      <c r="L55" s="68" t="n"/>
      <c r="M55" s="59">
        <f>IF(OR(L55="",K55=""),"",MAX(L55-K55,0))</f>
        <v/>
      </c>
      <c r="N55" s="59">
        <f>IF(M55="","",IF(N(J55)=0,1,J55))</f>
        <v/>
      </c>
    </row>
    <row r="56">
      <c r="A56" s="53" t="n">
        <v>36</v>
      </c>
      <c r="B56" s="67" t="n"/>
      <c r="C56" s="55" t="n"/>
      <c r="D56" s="68" t="n"/>
      <c r="E56" s="68" t="n"/>
      <c r="F56" s="59">
        <f>IF(OR(E56="",D56=""),"",MAX(E56-D56,0))</f>
        <v/>
      </c>
      <c r="G56" s="59">
        <f>IF(F56="","",IF(N(C56)=0,1,C56))</f>
        <v/>
      </c>
      <c r="H56" s="53" t="n">
        <v>36</v>
      </c>
      <c r="I56" s="67" t="n"/>
      <c r="J56" s="55" t="n"/>
      <c r="K56" s="68" t="n"/>
      <c r="L56" s="68" t="n"/>
      <c r="M56" s="59">
        <f>IF(OR(L56="",K56=""),"",MAX(L56-K56,0))</f>
        <v/>
      </c>
      <c r="N56" s="59">
        <f>IF(M56="","",IF(N(J56)=0,1,J56))</f>
        <v/>
      </c>
    </row>
    <row r="57">
      <c r="A57" s="53" t="n">
        <v>37</v>
      </c>
      <c r="B57" s="67" t="n"/>
      <c r="C57" s="55" t="n"/>
      <c r="D57" s="68" t="n"/>
      <c r="E57" s="68" t="n"/>
      <c r="F57" s="59">
        <f>IF(OR(E57="",D57=""),"",MAX(E57-D57,0))</f>
        <v/>
      </c>
      <c r="G57" s="59">
        <f>IF(F57="","",IF(N(C57)=0,1,C57))</f>
        <v/>
      </c>
      <c r="H57" s="53" t="n">
        <v>37</v>
      </c>
      <c r="I57" s="67" t="n"/>
      <c r="J57" s="55" t="n"/>
      <c r="K57" s="68" t="n"/>
      <c r="L57" s="68" t="n"/>
      <c r="M57" s="59">
        <f>IF(OR(L57="",K57=""),"",MAX(L57-K57,0))</f>
        <v/>
      </c>
      <c r="N57" s="59">
        <f>IF(M57="","",IF(N(J57)=0,1,J57))</f>
        <v/>
      </c>
    </row>
    <row r="58">
      <c r="A58" s="53" t="n">
        <v>38</v>
      </c>
      <c r="B58" s="67" t="n"/>
      <c r="C58" s="55" t="n"/>
      <c r="D58" s="68" t="n"/>
      <c r="E58" s="68" t="n"/>
      <c r="F58" s="59">
        <f>IF(OR(E58="",D58=""),"",MAX(E58-D58,0))</f>
        <v/>
      </c>
      <c r="G58" s="59">
        <f>IF(F58="","",IF(N(C58)=0,1,C58))</f>
        <v/>
      </c>
      <c r="H58" s="53" t="n">
        <v>38</v>
      </c>
      <c r="I58" s="67" t="n"/>
      <c r="J58" s="55" t="n"/>
      <c r="K58" s="68" t="n"/>
      <c r="L58" s="68" t="n"/>
      <c r="M58" s="59">
        <f>IF(OR(L58="",K58=""),"",MAX(L58-K58,0))</f>
        <v/>
      </c>
      <c r="N58" s="59">
        <f>IF(M58="","",IF(N(J58)=0,1,J58))</f>
        <v/>
      </c>
    </row>
    <row r="59">
      <c r="A59" s="53" t="n">
        <v>39</v>
      </c>
      <c r="B59" s="67" t="n"/>
      <c r="C59" s="55" t="n"/>
      <c r="D59" s="68" t="n"/>
      <c r="E59" s="68" t="n"/>
      <c r="F59" s="59">
        <f>IF(OR(E59="",D59=""),"",MAX(E59-D59,0))</f>
        <v/>
      </c>
      <c r="G59" s="59">
        <f>IF(F59="","",IF(N(C59)=0,1,C59))</f>
        <v/>
      </c>
      <c r="H59" s="53" t="n">
        <v>39</v>
      </c>
      <c r="I59" s="67" t="n"/>
      <c r="J59" s="55" t="n"/>
      <c r="K59" s="68" t="n"/>
      <c r="L59" s="68" t="n"/>
      <c r="M59" s="59">
        <f>IF(OR(L59="",K59=""),"",MAX(L59-K59,0))</f>
        <v/>
      </c>
      <c r="N59" s="59">
        <f>IF(M59="","",IF(N(J59)=0,1,J59))</f>
        <v/>
      </c>
    </row>
    <row r="60">
      <c r="A60" s="53" t="n">
        <v>40</v>
      </c>
      <c r="B60" s="67" t="n"/>
      <c r="C60" s="55" t="n"/>
      <c r="D60" s="68" t="n"/>
      <c r="E60" s="68" t="n"/>
      <c r="F60" s="59">
        <f>IF(OR(E60="",D60=""),"",MAX(E60-D60,0))</f>
        <v/>
      </c>
      <c r="G60" s="59">
        <f>IF(F60="","",IF(N(C60)=0,1,C60))</f>
        <v/>
      </c>
      <c r="H60" s="53" t="n">
        <v>40</v>
      </c>
      <c r="I60" s="67" t="n"/>
      <c r="J60" s="55" t="n"/>
      <c r="K60" s="68" t="n"/>
      <c r="L60" s="68" t="n"/>
      <c r="M60" s="59">
        <f>IF(OR(L60="",K60=""),"",MAX(L60-K60,0))</f>
        <v/>
      </c>
      <c r="N60" s="59">
        <f>IF(M60="","",IF(N(J60)=0,1,J60))</f>
        <v/>
      </c>
    </row>
    <row r="61">
      <c r="A61" s="60" t="n"/>
      <c r="B61" s="61" t="inlineStr">
        <is>
          <t>Total</t>
        </is>
      </c>
      <c r="C61" s="65">
        <f>SUM(C21:C60)</f>
        <v/>
      </c>
      <c r="D61" s="60" t="n"/>
      <c r="E61" s="60" t="n"/>
      <c r="F61" s="62">
        <f>IF(N(G61)=0,"",SUMPRODUCT(F21:F60,G21:G60)/G61)</f>
        <v/>
      </c>
      <c r="G61" s="65">
        <f>SUM(G21:G60)</f>
        <v/>
      </c>
      <c r="H61" s="60" t="n"/>
      <c r="I61" s="61" t="inlineStr">
        <is>
          <t>Total</t>
        </is>
      </c>
      <c r="J61" s="65">
        <f>SUM(J21:J60)</f>
        <v/>
      </c>
      <c r="K61" s="60" t="n"/>
      <c r="L61" s="60" t="n"/>
      <c r="M61" s="62">
        <f>IF(N(N61)=0,"",SUMPRODUCT(M21:M60,N21:N60)/N61)</f>
        <v/>
      </c>
      <c r="N61" s="65">
        <f>SUM(N21:N60)</f>
        <v/>
      </c>
    </row>
    <row r="62">
      <c r="B62" s="66" t="inlineStr">
        <is>
          <t>Insert rows above the Total row as necessary and copy the formulas of the 'Time to Hire' and 'Posts Filled' columns into the new rows. Blank 'No. of Posts' on a filled position counts as 1 post.</t>
        </is>
      </c>
    </row>
  </sheetData>
  <sheetProtection selectLockedCells="0" selectUnlockedCells="0" algorithmName="SHA-512" sheet="1" objects="1" insertRows="0" insertHyperlinks="1" autoFilter="1" scenarios="1" formatColumns="0" deleteColumns="1" insertColumns="1" pivotTables="1" deleteRows="0" formatCells="1" saltValue="IK1mo3n2o9zLr8wGMYhctA==" formatRows="0" sort="1" spinCount="100000" hashValue="BxtlLJhy4LlRWdVEjwrO4taZuxvjBDAYtqNtPV4JxIOlFYuzAu35PaQ28q55hr5X/YUx3By7q0/tp1NhUSsxrA=="/>
  <mergeCells count="24">
    <mergeCell ref="Y2:AA2"/>
    <mergeCell ref="Y1:AA1"/>
    <mergeCell ref="A18:C18"/>
    <mergeCell ref="Q1:S1"/>
    <mergeCell ref="D18:E19"/>
    <mergeCell ref="O1:O2"/>
    <mergeCell ref="A2:C2"/>
    <mergeCell ref="D1:F2"/>
    <mergeCell ref="W1:W2"/>
    <mergeCell ref="M18:N19"/>
    <mergeCell ref="H19:J19"/>
    <mergeCell ref="I1:K1"/>
    <mergeCell ref="AB1:AD2"/>
    <mergeCell ref="AE1:AE2"/>
    <mergeCell ref="Q2:S2"/>
    <mergeCell ref="A19:C19"/>
    <mergeCell ref="H18:J18"/>
    <mergeCell ref="K18:L19"/>
    <mergeCell ref="G1:G2"/>
    <mergeCell ref="L1:N2"/>
    <mergeCell ref="I2:K2"/>
    <mergeCell ref="A1:C1"/>
    <mergeCell ref="T1:V2"/>
    <mergeCell ref="F18:G19"/>
  </mergeCells>
  <dataValidations count="5">
    <dataValidation sqref="D21:E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C21:C60" showDropDown="0" showInputMessage="0" showErrorMessage="1" allowBlank="1" error="No. of Posts must be a whole number &gt;= 1." type="whole" operator="greaterThanOrEqual">
      <formula1>1</formula1>
    </dataValidation>
    <dataValidation sqref="K21:L60" showDropDown="0" showInputMessage="0" showErrorMessage="1" allowBlank="1" errorTitle="Date required" error="Enter a date (mm/dd/yyyy)." type="date" operator="between">
      <formula1>DATE(2020,1,1)</formula1>
      <formula2>DATE(2030,12,31)</formula2>
    </dataValidation>
    <dataValidation sqref="J21:J60" showDropDown="0" showInputMessage="0" showErrorMessage="1" allowBlank="1" error="No. of Posts must be a whole number &gt;= 1." type="whole" operator="greaterThanOrEqual">
      <formula1>1</formula1>
    </dataValidation>
    <dataValidation sqref="D4:D15" showDropDown="0" showInputMessage="0" showErrorMessage="1" allowBlank="1" error="Working days must be between 0 and 31." type="whole" operator="between">
      <formula1>0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2026-09-26T17:34:32Z</dcterms:created>
  <dcterms:modified xsi:type="dcterms:W3CDTF">2026-09-26T17:34:35Z</dcterms:modified>
</cp:coreProperties>
</file>