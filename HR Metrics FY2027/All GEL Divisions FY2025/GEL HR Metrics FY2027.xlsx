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L Divisions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0.0%"/>
  </numFmts>
  <fonts count="12">
    <font>
      <name val="Calibri"/>
      <family val="2"/>
      <color theme="1"/>
      <sz val="11"/>
      <scheme val="minor"/>
    </font>
    <font>
      <name val="Calibri"/>
      <color rgb="FFBFBFBF"/>
      <sz val="12"/>
    </font>
    <font>
      <name val="Calibri"/>
      <color rgb="FFFFFFFF"/>
      <sz val="14"/>
    </font>
    <font>
      <name val="Calibri"/>
      <color rgb="FFF2CEEF"/>
      <sz val="12"/>
    </font>
    <font>
      <name val="Calibri"/>
      <color rgb="FFFFFFFF"/>
      <sz val="16"/>
    </font>
    <font>
      <name val="Calibri"/>
      <b val="1"/>
      <color rgb="FFF2CEEF"/>
      <sz val="12"/>
    </font>
    <font>
      <name val="Calibri"/>
      <b val="1"/>
      <color rgb="FFFFFFFF"/>
      <sz val="12"/>
    </font>
    <font>
      <name val="Aptos Narrow"/>
      <family val="2"/>
      <color theme="1"/>
      <sz val="11"/>
      <scheme val="minor"/>
    </font>
    <font>
      <name val="Calibri"/>
      <color rgb="FF808080"/>
      <sz val="12"/>
    </font>
    <font>
      <name val="Calibri"/>
      <color rgb="FF0E2841"/>
      <sz val="12"/>
    </font>
    <font>
      <name val="Calibri"/>
      <color rgb="FFFFFFFF"/>
      <sz val="12"/>
    </font>
    <font>
      <name val="Aptos Narrow"/>
      <family val="2"/>
      <color rgb="FFF2CEEF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rgb="FF31216B"/>
        <bgColor indexed="64"/>
      </patternFill>
    </fill>
    <fill>
      <patternFill patternType="solid">
        <fgColor rgb="FF0E284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8" fillId="2" borderId="0" pivotButton="0" quotePrefix="0" xfId="0"/>
    <xf numFmtId="0" fontId="9" fillId="5" borderId="0" applyAlignment="1" pivotButton="0" quotePrefix="0" xfId="0">
      <alignment horizontal="left"/>
    </xf>
    <xf numFmtId="164" fontId="9" fillId="6" borderId="0" applyAlignment="1" pivotButton="0" quotePrefix="0" xfId="0">
      <alignment horizontal="center"/>
    </xf>
    <xf numFmtId="164" fontId="10" fillId="7" borderId="0" applyAlignment="1" pivotButton="0" quotePrefix="0" xfId="0">
      <alignment horizontal="center"/>
    </xf>
    <xf numFmtId="0" fontId="10" fillId="7" borderId="0" applyAlignment="1" pivotButton="0" quotePrefix="0" xfId="0">
      <alignment horizontal="left"/>
    </xf>
    <xf numFmtId="1" fontId="9" fillId="6" borderId="0" applyAlignment="1" pivotButton="0" quotePrefix="0" xfId="0">
      <alignment horizontal="center"/>
    </xf>
    <xf numFmtId="1" fontId="10" fillId="7" borderId="0" applyAlignment="1" pivotButton="0" quotePrefix="0" xfId="0">
      <alignment horizontal="center"/>
    </xf>
    <xf numFmtId="165" fontId="9" fillId="6" borderId="0" applyAlignment="1" pivotButton="0" quotePrefix="0" xfId="0">
      <alignment horizontal="center"/>
    </xf>
    <xf numFmtId="165" fontId="10" fillId="7" borderId="0" applyAlignment="1" pivotButton="0" quotePrefix="0" xfId="0">
      <alignment horizontal="center"/>
    </xf>
    <xf numFmtId="0" fontId="10" fillId="2" borderId="0" applyAlignment="1" pivotButton="0" quotePrefix="0" xfId="0">
      <alignment horizontal="left"/>
    </xf>
    <xf numFmtId="166" fontId="9" fillId="6" borderId="0" applyAlignment="1" pivotButton="0" quotePrefix="0" xfId="0">
      <alignment horizontal="center"/>
    </xf>
    <xf numFmtId="166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left"/>
    </xf>
    <xf numFmtId="0" fontId="9" fillId="9" borderId="0" applyAlignment="1" pivotButton="0" quotePrefix="0" xfId="0">
      <alignment horizontal="left"/>
    </xf>
    <xf numFmtId="9" fontId="9" fillId="6" borderId="0" applyAlignment="1" pivotButton="0" quotePrefix="0" xfId="0">
      <alignment horizontal="center"/>
    </xf>
    <xf numFmtId="9" fontId="10" fillId="7" borderId="0" applyAlignment="1" pivotButton="0" quotePrefix="0" xfId="0">
      <alignment horizontal="center"/>
    </xf>
    <xf numFmtId="0" fontId="10" fillId="2" borderId="0" pivotButton="0" quotePrefix="0" xfId="0"/>
    <xf numFmtId="1" fontId="9" fillId="0" borderId="0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Auto%20HR%20Metrics/Auto%20HR%20Metrics%20FY2027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Building%20Supplies%20HR%20Metrics/Building%20HR%20Metrics%20FY2027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Head%20Office%20HR%20Metrics/Head%20Office%20HR%20Metrics%20FY2027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Manufacturing%20HR%20Metrics/Manufacturing%20HR%20Metrics%20FY2027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../Services%20HR%20Metrics/Services%20HR%20Metrics%20FY2027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Shipping%20HR%20Metrics/Shipping%20HR%20Metrics%20FY2027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../GCG%20HR%20Metrics/FY%202027/0%20GCG%20(33%20Companies)%20HR%20Metrics%20FY2027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Quarter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0"/>
  <sheetViews>
    <sheetView zoomScale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7265625" customWidth="1" min="1" max="1"/>
    <col width="34.7265625" customWidth="1" min="2" max="2"/>
    <col width="13.7" customWidth="1" min="3" max="3"/>
    <col width="13.7" customWidth="1" min="4" max="4"/>
    <col width="13.7" customWidth="1" min="5" max="5"/>
    <col width="13.7" customWidth="1" min="6" max="6"/>
    <col width="13.7" customWidth="1" min="7" max="7"/>
    <col width="13.7" customWidth="1" min="8" max="8"/>
    <col width="13.7" customWidth="1" min="9" max="9"/>
    <col width="13.7" customWidth="1" min="10" max="10"/>
    <col width="13.7" customWidth="1" min="11" max="11"/>
    <col width="13.7" customWidth="1" min="12" max="12"/>
    <col width="13.7" customWidth="1" min="13" max="13"/>
    <col width="13.7" customWidth="1" min="14" max="14"/>
    <col width="13.7" customWidth="1" min="15" max="15"/>
    <col width="13.7" customWidth="1" min="16" max="16"/>
    <col width="13.7" customWidth="1" min="17" max="17"/>
    <col width="13.7" customWidth="1" min="18" max="18"/>
    <col width="13.7" customWidth="1" min="19" max="19"/>
    <col width="13.7" customWidth="1" min="20" max="20"/>
    <col width="13.7" customWidth="1" min="21" max="21"/>
    <col width="13.7" customWidth="1" min="22" max="22"/>
    <col width="13.7" customWidth="1" min="23" max="23"/>
    <col width="13.7" customWidth="1" min="24" max="24"/>
    <col width="13.7" customWidth="1" min="25" max="25"/>
    <col width="13.7" customWidth="1" min="26" max="26"/>
    <col width="13.7" customWidth="1" min="27" max="27"/>
    <col width="13.7" customWidth="1" min="28" max="28"/>
    <col width="13.7" customWidth="1" min="29" max="29"/>
    <col width="13.7" customWidth="1" min="30" max="30"/>
    <col width="13.7" customWidth="1" min="31" max="31"/>
    <col width="13.7" customWidth="1" min="32" max="32"/>
    <col width="13.7" customWidth="1" min="33" max="33"/>
    <col width="13.7" customWidth="1" min="34" max="34"/>
    <col width="13.7" customWidth="1" min="35" max="35"/>
    <col width="13.7" customWidth="1" min="36" max="36"/>
    <col width="13.7" customWidth="1" min="37" max="37"/>
    <col width="13.7" customWidth="1" min="38" max="38"/>
    <col width="13.7" customWidth="1" min="39" max="39"/>
    <col width="13.7" customWidth="1" min="40" max="40"/>
    <col width="13.7" customWidth="1" min="41" max="41"/>
    <col width="13.7" customWidth="1" min="42" max="42"/>
    <col width="16" customWidth="1" min="43" max="43"/>
  </cols>
  <sheetData>
    <row r="1" ht="18.75" customHeight="1">
      <c r="A1" s="1" t="n"/>
      <c r="B1" s="2" t="inlineStr">
        <is>
          <t>GEL DIVISIONS</t>
        </is>
      </c>
      <c r="C1" s="2" t="inlineStr">
        <is>
          <t>AUTO</t>
        </is>
      </c>
      <c r="H1" s="2" t="inlineStr">
        <is>
          <t>BUILDING SUPPLIES</t>
        </is>
      </c>
      <c r="M1" s="2" t="inlineStr">
        <is>
          <t>HEAD OFFICE</t>
        </is>
      </c>
      <c r="R1" s="2" t="inlineStr">
        <is>
          <t>MANUFACTURING</t>
        </is>
      </c>
      <c r="W1" s="2" t="inlineStr">
        <is>
          <t>SERVICES</t>
        </is>
      </c>
      <c r="AB1" s="2" t="inlineStr">
        <is>
          <t>SHIPPING</t>
        </is>
      </c>
      <c r="AG1" s="2" t="inlineStr">
        <is>
          <t>GCG (33 COMPANIES)</t>
        </is>
      </c>
      <c r="AL1" s="2" t="inlineStr">
        <is>
          <t>GEL</t>
        </is>
      </c>
      <c r="AQ1" s="3" t="n"/>
    </row>
    <row r="2" ht="30" customHeight="1">
      <c r="A2" s="4" t="inlineStr">
        <is>
          <t>FY2027</t>
        </is>
      </c>
      <c r="B2" s="5" t="inlineStr">
        <is>
          <t>Quarter</t>
        </is>
      </c>
      <c r="C2" s="6" t="inlineStr">
        <is>
          <t>Q1</t>
        </is>
      </c>
      <c r="D2" s="6" t="inlineStr">
        <is>
          <t>Q2</t>
        </is>
      </c>
      <c r="E2" s="6" t="inlineStr">
        <is>
          <t>Q3</t>
        </is>
      </c>
      <c r="F2" s="6" t="inlineStr">
        <is>
          <t>Q4</t>
        </is>
      </c>
      <c r="G2" s="7" t="inlineStr">
        <is>
          <t>FY2027</t>
        </is>
      </c>
      <c r="H2" s="6" t="inlineStr">
        <is>
          <t>Q1</t>
        </is>
      </c>
      <c r="I2" s="6" t="inlineStr">
        <is>
          <t>Q2</t>
        </is>
      </c>
      <c r="J2" s="6" t="inlineStr">
        <is>
          <t>Q3</t>
        </is>
      </c>
      <c r="K2" s="6" t="inlineStr">
        <is>
          <t>Q4</t>
        </is>
      </c>
      <c r="L2" s="7" t="inlineStr">
        <is>
          <t>FY2027</t>
        </is>
      </c>
      <c r="M2" s="6" t="inlineStr">
        <is>
          <t>Q1</t>
        </is>
      </c>
      <c r="N2" s="6" t="inlineStr">
        <is>
          <t>Q2</t>
        </is>
      </c>
      <c r="O2" s="6" t="inlineStr">
        <is>
          <t>Q3</t>
        </is>
      </c>
      <c r="P2" s="6" t="inlineStr">
        <is>
          <t>Q4</t>
        </is>
      </c>
      <c r="Q2" s="7" t="inlineStr">
        <is>
          <t>FY2027</t>
        </is>
      </c>
      <c r="R2" s="6" t="inlineStr">
        <is>
          <t>Q1</t>
        </is>
      </c>
      <c r="S2" s="6" t="inlineStr">
        <is>
          <t>Q2</t>
        </is>
      </c>
      <c r="T2" s="6" t="inlineStr">
        <is>
          <t>Q3</t>
        </is>
      </c>
      <c r="U2" s="6" t="inlineStr">
        <is>
          <t>Q4</t>
        </is>
      </c>
      <c r="V2" s="7" t="inlineStr">
        <is>
          <t>FY2027</t>
        </is>
      </c>
      <c r="W2" s="6" t="inlineStr">
        <is>
          <t>Q1</t>
        </is>
      </c>
      <c r="X2" s="6" t="inlineStr">
        <is>
          <t>Q2</t>
        </is>
      </c>
      <c r="Y2" s="6" t="inlineStr">
        <is>
          <t>Q3</t>
        </is>
      </c>
      <c r="Z2" s="6" t="inlineStr">
        <is>
          <t>Q4</t>
        </is>
      </c>
      <c r="AA2" s="7" t="inlineStr">
        <is>
          <t>FY2027</t>
        </is>
      </c>
      <c r="AB2" s="6" t="inlineStr">
        <is>
          <t>Q1</t>
        </is>
      </c>
      <c r="AC2" s="6" t="inlineStr">
        <is>
          <t>Q2</t>
        </is>
      </c>
      <c r="AD2" s="6" t="inlineStr">
        <is>
          <t>Q3</t>
        </is>
      </c>
      <c r="AE2" s="6" t="inlineStr">
        <is>
          <t>Q4</t>
        </is>
      </c>
      <c r="AF2" s="7" t="inlineStr">
        <is>
          <t>FY2027</t>
        </is>
      </c>
      <c r="AG2" s="6" t="inlineStr">
        <is>
          <t>Q1</t>
        </is>
      </c>
      <c r="AH2" s="6" t="inlineStr">
        <is>
          <t>Q2</t>
        </is>
      </c>
      <c r="AI2" s="6" t="inlineStr">
        <is>
          <t>Q3</t>
        </is>
      </c>
      <c r="AJ2" s="6" t="inlineStr">
        <is>
          <t>Q4</t>
        </is>
      </c>
      <c r="AK2" s="7" t="inlineStr">
        <is>
          <t>FY2027</t>
        </is>
      </c>
      <c r="AL2" s="6" t="inlineStr">
        <is>
          <t>Q1</t>
        </is>
      </c>
      <c r="AM2" s="6" t="inlineStr">
        <is>
          <t>Q2</t>
        </is>
      </c>
      <c r="AN2" s="6" t="inlineStr">
        <is>
          <t>Q3</t>
        </is>
      </c>
      <c r="AO2" s="6" t="inlineStr">
        <is>
          <t>Q4</t>
        </is>
      </c>
      <c r="AP2" s="7" t="inlineStr">
        <is>
          <t>FY2027</t>
        </is>
      </c>
      <c r="AQ2" s="4" t="inlineStr">
        <is>
          <t>Consolidation</t>
        </is>
      </c>
    </row>
    <row r="3" ht="18.75" customHeight="1">
      <c r="A3" s="8" t="n"/>
      <c r="B3" s="9" t="inlineStr">
        <is>
          <t>Permanent (Regular) Headcount</t>
        </is>
      </c>
      <c r="C3" s="10">
        <f>IF([1]Quarter!F3="","",[1]Quarter!F3)</f>
        <v/>
      </c>
      <c r="D3" s="10">
        <f>IF([1]Quarter!J3="","",[1]Quarter!J3)</f>
        <v/>
      </c>
      <c r="E3" s="10">
        <f>IF([1]Quarter!N3="","",[1]Quarter!N3)</f>
        <v/>
      </c>
      <c r="F3" s="10">
        <f>IF([1]Quarter!R3="","",[1]Quarter!R3)</f>
        <v/>
      </c>
      <c r="G3" s="10">
        <f>IF([1]Quarter!S3="","",[1]Quarter!S3)</f>
        <v/>
      </c>
      <c r="H3" s="10">
        <f>IF([2]Quarter!F3="","",[2]Quarter!F3)</f>
        <v/>
      </c>
      <c r="I3" s="10">
        <f>IF([2]Quarter!J3="","",[2]Quarter!J3)</f>
        <v/>
      </c>
      <c r="J3" s="10">
        <f>IF([2]Quarter!N3="","",[2]Quarter!N3)</f>
        <v/>
      </c>
      <c r="K3" s="10">
        <f>IF([2]Quarter!R3="","",[2]Quarter!R3)</f>
        <v/>
      </c>
      <c r="L3" s="10">
        <f>IF([2]Quarter!S3="","",[2]Quarter!S3)</f>
        <v/>
      </c>
      <c r="M3" s="10">
        <f>IF([3]Quarter!F3="","",[3]Quarter!F3)</f>
        <v/>
      </c>
      <c r="N3" s="10">
        <f>IF([3]Quarter!J3="","",[3]Quarter!J3)</f>
        <v/>
      </c>
      <c r="O3" s="10">
        <f>IF([3]Quarter!N3="","",[3]Quarter!N3)</f>
        <v/>
      </c>
      <c r="P3" s="10">
        <f>IF([3]Quarter!R3="","",[3]Quarter!R3)</f>
        <v/>
      </c>
      <c r="Q3" s="10">
        <f>IF([3]Quarter!S3="","",[3]Quarter!S3)</f>
        <v/>
      </c>
      <c r="R3" s="10">
        <f>IF([4]Quarter!F3="","",[4]Quarter!F3)</f>
        <v/>
      </c>
      <c r="S3" s="10">
        <f>IF([4]Quarter!J3="","",[4]Quarter!J3)</f>
        <v/>
      </c>
      <c r="T3" s="10">
        <f>IF([4]Quarter!N3="","",[4]Quarter!N3)</f>
        <v/>
      </c>
      <c r="U3" s="10">
        <f>IF([4]Quarter!R3="","",[4]Quarter!R3)</f>
        <v/>
      </c>
      <c r="V3" s="10">
        <f>IF([4]Quarter!S3="","",[4]Quarter!S3)</f>
        <v/>
      </c>
      <c r="W3" s="10">
        <f>IF([5]Quarter!F3="","",[5]Quarter!F3)</f>
        <v/>
      </c>
      <c r="X3" s="10">
        <f>IF([5]Quarter!J3="","",[5]Quarter!J3)</f>
        <v/>
      </c>
      <c r="Y3" s="10">
        <f>IF([5]Quarter!N3="","",[5]Quarter!N3)</f>
        <v/>
      </c>
      <c r="Z3" s="10">
        <f>IF([5]Quarter!R3="","",[5]Quarter!R3)</f>
        <v/>
      </c>
      <c r="AA3" s="10">
        <f>IF([5]Quarter!S3="","",[5]Quarter!S3)</f>
        <v/>
      </c>
      <c r="AB3" s="10">
        <f>IF([6]Quarter!F3="","",[6]Quarter!F3)</f>
        <v/>
      </c>
      <c r="AC3" s="10">
        <f>IF([6]Quarter!J3="","",[6]Quarter!J3)</f>
        <v/>
      </c>
      <c r="AD3" s="10">
        <f>IF([6]Quarter!N3="","",[6]Quarter!N3)</f>
        <v/>
      </c>
      <c r="AE3" s="10">
        <f>IF([6]Quarter!R3="","",[6]Quarter!R3)</f>
        <v/>
      </c>
      <c r="AF3" s="10">
        <f>IF([6]Quarter!S3="","",[6]Quarter!S3)</f>
        <v/>
      </c>
      <c r="AG3" s="10">
        <f>IF([7]Quarter!F3="","",[7]Quarter!F3)</f>
        <v/>
      </c>
      <c r="AH3" s="10">
        <f>IF([7]Quarter!J3="","",[7]Quarter!J3)</f>
        <v/>
      </c>
      <c r="AI3" s="10">
        <f>IF([7]Quarter!N3="","",[7]Quarter!N3)</f>
        <v/>
      </c>
      <c r="AJ3" s="10">
        <f>IF([7]Quarter!R3="","",[7]Quarter!R3)</f>
        <v/>
      </c>
      <c r="AK3" s="10">
        <f>IF([7]Quarter!S3="","",[7]Quarter!S3)</f>
        <v/>
      </c>
      <c r="AL3" s="11">
        <f>IF(COUNT(C3,H3,M3,R3,W3,AB3,AG3)=0,"",SUM(C3,H3,M3,R3,W3,AB3,AG3))</f>
        <v/>
      </c>
      <c r="AM3" s="11">
        <f>IF(COUNT(D3,I3,N3,S3,X3,AC3,AH3)=0,"",SUM(D3,I3,N3,S3,X3,AC3,AH3))</f>
        <v/>
      </c>
      <c r="AN3" s="11">
        <f>IF(COUNT(E3,J3,O3,T3,Y3,AD3,AI3)=0,"",SUM(E3,J3,O3,T3,Y3,AD3,AI3))</f>
        <v/>
      </c>
      <c r="AO3" s="11">
        <f>IF(COUNT(F3,K3,P3,U3,Z3,AE3,AJ3)=0,"",SUM(F3,K3,P3,U3,Z3,AE3,AJ3))</f>
        <v/>
      </c>
      <c r="AP3" s="11">
        <f>IF(COUNT(G3,L3,Q3,V3,AA3,AF3,AK3)=0,"",SUM(G3,L3,Q3,V3,AA3,AF3,AK3))</f>
        <v/>
      </c>
      <c r="AQ3" s="4" t="inlineStr">
        <is>
          <t>Sum of divisions</t>
        </is>
      </c>
    </row>
    <row r="4" ht="18.75" customHeight="1">
      <c r="A4" s="3" t="n"/>
      <c r="B4" s="9" t="inlineStr">
        <is>
          <t>Temporary (Fix Term) Headcount</t>
        </is>
      </c>
      <c r="C4" s="10">
        <f>IF([1]Quarter!F4="","",[1]Quarter!F4)</f>
        <v/>
      </c>
      <c r="D4" s="10">
        <f>IF([1]Quarter!J4="","",[1]Quarter!J4)</f>
        <v/>
      </c>
      <c r="E4" s="10">
        <f>IF([1]Quarter!N4="","",[1]Quarter!N4)</f>
        <v/>
      </c>
      <c r="F4" s="10">
        <f>IF([1]Quarter!R4="","",[1]Quarter!R4)</f>
        <v/>
      </c>
      <c r="G4" s="10">
        <f>IF([1]Quarter!S4="","",[1]Quarter!S4)</f>
        <v/>
      </c>
      <c r="H4" s="10">
        <f>IF([2]Quarter!F4="","",[2]Quarter!F4)</f>
        <v/>
      </c>
      <c r="I4" s="10">
        <f>IF([2]Quarter!J4="","",[2]Quarter!J4)</f>
        <v/>
      </c>
      <c r="J4" s="10">
        <f>IF([2]Quarter!N4="","",[2]Quarter!N4)</f>
        <v/>
      </c>
      <c r="K4" s="10">
        <f>IF([2]Quarter!R4="","",[2]Quarter!R4)</f>
        <v/>
      </c>
      <c r="L4" s="10">
        <f>IF([2]Quarter!S4="","",[2]Quarter!S4)</f>
        <v/>
      </c>
      <c r="M4" s="10">
        <f>IF([3]Quarter!F4="","",[3]Quarter!F4)</f>
        <v/>
      </c>
      <c r="N4" s="10">
        <f>IF([3]Quarter!J4="","",[3]Quarter!J4)</f>
        <v/>
      </c>
      <c r="O4" s="10">
        <f>IF([3]Quarter!N4="","",[3]Quarter!N4)</f>
        <v/>
      </c>
      <c r="P4" s="10">
        <f>IF([3]Quarter!R4="","",[3]Quarter!R4)</f>
        <v/>
      </c>
      <c r="Q4" s="10">
        <f>IF([3]Quarter!S4="","",[3]Quarter!S4)</f>
        <v/>
      </c>
      <c r="R4" s="10">
        <f>IF([4]Quarter!F4="","",[4]Quarter!F4)</f>
        <v/>
      </c>
      <c r="S4" s="10">
        <f>IF([4]Quarter!J4="","",[4]Quarter!J4)</f>
        <v/>
      </c>
      <c r="T4" s="10">
        <f>IF([4]Quarter!N4="","",[4]Quarter!N4)</f>
        <v/>
      </c>
      <c r="U4" s="10">
        <f>IF([4]Quarter!R4="","",[4]Quarter!R4)</f>
        <v/>
      </c>
      <c r="V4" s="10">
        <f>IF([4]Quarter!S4="","",[4]Quarter!S4)</f>
        <v/>
      </c>
      <c r="W4" s="10">
        <f>IF([5]Quarter!F4="","",[5]Quarter!F4)</f>
        <v/>
      </c>
      <c r="X4" s="10">
        <f>IF([5]Quarter!J4="","",[5]Quarter!J4)</f>
        <v/>
      </c>
      <c r="Y4" s="10">
        <f>IF([5]Quarter!N4="","",[5]Quarter!N4)</f>
        <v/>
      </c>
      <c r="Z4" s="10">
        <f>IF([5]Quarter!R4="","",[5]Quarter!R4)</f>
        <v/>
      </c>
      <c r="AA4" s="10">
        <f>IF([5]Quarter!S4="","",[5]Quarter!S4)</f>
        <v/>
      </c>
      <c r="AB4" s="10">
        <f>IF([6]Quarter!F4="","",[6]Quarter!F4)</f>
        <v/>
      </c>
      <c r="AC4" s="10">
        <f>IF([6]Quarter!J4="","",[6]Quarter!J4)</f>
        <v/>
      </c>
      <c r="AD4" s="10">
        <f>IF([6]Quarter!N4="","",[6]Quarter!N4)</f>
        <v/>
      </c>
      <c r="AE4" s="10">
        <f>IF([6]Quarter!R4="","",[6]Quarter!R4)</f>
        <v/>
      </c>
      <c r="AF4" s="10">
        <f>IF([6]Quarter!S4="","",[6]Quarter!S4)</f>
        <v/>
      </c>
      <c r="AG4" s="10">
        <f>IF([7]Quarter!F4="","",[7]Quarter!F4)</f>
        <v/>
      </c>
      <c r="AH4" s="10">
        <f>IF([7]Quarter!J4="","",[7]Quarter!J4)</f>
        <v/>
      </c>
      <c r="AI4" s="10">
        <f>IF([7]Quarter!N4="","",[7]Quarter!N4)</f>
        <v/>
      </c>
      <c r="AJ4" s="10">
        <f>IF([7]Quarter!R4="","",[7]Quarter!R4)</f>
        <v/>
      </c>
      <c r="AK4" s="10">
        <f>IF([7]Quarter!S4="","",[7]Quarter!S4)</f>
        <v/>
      </c>
      <c r="AL4" s="11">
        <f>IF(COUNT(C4,H4,M4,R4,W4,AB4,AG4)=0,"",SUM(C4,H4,M4,R4,W4,AB4,AG4))</f>
        <v/>
      </c>
      <c r="AM4" s="11">
        <f>IF(COUNT(D4,I4,N4,S4,X4,AC4,AH4)=0,"",SUM(D4,I4,N4,S4,X4,AC4,AH4))</f>
        <v/>
      </c>
      <c r="AN4" s="11">
        <f>IF(COUNT(E4,J4,O4,T4,Y4,AD4,AI4)=0,"",SUM(E4,J4,O4,T4,Y4,AD4,AI4))</f>
        <v/>
      </c>
      <c r="AO4" s="11">
        <f>IF(COUNT(F4,K4,P4,U4,Z4,AE4,AJ4)=0,"",SUM(F4,K4,P4,U4,Z4,AE4,AJ4))</f>
        <v/>
      </c>
      <c r="AP4" s="11">
        <f>IF(COUNT(G4,L4,Q4,V4,AA4,AF4,AK4)=0,"",SUM(G4,L4,Q4,V4,AA4,AF4,AK4))</f>
        <v/>
      </c>
      <c r="AQ4" s="4" t="inlineStr">
        <is>
          <t>Sum of divisions</t>
        </is>
      </c>
    </row>
    <row r="5" ht="18.75" customHeight="1">
      <c r="A5" s="3" t="n"/>
      <c r="B5" s="12" t="inlineStr">
        <is>
          <t>Employee Headcount (Productivity)</t>
        </is>
      </c>
      <c r="C5" s="10">
        <f>IF([1]Quarter!F5="","",[1]Quarter!F5)</f>
        <v/>
      </c>
      <c r="D5" s="10">
        <f>IF([1]Quarter!J5="","",[1]Quarter!J5)</f>
        <v/>
      </c>
      <c r="E5" s="10">
        <f>IF([1]Quarter!N5="","",[1]Quarter!N5)</f>
        <v/>
      </c>
      <c r="F5" s="10">
        <f>IF([1]Quarter!R5="","",[1]Quarter!R5)</f>
        <v/>
      </c>
      <c r="G5" s="10">
        <f>IF([1]Quarter!S5="","",[1]Quarter!S5)</f>
        <v/>
      </c>
      <c r="H5" s="10">
        <f>IF([2]Quarter!F5="","",[2]Quarter!F5)</f>
        <v/>
      </c>
      <c r="I5" s="10">
        <f>IF([2]Quarter!J5="","",[2]Quarter!J5)</f>
        <v/>
      </c>
      <c r="J5" s="10">
        <f>IF([2]Quarter!N5="","",[2]Quarter!N5)</f>
        <v/>
      </c>
      <c r="K5" s="10">
        <f>IF([2]Quarter!R5="","",[2]Quarter!R5)</f>
        <v/>
      </c>
      <c r="L5" s="10">
        <f>IF([2]Quarter!S5="","",[2]Quarter!S5)</f>
        <v/>
      </c>
      <c r="M5" s="10">
        <f>IF([3]Quarter!F5="","",[3]Quarter!F5)</f>
        <v/>
      </c>
      <c r="N5" s="10">
        <f>IF([3]Quarter!J5="","",[3]Quarter!J5)</f>
        <v/>
      </c>
      <c r="O5" s="10">
        <f>IF([3]Quarter!N5="","",[3]Quarter!N5)</f>
        <v/>
      </c>
      <c r="P5" s="10">
        <f>IF([3]Quarter!R5="","",[3]Quarter!R5)</f>
        <v/>
      </c>
      <c r="Q5" s="10">
        <f>IF([3]Quarter!S5="","",[3]Quarter!S5)</f>
        <v/>
      </c>
      <c r="R5" s="10">
        <f>IF([4]Quarter!F5="","",[4]Quarter!F5)</f>
        <v/>
      </c>
      <c r="S5" s="10">
        <f>IF([4]Quarter!J5="","",[4]Quarter!J5)</f>
        <v/>
      </c>
      <c r="T5" s="10">
        <f>IF([4]Quarter!N5="","",[4]Quarter!N5)</f>
        <v/>
      </c>
      <c r="U5" s="10">
        <f>IF([4]Quarter!R5="","",[4]Quarter!R5)</f>
        <v/>
      </c>
      <c r="V5" s="10">
        <f>IF([4]Quarter!S5="","",[4]Quarter!S5)</f>
        <v/>
      </c>
      <c r="W5" s="10">
        <f>IF([5]Quarter!F5="","",[5]Quarter!F5)</f>
        <v/>
      </c>
      <c r="X5" s="10">
        <f>IF([5]Quarter!J5="","",[5]Quarter!J5)</f>
        <v/>
      </c>
      <c r="Y5" s="10">
        <f>IF([5]Quarter!N5="","",[5]Quarter!N5)</f>
        <v/>
      </c>
      <c r="Z5" s="10">
        <f>IF([5]Quarter!R5="","",[5]Quarter!R5)</f>
        <v/>
      </c>
      <c r="AA5" s="10">
        <f>IF([5]Quarter!S5="","",[5]Quarter!S5)</f>
        <v/>
      </c>
      <c r="AB5" s="10">
        <f>IF([6]Quarter!F5="","",[6]Quarter!F5)</f>
        <v/>
      </c>
      <c r="AC5" s="10">
        <f>IF([6]Quarter!J5="","",[6]Quarter!J5)</f>
        <v/>
      </c>
      <c r="AD5" s="10">
        <f>IF([6]Quarter!N5="","",[6]Quarter!N5)</f>
        <v/>
      </c>
      <c r="AE5" s="10">
        <f>IF([6]Quarter!R5="","",[6]Quarter!R5)</f>
        <v/>
      </c>
      <c r="AF5" s="10">
        <f>IF([6]Quarter!S5="","",[6]Quarter!S5)</f>
        <v/>
      </c>
      <c r="AG5" s="10">
        <f>IF([7]Quarter!F5="","",[7]Quarter!F5)</f>
        <v/>
      </c>
      <c r="AH5" s="10">
        <f>IF([7]Quarter!J5="","",[7]Quarter!J5)</f>
        <v/>
      </c>
      <c r="AI5" s="10">
        <f>IF([7]Quarter!N5="","",[7]Quarter!N5)</f>
        <v/>
      </c>
      <c r="AJ5" s="10">
        <f>IF([7]Quarter!R5="","",[7]Quarter!R5)</f>
        <v/>
      </c>
      <c r="AK5" s="10">
        <f>IF([7]Quarter!S5="","",[7]Quarter!S5)</f>
        <v/>
      </c>
      <c r="AL5" s="11">
        <f>IF(COUNT(AL3:AL4)=0,"",SUM(AL3:AL4))</f>
        <v/>
      </c>
      <c r="AM5" s="11">
        <f>IF(COUNT(AM3:AM4)=0,"",SUM(AM3:AM4))</f>
        <v/>
      </c>
      <c r="AN5" s="11">
        <f>IF(COUNT(AN3:AN4)=0,"",SUM(AN3:AN4))</f>
        <v/>
      </c>
      <c r="AO5" s="11">
        <f>IF(COUNT(AO3:AO4)=0,"",SUM(AO3:AO4))</f>
        <v/>
      </c>
      <c r="AP5" s="11">
        <f>IF(COUNT(AP3:AP4)=0,"",SUM(AP3:AP4))</f>
        <v/>
      </c>
      <c r="AQ5" s="4" t="inlineStr">
        <is>
          <t>Recalculated</t>
        </is>
      </c>
    </row>
    <row r="6" ht="18.75" customHeight="1">
      <c r="A6" s="3" t="n"/>
      <c r="B6" s="9" t="inlineStr">
        <is>
          <t>Headcount = 1.00</t>
        </is>
      </c>
      <c r="C6" s="10">
        <f>IF([1]Quarter!F6="","",[1]Quarter!F6)</f>
        <v/>
      </c>
      <c r="D6" s="10">
        <f>IF([1]Quarter!J6="","",[1]Quarter!J6)</f>
        <v/>
      </c>
      <c r="E6" s="10">
        <f>IF([1]Quarter!N6="","",[1]Quarter!N6)</f>
        <v/>
      </c>
      <c r="F6" s="10">
        <f>IF([1]Quarter!R6="","",[1]Quarter!R6)</f>
        <v/>
      </c>
      <c r="G6" s="10">
        <f>IF([1]Quarter!S6="","",[1]Quarter!S6)</f>
        <v/>
      </c>
      <c r="H6" s="10">
        <f>IF([2]Quarter!F6="","",[2]Quarter!F6)</f>
        <v/>
      </c>
      <c r="I6" s="10">
        <f>IF([2]Quarter!J6="","",[2]Quarter!J6)</f>
        <v/>
      </c>
      <c r="J6" s="10">
        <f>IF([2]Quarter!N6="","",[2]Quarter!N6)</f>
        <v/>
      </c>
      <c r="K6" s="10">
        <f>IF([2]Quarter!R6="","",[2]Quarter!R6)</f>
        <v/>
      </c>
      <c r="L6" s="10">
        <f>IF([2]Quarter!S6="","",[2]Quarter!S6)</f>
        <v/>
      </c>
      <c r="M6" s="10">
        <f>IF([3]Quarter!F6="","",[3]Quarter!F6)</f>
        <v/>
      </c>
      <c r="N6" s="10">
        <f>IF([3]Quarter!J6="","",[3]Quarter!J6)</f>
        <v/>
      </c>
      <c r="O6" s="10">
        <f>IF([3]Quarter!N6="","",[3]Quarter!N6)</f>
        <v/>
      </c>
      <c r="P6" s="10">
        <f>IF([3]Quarter!R6="","",[3]Quarter!R6)</f>
        <v/>
      </c>
      <c r="Q6" s="10">
        <f>IF([3]Quarter!S6="","",[3]Quarter!S6)</f>
        <v/>
      </c>
      <c r="R6" s="10">
        <f>IF([4]Quarter!F6="","",[4]Quarter!F6)</f>
        <v/>
      </c>
      <c r="S6" s="10">
        <f>IF([4]Quarter!J6="","",[4]Quarter!J6)</f>
        <v/>
      </c>
      <c r="T6" s="10">
        <f>IF([4]Quarter!N6="","",[4]Quarter!N6)</f>
        <v/>
      </c>
      <c r="U6" s="10">
        <f>IF([4]Quarter!R6="","",[4]Quarter!R6)</f>
        <v/>
      </c>
      <c r="V6" s="10">
        <f>IF([4]Quarter!S6="","",[4]Quarter!S6)</f>
        <v/>
      </c>
      <c r="W6" s="10">
        <f>IF([5]Quarter!F6="","",[5]Quarter!F6)</f>
        <v/>
      </c>
      <c r="X6" s="10">
        <f>IF([5]Quarter!J6="","",[5]Quarter!J6)</f>
        <v/>
      </c>
      <c r="Y6" s="10">
        <f>IF([5]Quarter!N6="","",[5]Quarter!N6)</f>
        <v/>
      </c>
      <c r="Z6" s="10">
        <f>IF([5]Quarter!R6="","",[5]Quarter!R6)</f>
        <v/>
      </c>
      <c r="AA6" s="10">
        <f>IF([5]Quarter!S6="","",[5]Quarter!S6)</f>
        <v/>
      </c>
      <c r="AB6" s="10">
        <f>IF([6]Quarter!F6="","",[6]Quarter!F6)</f>
        <v/>
      </c>
      <c r="AC6" s="10">
        <f>IF([6]Quarter!J6="","",[6]Quarter!J6)</f>
        <v/>
      </c>
      <c r="AD6" s="10">
        <f>IF([6]Quarter!N6="","",[6]Quarter!N6)</f>
        <v/>
      </c>
      <c r="AE6" s="10">
        <f>IF([6]Quarter!R6="","",[6]Quarter!R6)</f>
        <v/>
      </c>
      <c r="AF6" s="10">
        <f>IF([6]Quarter!S6="","",[6]Quarter!S6)</f>
        <v/>
      </c>
      <c r="AG6" s="10">
        <f>IF([7]Quarter!F6="","",[7]Quarter!F6)</f>
        <v/>
      </c>
      <c r="AH6" s="10">
        <f>IF([7]Quarter!J6="","",[7]Quarter!J6)</f>
        <v/>
      </c>
      <c r="AI6" s="10">
        <f>IF([7]Quarter!N6="","",[7]Quarter!N6)</f>
        <v/>
      </c>
      <c r="AJ6" s="10">
        <f>IF([7]Quarter!R6="","",[7]Quarter!R6)</f>
        <v/>
      </c>
      <c r="AK6" s="10">
        <f>IF([7]Quarter!S6="","",[7]Quarter!S6)</f>
        <v/>
      </c>
      <c r="AL6" s="11">
        <f>IF(COUNT(C6,H6,M6,R6,W6,AB6,AG6)=0,"",SUM(C6,H6,M6,R6,W6,AB6,AG6))</f>
        <v/>
      </c>
      <c r="AM6" s="11">
        <f>IF(COUNT(D6,I6,N6,S6,X6,AC6,AH6)=0,"",SUM(D6,I6,N6,S6,X6,AC6,AH6))</f>
        <v/>
      </c>
      <c r="AN6" s="11">
        <f>IF(COUNT(E6,J6,O6,T6,Y6,AD6,AI6)=0,"",SUM(E6,J6,O6,T6,Y6,AD6,AI6))</f>
        <v/>
      </c>
      <c r="AO6" s="11">
        <f>IF(COUNT(F6,K6,P6,U6,Z6,AE6,AJ6)=0,"",SUM(F6,K6,P6,U6,Z6,AE6,AJ6))</f>
        <v/>
      </c>
      <c r="AP6" s="11">
        <f>IF(COUNT(G6,L6,Q6,V6,AA6,AF6,AK6)=0,"",SUM(G6,L6,Q6,V6,AA6,AF6,AK6))</f>
        <v/>
      </c>
      <c r="AQ6" s="4" t="inlineStr">
        <is>
          <t>Sum of divisions</t>
        </is>
      </c>
    </row>
    <row r="7" ht="18.75" customHeight="1">
      <c r="A7" s="3" t="n"/>
      <c r="B7" s="9" t="inlineStr">
        <is>
          <t>Headcount = 0.75</t>
        </is>
      </c>
      <c r="C7" s="10">
        <f>IF([1]Quarter!F7="","",[1]Quarter!F7)</f>
        <v/>
      </c>
      <c r="D7" s="10">
        <f>IF([1]Quarter!J7="","",[1]Quarter!J7)</f>
        <v/>
      </c>
      <c r="E7" s="10">
        <f>IF([1]Quarter!N7="","",[1]Quarter!N7)</f>
        <v/>
      </c>
      <c r="F7" s="10">
        <f>IF([1]Quarter!R7="","",[1]Quarter!R7)</f>
        <v/>
      </c>
      <c r="G7" s="10">
        <f>IF([1]Quarter!S7="","",[1]Quarter!S7)</f>
        <v/>
      </c>
      <c r="H7" s="10">
        <f>IF([2]Quarter!F7="","",[2]Quarter!F7)</f>
        <v/>
      </c>
      <c r="I7" s="10">
        <f>IF([2]Quarter!J7="","",[2]Quarter!J7)</f>
        <v/>
      </c>
      <c r="J7" s="10">
        <f>IF([2]Quarter!N7="","",[2]Quarter!N7)</f>
        <v/>
      </c>
      <c r="K7" s="10">
        <f>IF([2]Quarter!R7="","",[2]Quarter!R7)</f>
        <v/>
      </c>
      <c r="L7" s="10">
        <f>IF([2]Quarter!S7="","",[2]Quarter!S7)</f>
        <v/>
      </c>
      <c r="M7" s="10">
        <f>IF([3]Quarter!F7="","",[3]Quarter!F7)</f>
        <v/>
      </c>
      <c r="N7" s="10">
        <f>IF([3]Quarter!J7="","",[3]Quarter!J7)</f>
        <v/>
      </c>
      <c r="O7" s="10">
        <f>IF([3]Quarter!N7="","",[3]Quarter!N7)</f>
        <v/>
      </c>
      <c r="P7" s="10">
        <f>IF([3]Quarter!R7="","",[3]Quarter!R7)</f>
        <v/>
      </c>
      <c r="Q7" s="10">
        <f>IF([3]Quarter!S7="","",[3]Quarter!S7)</f>
        <v/>
      </c>
      <c r="R7" s="10">
        <f>IF([4]Quarter!F7="","",[4]Quarter!F7)</f>
        <v/>
      </c>
      <c r="S7" s="10">
        <f>IF([4]Quarter!J7="","",[4]Quarter!J7)</f>
        <v/>
      </c>
      <c r="T7" s="10">
        <f>IF([4]Quarter!N7="","",[4]Quarter!N7)</f>
        <v/>
      </c>
      <c r="U7" s="10">
        <f>IF([4]Quarter!R7="","",[4]Quarter!R7)</f>
        <v/>
      </c>
      <c r="V7" s="10">
        <f>IF([4]Quarter!S7="","",[4]Quarter!S7)</f>
        <v/>
      </c>
      <c r="W7" s="10">
        <f>IF([5]Quarter!F7="","",[5]Quarter!F7)</f>
        <v/>
      </c>
      <c r="X7" s="10">
        <f>IF([5]Quarter!J7="","",[5]Quarter!J7)</f>
        <v/>
      </c>
      <c r="Y7" s="10">
        <f>IF([5]Quarter!N7="","",[5]Quarter!N7)</f>
        <v/>
      </c>
      <c r="Z7" s="10">
        <f>IF([5]Quarter!R7="","",[5]Quarter!R7)</f>
        <v/>
      </c>
      <c r="AA7" s="10">
        <f>IF([5]Quarter!S7="","",[5]Quarter!S7)</f>
        <v/>
      </c>
      <c r="AB7" s="10">
        <f>IF([6]Quarter!F7="","",[6]Quarter!F7)</f>
        <v/>
      </c>
      <c r="AC7" s="10">
        <f>IF([6]Quarter!J7="","",[6]Quarter!J7)</f>
        <v/>
      </c>
      <c r="AD7" s="10">
        <f>IF([6]Quarter!N7="","",[6]Quarter!N7)</f>
        <v/>
      </c>
      <c r="AE7" s="10">
        <f>IF([6]Quarter!R7="","",[6]Quarter!R7)</f>
        <v/>
      </c>
      <c r="AF7" s="10">
        <f>IF([6]Quarter!S7="","",[6]Quarter!S7)</f>
        <v/>
      </c>
      <c r="AG7" s="10">
        <f>IF([7]Quarter!F7="","",[7]Quarter!F7)</f>
        <v/>
      </c>
      <c r="AH7" s="10">
        <f>IF([7]Quarter!J7="","",[7]Quarter!J7)</f>
        <v/>
      </c>
      <c r="AI7" s="10">
        <f>IF([7]Quarter!N7="","",[7]Quarter!N7)</f>
        <v/>
      </c>
      <c r="AJ7" s="10">
        <f>IF([7]Quarter!R7="","",[7]Quarter!R7)</f>
        <v/>
      </c>
      <c r="AK7" s="10">
        <f>IF([7]Quarter!S7="","",[7]Quarter!S7)</f>
        <v/>
      </c>
      <c r="AL7" s="11">
        <f>IF(COUNT(C7,H7,M7,R7,W7,AB7,AG7)=0,"",SUM(C7,H7,M7,R7,W7,AB7,AG7))</f>
        <v/>
      </c>
      <c r="AM7" s="11">
        <f>IF(COUNT(D7,I7,N7,S7,X7,AC7,AH7)=0,"",SUM(D7,I7,N7,S7,X7,AC7,AH7))</f>
        <v/>
      </c>
      <c r="AN7" s="11">
        <f>IF(COUNT(E7,J7,O7,T7,Y7,AD7,AI7)=0,"",SUM(E7,J7,O7,T7,Y7,AD7,AI7))</f>
        <v/>
      </c>
      <c r="AO7" s="11">
        <f>IF(COUNT(F7,K7,P7,U7,Z7,AE7,AJ7)=0,"",SUM(F7,K7,P7,U7,Z7,AE7,AJ7))</f>
        <v/>
      </c>
      <c r="AP7" s="11">
        <f>IF(COUNT(G7,L7,Q7,V7,AA7,AF7,AK7)=0,"",SUM(G7,L7,Q7,V7,AA7,AF7,AK7))</f>
        <v/>
      </c>
      <c r="AQ7" s="4" t="inlineStr">
        <is>
          <t>Sum of divisions</t>
        </is>
      </c>
    </row>
    <row r="8" ht="18.75" customHeight="1">
      <c r="A8" s="3" t="n"/>
      <c r="B8" s="9" t="inlineStr">
        <is>
          <t>Headcount = 0.50</t>
        </is>
      </c>
      <c r="C8" s="10">
        <f>IF([1]Quarter!F8="","",[1]Quarter!F8)</f>
        <v/>
      </c>
      <c r="D8" s="10">
        <f>IF([1]Quarter!J8="","",[1]Quarter!J8)</f>
        <v/>
      </c>
      <c r="E8" s="10">
        <f>IF([1]Quarter!N8="","",[1]Quarter!N8)</f>
        <v/>
      </c>
      <c r="F8" s="10">
        <f>IF([1]Quarter!R8="","",[1]Quarter!R8)</f>
        <v/>
      </c>
      <c r="G8" s="10">
        <f>IF([1]Quarter!S8="","",[1]Quarter!S8)</f>
        <v/>
      </c>
      <c r="H8" s="10">
        <f>IF([2]Quarter!F8="","",[2]Quarter!F8)</f>
        <v/>
      </c>
      <c r="I8" s="10">
        <f>IF([2]Quarter!J8="","",[2]Quarter!J8)</f>
        <v/>
      </c>
      <c r="J8" s="10">
        <f>IF([2]Quarter!N8="","",[2]Quarter!N8)</f>
        <v/>
      </c>
      <c r="K8" s="10">
        <f>IF([2]Quarter!R8="","",[2]Quarter!R8)</f>
        <v/>
      </c>
      <c r="L8" s="10">
        <f>IF([2]Quarter!S8="","",[2]Quarter!S8)</f>
        <v/>
      </c>
      <c r="M8" s="10">
        <f>IF([3]Quarter!F8="","",[3]Quarter!F8)</f>
        <v/>
      </c>
      <c r="N8" s="10">
        <f>IF([3]Quarter!J8="","",[3]Quarter!J8)</f>
        <v/>
      </c>
      <c r="O8" s="10">
        <f>IF([3]Quarter!N8="","",[3]Quarter!N8)</f>
        <v/>
      </c>
      <c r="P8" s="10">
        <f>IF([3]Quarter!R8="","",[3]Quarter!R8)</f>
        <v/>
      </c>
      <c r="Q8" s="10">
        <f>IF([3]Quarter!S8="","",[3]Quarter!S8)</f>
        <v/>
      </c>
      <c r="R8" s="10">
        <f>IF([4]Quarter!F8="","",[4]Quarter!F8)</f>
        <v/>
      </c>
      <c r="S8" s="10">
        <f>IF([4]Quarter!J8="","",[4]Quarter!J8)</f>
        <v/>
      </c>
      <c r="T8" s="10">
        <f>IF([4]Quarter!N8="","",[4]Quarter!N8)</f>
        <v/>
      </c>
      <c r="U8" s="10">
        <f>IF([4]Quarter!R8="","",[4]Quarter!R8)</f>
        <v/>
      </c>
      <c r="V8" s="10">
        <f>IF([4]Quarter!S8="","",[4]Quarter!S8)</f>
        <v/>
      </c>
      <c r="W8" s="10">
        <f>IF([5]Quarter!F8="","",[5]Quarter!F8)</f>
        <v/>
      </c>
      <c r="X8" s="10">
        <f>IF([5]Quarter!J8="","",[5]Quarter!J8)</f>
        <v/>
      </c>
      <c r="Y8" s="10">
        <f>IF([5]Quarter!N8="","",[5]Quarter!N8)</f>
        <v/>
      </c>
      <c r="Z8" s="10">
        <f>IF([5]Quarter!R8="","",[5]Quarter!R8)</f>
        <v/>
      </c>
      <c r="AA8" s="10">
        <f>IF([5]Quarter!S8="","",[5]Quarter!S8)</f>
        <v/>
      </c>
      <c r="AB8" s="10">
        <f>IF([6]Quarter!F8="","",[6]Quarter!F8)</f>
        <v/>
      </c>
      <c r="AC8" s="10">
        <f>IF([6]Quarter!J8="","",[6]Quarter!J8)</f>
        <v/>
      </c>
      <c r="AD8" s="10">
        <f>IF([6]Quarter!N8="","",[6]Quarter!N8)</f>
        <v/>
      </c>
      <c r="AE8" s="10">
        <f>IF([6]Quarter!R8="","",[6]Quarter!R8)</f>
        <v/>
      </c>
      <c r="AF8" s="10">
        <f>IF([6]Quarter!S8="","",[6]Quarter!S8)</f>
        <v/>
      </c>
      <c r="AG8" s="10">
        <f>IF([7]Quarter!F8="","",[7]Quarter!F8)</f>
        <v/>
      </c>
      <c r="AH8" s="10">
        <f>IF([7]Quarter!J8="","",[7]Quarter!J8)</f>
        <v/>
      </c>
      <c r="AI8" s="10">
        <f>IF([7]Quarter!N8="","",[7]Quarter!N8)</f>
        <v/>
      </c>
      <c r="AJ8" s="10">
        <f>IF([7]Quarter!R8="","",[7]Quarter!R8)</f>
        <v/>
      </c>
      <c r="AK8" s="10">
        <f>IF([7]Quarter!S8="","",[7]Quarter!S8)</f>
        <v/>
      </c>
      <c r="AL8" s="11">
        <f>IF(COUNT(C8,H8,M8,R8,W8,AB8,AG8)=0,"",SUM(C8,H8,M8,R8,W8,AB8,AG8))</f>
        <v/>
      </c>
      <c r="AM8" s="11">
        <f>IF(COUNT(D8,I8,N8,S8,X8,AC8,AH8)=0,"",SUM(D8,I8,N8,S8,X8,AC8,AH8))</f>
        <v/>
      </c>
      <c r="AN8" s="11">
        <f>IF(COUNT(E8,J8,O8,T8,Y8,AD8,AI8)=0,"",SUM(E8,J8,O8,T8,Y8,AD8,AI8))</f>
        <v/>
      </c>
      <c r="AO8" s="11">
        <f>IF(COUNT(F8,K8,P8,U8,Z8,AE8,AJ8)=0,"",SUM(F8,K8,P8,U8,Z8,AE8,AJ8))</f>
        <v/>
      </c>
      <c r="AP8" s="11">
        <f>IF(COUNT(G8,L8,Q8,V8,AA8,AF8,AK8)=0,"",SUM(G8,L8,Q8,V8,AA8,AF8,AK8))</f>
        <v/>
      </c>
      <c r="AQ8" s="4" t="inlineStr">
        <is>
          <t>Sum of divisions</t>
        </is>
      </c>
    </row>
    <row r="9" ht="18.75" customHeight="1">
      <c r="A9" s="3" t="n"/>
      <c r="B9" s="9" t="inlineStr">
        <is>
          <t>Headcount = 0.25</t>
        </is>
      </c>
      <c r="C9" s="10">
        <f>IF([1]Quarter!F9="","",[1]Quarter!F9)</f>
        <v/>
      </c>
      <c r="D9" s="10">
        <f>IF([1]Quarter!J9="","",[1]Quarter!J9)</f>
        <v/>
      </c>
      <c r="E9" s="10">
        <f>IF([1]Quarter!N9="","",[1]Quarter!N9)</f>
        <v/>
      </c>
      <c r="F9" s="10">
        <f>IF([1]Quarter!R9="","",[1]Quarter!R9)</f>
        <v/>
      </c>
      <c r="G9" s="10">
        <f>IF([1]Quarter!S9="","",[1]Quarter!S9)</f>
        <v/>
      </c>
      <c r="H9" s="10">
        <f>IF([2]Quarter!F9="","",[2]Quarter!F9)</f>
        <v/>
      </c>
      <c r="I9" s="10">
        <f>IF([2]Quarter!J9="","",[2]Quarter!J9)</f>
        <v/>
      </c>
      <c r="J9" s="10">
        <f>IF([2]Quarter!N9="","",[2]Quarter!N9)</f>
        <v/>
      </c>
      <c r="K9" s="10">
        <f>IF([2]Quarter!R9="","",[2]Quarter!R9)</f>
        <v/>
      </c>
      <c r="L9" s="10">
        <f>IF([2]Quarter!S9="","",[2]Quarter!S9)</f>
        <v/>
      </c>
      <c r="M9" s="10">
        <f>IF([3]Quarter!F9="","",[3]Quarter!F9)</f>
        <v/>
      </c>
      <c r="N9" s="10">
        <f>IF([3]Quarter!J9="","",[3]Quarter!J9)</f>
        <v/>
      </c>
      <c r="O9" s="10">
        <f>IF([3]Quarter!N9="","",[3]Quarter!N9)</f>
        <v/>
      </c>
      <c r="P9" s="10">
        <f>IF([3]Quarter!R9="","",[3]Quarter!R9)</f>
        <v/>
      </c>
      <c r="Q9" s="10">
        <f>IF([3]Quarter!S9="","",[3]Quarter!S9)</f>
        <v/>
      </c>
      <c r="R9" s="10">
        <f>IF([4]Quarter!F9="","",[4]Quarter!F9)</f>
        <v/>
      </c>
      <c r="S9" s="10">
        <f>IF([4]Quarter!J9="","",[4]Quarter!J9)</f>
        <v/>
      </c>
      <c r="T9" s="10">
        <f>IF([4]Quarter!N9="","",[4]Quarter!N9)</f>
        <v/>
      </c>
      <c r="U9" s="10">
        <f>IF([4]Quarter!R9="","",[4]Quarter!R9)</f>
        <v/>
      </c>
      <c r="V9" s="10">
        <f>IF([4]Quarter!S9="","",[4]Quarter!S9)</f>
        <v/>
      </c>
      <c r="W9" s="10">
        <f>IF([5]Quarter!F9="","",[5]Quarter!F9)</f>
        <v/>
      </c>
      <c r="X9" s="10">
        <f>IF([5]Quarter!J9="","",[5]Quarter!J9)</f>
        <v/>
      </c>
      <c r="Y9" s="10">
        <f>IF([5]Quarter!N9="","",[5]Quarter!N9)</f>
        <v/>
      </c>
      <c r="Z9" s="10">
        <f>IF([5]Quarter!R9="","",[5]Quarter!R9)</f>
        <v/>
      </c>
      <c r="AA9" s="10">
        <f>IF([5]Quarter!S9="","",[5]Quarter!S9)</f>
        <v/>
      </c>
      <c r="AB9" s="10">
        <f>IF([6]Quarter!F9="","",[6]Quarter!F9)</f>
        <v/>
      </c>
      <c r="AC9" s="10">
        <f>IF([6]Quarter!J9="","",[6]Quarter!J9)</f>
        <v/>
      </c>
      <c r="AD9" s="10">
        <f>IF([6]Quarter!N9="","",[6]Quarter!N9)</f>
        <v/>
      </c>
      <c r="AE9" s="10">
        <f>IF([6]Quarter!R9="","",[6]Quarter!R9)</f>
        <v/>
      </c>
      <c r="AF9" s="10">
        <f>IF([6]Quarter!S9="","",[6]Quarter!S9)</f>
        <v/>
      </c>
      <c r="AG9" s="10">
        <f>IF([7]Quarter!F9="","",[7]Quarter!F9)</f>
        <v/>
      </c>
      <c r="AH9" s="10">
        <f>IF([7]Quarter!J9="","",[7]Quarter!J9)</f>
        <v/>
      </c>
      <c r="AI9" s="10">
        <f>IF([7]Quarter!N9="","",[7]Quarter!N9)</f>
        <v/>
      </c>
      <c r="AJ9" s="10">
        <f>IF([7]Quarter!R9="","",[7]Quarter!R9)</f>
        <v/>
      </c>
      <c r="AK9" s="10">
        <f>IF([7]Quarter!S9="","",[7]Quarter!S9)</f>
        <v/>
      </c>
      <c r="AL9" s="11">
        <f>IF(COUNT(C9,H9,M9,R9,W9,AB9,AG9)=0,"",SUM(C9,H9,M9,R9,W9,AB9,AG9))</f>
        <v/>
      </c>
      <c r="AM9" s="11">
        <f>IF(COUNT(D9,I9,N9,S9,X9,AC9,AH9)=0,"",SUM(D9,I9,N9,S9,X9,AC9,AH9))</f>
        <v/>
      </c>
      <c r="AN9" s="11">
        <f>IF(COUNT(E9,J9,O9,T9,Y9,AD9,AI9)=0,"",SUM(E9,J9,O9,T9,Y9,AD9,AI9))</f>
        <v/>
      </c>
      <c r="AO9" s="11">
        <f>IF(COUNT(F9,K9,P9,U9,Z9,AE9,AJ9)=0,"",SUM(F9,K9,P9,U9,Z9,AE9,AJ9))</f>
        <v/>
      </c>
      <c r="AP9" s="11">
        <f>IF(COUNT(G9,L9,Q9,V9,AA9,AF9,AK9)=0,"",SUM(G9,L9,Q9,V9,AA9,AF9,AK9))</f>
        <v/>
      </c>
      <c r="AQ9" s="4" t="inlineStr">
        <is>
          <t>Sum of divisions</t>
        </is>
      </c>
    </row>
    <row r="10" ht="18.75" customHeight="1">
      <c r="A10" s="3" t="n"/>
      <c r="B10" s="9" t="inlineStr">
        <is>
          <t>Standard Monthly Hours (FTE basis)</t>
        </is>
      </c>
      <c r="C10" s="13">
        <f>IF([1]Quarter!F10="","",[1]Quarter!F10)</f>
        <v/>
      </c>
      <c r="D10" s="13">
        <f>IF([1]Quarter!J10="","",[1]Quarter!J10)</f>
        <v/>
      </c>
      <c r="E10" s="13">
        <f>IF([1]Quarter!N10="","",[1]Quarter!N10)</f>
        <v/>
      </c>
      <c r="F10" s="13">
        <f>IF([1]Quarter!R10="","",[1]Quarter!R10)</f>
        <v/>
      </c>
      <c r="G10" s="13">
        <f>IF([1]Quarter!S10="","",[1]Quarter!S10)</f>
        <v/>
      </c>
      <c r="H10" s="13">
        <f>IF([2]Quarter!F10="","",[2]Quarter!F10)</f>
        <v/>
      </c>
      <c r="I10" s="13">
        <f>IF([2]Quarter!J10="","",[2]Quarter!J10)</f>
        <v/>
      </c>
      <c r="J10" s="13">
        <f>IF([2]Quarter!N10="","",[2]Quarter!N10)</f>
        <v/>
      </c>
      <c r="K10" s="13">
        <f>IF([2]Quarter!R10="","",[2]Quarter!R10)</f>
        <v/>
      </c>
      <c r="L10" s="13">
        <f>IF([2]Quarter!S10="","",[2]Quarter!S10)</f>
        <v/>
      </c>
      <c r="M10" s="13">
        <f>IF([3]Quarter!F10="","",[3]Quarter!F10)</f>
        <v/>
      </c>
      <c r="N10" s="13">
        <f>IF([3]Quarter!J10="","",[3]Quarter!J10)</f>
        <v/>
      </c>
      <c r="O10" s="13">
        <f>IF([3]Quarter!N10="","",[3]Quarter!N10)</f>
        <v/>
      </c>
      <c r="P10" s="13">
        <f>IF([3]Quarter!R10="","",[3]Quarter!R10)</f>
        <v/>
      </c>
      <c r="Q10" s="13">
        <f>IF([3]Quarter!S10="","",[3]Quarter!S10)</f>
        <v/>
      </c>
      <c r="R10" s="13">
        <f>IF([4]Quarter!F10="","",[4]Quarter!F10)</f>
        <v/>
      </c>
      <c r="S10" s="13">
        <f>IF([4]Quarter!J10="","",[4]Quarter!J10)</f>
        <v/>
      </c>
      <c r="T10" s="13">
        <f>IF([4]Quarter!N10="","",[4]Quarter!N10)</f>
        <v/>
      </c>
      <c r="U10" s="13">
        <f>IF([4]Quarter!R10="","",[4]Quarter!R10)</f>
        <v/>
      </c>
      <c r="V10" s="13">
        <f>IF([4]Quarter!S10="","",[4]Quarter!S10)</f>
        <v/>
      </c>
      <c r="W10" s="13">
        <f>IF([5]Quarter!F10="","",[5]Quarter!F10)</f>
        <v/>
      </c>
      <c r="X10" s="13">
        <f>IF([5]Quarter!J10="","",[5]Quarter!J10)</f>
        <v/>
      </c>
      <c r="Y10" s="13">
        <f>IF([5]Quarter!N10="","",[5]Quarter!N10)</f>
        <v/>
      </c>
      <c r="Z10" s="13">
        <f>IF([5]Quarter!R10="","",[5]Quarter!R10)</f>
        <v/>
      </c>
      <c r="AA10" s="13">
        <f>IF([5]Quarter!S10="","",[5]Quarter!S10)</f>
        <v/>
      </c>
      <c r="AB10" s="13">
        <f>IF([6]Quarter!F10="","",[6]Quarter!F10)</f>
        <v/>
      </c>
      <c r="AC10" s="13">
        <f>IF([6]Quarter!J10="","",[6]Quarter!J10)</f>
        <v/>
      </c>
      <c r="AD10" s="13">
        <f>IF([6]Quarter!N10="","",[6]Quarter!N10)</f>
        <v/>
      </c>
      <c r="AE10" s="13">
        <f>IF([6]Quarter!R10="","",[6]Quarter!R10)</f>
        <v/>
      </c>
      <c r="AF10" s="13">
        <f>IF([6]Quarter!S10="","",[6]Quarter!S10)</f>
        <v/>
      </c>
      <c r="AG10" s="13">
        <f>IF([7]Quarter!F10="","",[7]Quarter!F10)</f>
        <v/>
      </c>
      <c r="AH10" s="13">
        <f>IF([7]Quarter!J10="","",[7]Quarter!J10)</f>
        <v/>
      </c>
      <c r="AI10" s="13">
        <f>IF([7]Quarter!N10="","",[7]Quarter!N10)</f>
        <v/>
      </c>
      <c r="AJ10" s="13">
        <f>IF([7]Quarter!R10="","",[7]Quarter!R10)</f>
        <v/>
      </c>
      <c r="AK10" s="13">
        <f>IF([7]Quarter!S10="","",[7]Quarter!S10)</f>
        <v/>
      </c>
      <c r="AL10" s="14">
        <f>IFERROR(AVERAGE(C10,H10,M10,R10,W10,AB10,AG10),"")</f>
        <v/>
      </c>
      <c r="AM10" s="14">
        <f>IFERROR(AVERAGE(D10,I10,N10,S10,X10,AC10,AH10),"")</f>
        <v/>
      </c>
      <c r="AN10" s="14">
        <f>IFERROR(AVERAGE(E10,J10,O10,T10,Y10,AD10,AI10),"")</f>
        <v/>
      </c>
      <c r="AO10" s="14">
        <f>IFERROR(AVERAGE(F10,K10,P10,U10,Z10,AE10,AJ10),"")</f>
        <v/>
      </c>
      <c r="AP10" s="14">
        <f>IFERROR(AVERAGE(G10,L10,Q10,V10,AA10,AF10,AK10),"")</f>
        <v/>
      </c>
      <c r="AQ10" s="4" t="inlineStr">
        <is>
          <t>Average of divisions</t>
        </is>
      </c>
    </row>
    <row r="11" ht="18.75" customHeight="1">
      <c r="A11" s="3" t="n"/>
      <c r="B11" s="12" t="inlineStr">
        <is>
          <t>Employee FTE (Finance)</t>
        </is>
      </c>
      <c r="C11" s="15">
        <f>IF([1]Quarter!F11="","",[1]Quarter!F11)</f>
        <v/>
      </c>
      <c r="D11" s="15">
        <f>IF([1]Quarter!J11="","",[1]Quarter!J11)</f>
        <v/>
      </c>
      <c r="E11" s="15">
        <f>IF([1]Quarter!N11="","",[1]Quarter!N11)</f>
        <v/>
      </c>
      <c r="F11" s="15">
        <f>IF([1]Quarter!R11="","",[1]Quarter!R11)</f>
        <v/>
      </c>
      <c r="G11" s="15">
        <f>IF([1]Quarter!S11="","",[1]Quarter!S11)</f>
        <v/>
      </c>
      <c r="H11" s="15">
        <f>IF([2]Quarter!F11="","",[2]Quarter!F11)</f>
        <v/>
      </c>
      <c r="I11" s="15">
        <f>IF([2]Quarter!J11="","",[2]Quarter!J11)</f>
        <v/>
      </c>
      <c r="J11" s="15">
        <f>IF([2]Quarter!N11="","",[2]Quarter!N11)</f>
        <v/>
      </c>
      <c r="K11" s="15">
        <f>IF([2]Quarter!R11="","",[2]Quarter!R11)</f>
        <v/>
      </c>
      <c r="L11" s="15">
        <f>IF([2]Quarter!S11="","",[2]Quarter!S11)</f>
        <v/>
      </c>
      <c r="M11" s="15">
        <f>IF([3]Quarter!F11="","",[3]Quarter!F11)</f>
        <v/>
      </c>
      <c r="N11" s="15">
        <f>IF([3]Quarter!J11="","",[3]Quarter!J11)</f>
        <v/>
      </c>
      <c r="O11" s="15">
        <f>IF([3]Quarter!N11="","",[3]Quarter!N11)</f>
        <v/>
      </c>
      <c r="P11" s="15">
        <f>IF([3]Quarter!R11="","",[3]Quarter!R11)</f>
        <v/>
      </c>
      <c r="Q11" s="15">
        <f>IF([3]Quarter!S11="","",[3]Quarter!S11)</f>
        <v/>
      </c>
      <c r="R11" s="15">
        <f>IF([4]Quarter!F11="","",[4]Quarter!F11)</f>
        <v/>
      </c>
      <c r="S11" s="15">
        <f>IF([4]Quarter!J11="","",[4]Quarter!J11)</f>
        <v/>
      </c>
      <c r="T11" s="15">
        <f>IF([4]Quarter!N11="","",[4]Quarter!N11)</f>
        <v/>
      </c>
      <c r="U11" s="15">
        <f>IF([4]Quarter!R11="","",[4]Quarter!R11)</f>
        <v/>
      </c>
      <c r="V11" s="15">
        <f>IF([4]Quarter!S11="","",[4]Quarter!S11)</f>
        <v/>
      </c>
      <c r="W11" s="15">
        <f>IF([5]Quarter!F11="","",[5]Quarter!F11)</f>
        <v/>
      </c>
      <c r="X11" s="15">
        <f>IF([5]Quarter!J11="","",[5]Quarter!J11)</f>
        <v/>
      </c>
      <c r="Y11" s="15">
        <f>IF([5]Quarter!N11="","",[5]Quarter!N11)</f>
        <v/>
      </c>
      <c r="Z11" s="15">
        <f>IF([5]Quarter!R11="","",[5]Quarter!R11)</f>
        <v/>
      </c>
      <c r="AA11" s="15">
        <f>IF([5]Quarter!S11="","",[5]Quarter!S11)</f>
        <v/>
      </c>
      <c r="AB11" s="15">
        <f>IF([6]Quarter!F11="","",[6]Quarter!F11)</f>
        <v/>
      </c>
      <c r="AC11" s="15">
        <f>IF([6]Quarter!J11="","",[6]Quarter!J11)</f>
        <v/>
      </c>
      <c r="AD11" s="15">
        <f>IF([6]Quarter!N11="","",[6]Quarter!N11)</f>
        <v/>
      </c>
      <c r="AE11" s="15">
        <f>IF([6]Quarter!R11="","",[6]Quarter!R11)</f>
        <v/>
      </c>
      <c r="AF11" s="15">
        <f>IF([6]Quarter!S11="","",[6]Quarter!S11)</f>
        <v/>
      </c>
      <c r="AG11" s="15">
        <f>IF([7]Quarter!F11="","",[7]Quarter!F11)</f>
        <v/>
      </c>
      <c r="AH11" s="15">
        <f>IF([7]Quarter!J11="","",[7]Quarter!J11)</f>
        <v/>
      </c>
      <c r="AI11" s="15">
        <f>IF([7]Quarter!N11="","",[7]Quarter!N11)</f>
        <v/>
      </c>
      <c r="AJ11" s="15">
        <f>IF([7]Quarter!R11="","",[7]Quarter!R11)</f>
        <v/>
      </c>
      <c r="AK11" s="15">
        <f>IF([7]Quarter!S11="","",[7]Quarter!S11)</f>
        <v/>
      </c>
      <c r="AL11" s="16">
        <f>IF(COUNT(AL6:AL9)=0,"",N(AL6)+N(AL7)*0.75+N(AL8)*0.5+N(AL9)*0.25)</f>
        <v/>
      </c>
      <c r="AM11" s="16">
        <f>IF(COUNT(AM6:AM9)=0,"",N(AM6)+N(AM7)*0.75+N(AM8)*0.5+N(AM9)*0.25)</f>
        <v/>
      </c>
      <c r="AN11" s="16">
        <f>IF(COUNT(AN6:AN9)=0,"",N(AN6)+N(AN7)*0.75+N(AN8)*0.5+N(AN9)*0.25)</f>
        <v/>
      </c>
      <c r="AO11" s="16">
        <f>IF(COUNT(AO6:AO9)=0,"",N(AO6)+N(AO7)*0.75+N(AO8)*0.5+N(AO9)*0.25)</f>
        <v/>
      </c>
      <c r="AP11" s="16">
        <f>IF(COUNT(AP6:AP9)=0,"",N(AP6)+N(AP7)*0.75+N(AP8)*0.5+N(AP9)*0.25)</f>
        <v/>
      </c>
      <c r="AQ11" s="4" t="inlineStr">
        <is>
          <t>Recalculated</t>
        </is>
      </c>
    </row>
    <row r="12" ht="18.75" customHeight="1">
      <c r="A12" s="3" t="n"/>
      <c r="B12" s="9" t="inlineStr">
        <is>
          <t>Subcontracted Workforce HC</t>
        </is>
      </c>
      <c r="C12" s="10">
        <f>IF([1]Quarter!F12="","",[1]Quarter!F12)</f>
        <v/>
      </c>
      <c r="D12" s="10">
        <f>IF([1]Quarter!J12="","",[1]Quarter!J12)</f>
        <v/>
      </c>
      <c r="E12" s="10">
        <f>IF([1]Quarter!N12="","",[1]Quarter!N12)</f>
        <v/>
      </c>
      <c r="F12" s="10">
        <f>IF([1]Quarter!R12="","",[1]Quarter!R12)</f>
        <v/>
      </c>
      <c r="G12" s="10">
        <f>IF([1]Quarter!S12="","",[1]Quarter!S12)</f>
        <v/>
      </c>
      <c r="H12" s="10">
        <f>IF([2]Quarter!F12="","",[2]Quarter!F12)</f>
        <v/>
      </c>
      <c r="I12" s="10">
        <f>IF([2]Quarter!J12="","",[2]Quarter!J12)</f>
        <v/>
      </c>
      <c r="J12" s="10">
        <f>IF([2]Quarter!N12="","",[2]Quarter!N12)</f>
        <v/>
      </c>
      <c r="K12" s="10">
        <f>IF([2]Quarter!R12="","",[2]Quarter!R12)</f>
        <v/>
      </c>
      <c r="L12" s="10">
        <f>IF([2]Quarter!S12="","",[2]Quarter!S12)</f>
        <v/>
      </c>
      <c r="M12" s="10">
        <f>IF([3]Quarter!F12="","",[3]Quarter!F12)</f>
        <v/>
      </c>
      <c r="N12" s="10">
        <f>IF([3]Quarter!J12="","",[3]Quarter!J12)</f>
        <v/>
      </c>
      <c r="O12" s="10">
        <f>IF([3]Quarter!N12="","",[3]Quarter!N12)</f>
        <v/>
      </c>
      <c r="P12" s="10">
        <f>IF([3]Quarter!R12="","",[3]Quarter!R12)</f>
        <v/>
      </c>
      <c r="Q12" s="10">
        <f>IF([3]Quarter!S12="","",[3]Quarter!S12)</f>
        <v/>
      </c>
      <c r="R12" s="10">
        <f>IF([4]Quarter!F12="","",[4]Quarter!F12)</f>
        <v/>
      </c>
      <c r="S12" s="10">
        <f>IF([4]Quarter!J12="","",[4]Quarter!J12)</f>
        <v/>
      </c>
      <c r="T12" s="10">
        <f>IF([4]Quarter!N12="","",[4]Quarter!N12)</f>
        <v/>
      </c>
      <c r="U12" s="10">
        <f>IF([4]Quarter!R12="","",[4]Quarter!R12)</f>
        <v/>
      </c>
      <c r="V12" s="10">
        <f>IF([4]Quarter!S12="","",[4]Quarter!S12)</f>
        <v/>
      </c>
      <c r="W12" s="10">
        <f>IF([5]Quarter!F12="","",[5]Quarter!F12)</f>
        <v/>
      </c>
      <c r="X12" s="10">
        <f>IF([5]Quarter!J12="","",[5]Quarter!J12)</f>
        <v/>
      </c>
      <c r="Y12" s="10">
        <f>IF([5]Quarter!N12="","",[5]Quarter!N12)</f>
        <v/>
      </c>
      <c r="Z12" s="10">
        <f>IF([5]Quarter!R12="","",[5]Quarter!R12)</f>
        <v/>
      </c>
      <c r="AA12" s="10">
        <f>IF([5]Quarter!S12="","",[5]Quarter!S12)</f>
        <v/>
      </c>
      <c r="AB12" s="10">
        <f>IF([6]Quarter!F12="","",[6]Quarter!F12)</f>
        <v/>
      </c>
      <c r="AC12" s="10">
        <f>IF([6]Quarter!J12="","",[6]Quarter!J12)</f>
        <v/>
      </c>
      <c r="AD12" s="10">
        <f>IF([6]Quarter!N12="","",[6]Quarter!N12)</f>
        <v/>
      </c>
      <c r="AE12" s="10">
        <f>IF([6]Quarter!R12="","",[6]Quarter!R12)</f>
        <v/>
      </c>
      <c r="AF12" s="10">
        <f>IF([6]Quarter!S12="","",[6]Quarter!S12)</f>
        <v/>
      </c>
      <c r="AG12" s="10">
        <f>IF([7]Quarter!F12="","",[7]Quarter!F12)</f>
        <v/>
      </c>
      <c r="AH12" s="10">
        <f>IF([7]Quarter!J12="","",[7]Quarter!J12)</f>
        <v/>
      </c>
      <c r="AI12" s="10">
        <f>IF([7]Quarter!N12="","",[7]Quarter!N12)</f>
        <v/>
      </c>
      <c r="AJ12" s="10">
        <f>IF([7]Quarter!R12="","",[7]Quarter!R12)</f>
        <v/>
      </c>
      <c r="AK12" s="10">
        <f>IF([7]Quarter!S12="","",[7]Quarter!S12)</f>
        <v/>
      </c>
      <c r="AL12" s="11">
        <f>IF(COUNT(C12,H12,M12,R12,W12,AB12,AG12)=0,"",SUM(C12,H12,M12,R12,W12,AB12,AG12))</f>
        <v/>
      </c>
      <c r="AM12" s="11">
        <f>IF(COUNT(D12,I12,N12,S12,X12,AC12,AH12)=0,"",SUM(D12,I12,N12,S12,X12,AC12,AH12))</f>
        <v/>
      </c>
      <c r="AN12" s="11">
        <f>IF(COUNT(E12,J12,O12,T12,Y12,AD12,AI12)=0,"",SUM(E12,J12,O12,T12,Y12,AD12,AI12))</f>
        <v/>
      </c>
      <c r="AO12" s="11">
        <f>IF(COUNT(F12,K12,P12,U12,Z12,AE12,AJ12)=0,"",SUM(F12,K12,P12,U12,Z12,AE12,AJ12))</f>
        <v/>
      </c>
      <c r="AP12" s="11">
        <f>IF(COUNT(G12,L12,Q12,V12,AA12,AF12,AK12)=0,"",SUM(G12,L12,Q12,V12,AA12,AF12,AK12))</f>
        <v/>
      </c>
      <c r="AQ12" s="4" t="inlineStr">
        <is>
          <t>Sum of divisions</t>
        </is>
      </c>
    </row>
    <row r="13" ht="18.75" customHeight="1">
      <c r="A13" s="3" t="n"/>
      <c r="B13" s="9" t="inlineStr">
        <is>
          <t>Subcontracted Productive Hours</t>
        </is>
      </c>
      <c r="C13" s="13">
        <f>IF([1]Quarter!F13="","",[1]Quarter!F13)</f>
        <v/>
      </c>
      <c r="D13" s="13">
        <f>IF([1]Quarter!J13="","",[1]Quarter!J13)</f>
        <v/>
      </c>
      <c r="E13" s="13">
        <f>IF([1]Quarter!N13="","",[1]Quarter!N13)</f>
        <v/>
      </c>
      <c r="F13" s="13">
        <f>IF([1]Quarter!R13="","",[1]Quarter!R13)</f>
        <v/>
      </c>
      <c r="G13" s="13">
        <f>IF([1]Quarter!S13="","",[1]Quarter!S13)</f>
        <v/>
      </c>
      <c r="H13" s="13">
        <f>IF([2]Quarter!F13="","",[2]Quarter!F13)</f>
        <v/>
      </c>
      <c r="I13" s="13">
        <f>IF([2]Quarter!J13="","",[2]Quarter!J13)</f>
        <v/>
      </c>
      <c r="J13" s="13">
        <f>IF([2]Quarter!N13="","",[2]Quarter!N13)</f>
        <v/>
      </c>
      <c r="K13" s="13">
        <f>IF([2]Quarter!R13="","",[2]Quarter!R13)</f>
        <v/>
      </c>
      <c r="L13" s="13">
        <f>IF([2]Quarter!S13="","",[2]Quarter!S13)</f>
        <v/>
      </c>
      <c r="M13" s="13">
        <f>IF([3]Quarter!F13="","",[3]Quarter!F13)</f>
        <v/>
      </c>
      <c r="N13" s="13">
        <f>IF([3]Quarter!J13="","",[3]Quarter!J13)</f>
        <v/>
      </c>
      <c r="O13" s="13">
        <f>IF([3]Quarter!N13="","",[3]Quarter!N13)</f>
        <v/>
      </c>
      <c r="P13" s="13">
        <f>IF([3]Quarter!R13="","",[3]Quarter!R13)</f>
        <v/>
      </c>
      <c r="Q13" s="13">
        <f>IF([3]Quarter!S13="","",[3]Quarter!S13)</f>
        <v/>
      </c>
      <c r="R13" s="13">
        <f>IF([4]Quarter!F13="","",[4]Quarter!F13)</f>
        <v/>
      </c>
      <c r="S13" s="13">
        <f>IF([4]Quarter!J13="","",[4]Quarter!J13)</f>
        <v/>
      </c>
      <c r="T13" s="13">
        <f>IF([4]Quarter!N13="","",[4]Quarter!N13)</f>
        <v/>
      </c>
      <c r="U13" s="13">
        <f>IF([4]Quarter!R13="","",[4]Quarter!R13)</f>
        <v/>
      </c>
      <c r="V13" s="13">
        <f>IF([4]Quarter!S13="","",[4]Quarter!S13)</f>
        <v/>
      </c>
      <c r="W13" s="13">
        <f>IF([5]Quarter!F13="","",[5]Quarter!F13)</f>
        <v/>
      </c>
      <c r="X13" s="13">
        <f>IF([5]Quarter!J13="","",[5]Quarter!J13)</f>
        <v/>
      </c>
      <c r="Y13" s="13">
        <f>IF([5]Quarter!N13="","",[5]Quarter!N13)</f>
        <v/>
      </c>
      <c r="Z13" s="13">
        <f>IF([5]Quarter!R13="","",[5]Quarter!R13)</f>
        <v/>
      </c>
      <c r="AA13" s="13">
        <f>IF([5]Quarter!S13="","",[5]Quarter!S13)</f>
        <v/>
      </c>
      <c r="AB13" s="13">
        <f>IF([6]Quarter!F13="","",[6]Quarter!F13)</f>
        <v/>
      </c>
      <c r="AC13" s="13">
        <f>IF([6]Quarter!J13="","",[6]Quarter!J13)</f>
        <v/>
      </c>
      <c r="AD13" s="13">
        <f>IF([6]Quarter!N13="","",[6]Quarter!N13)</f>
        <v/>
      </c>
      <c r="AE13" s="13">
        <f>IF([6]Quarter!R13="","",[6]Quarter!R13)</f>
        <v/>
      </c>
      <c r="AF13" s="13">
        <f>IF([6]Quarter!S13="","",[6]Quarter!S13)</f>
        <v/>
      </c>
      <c r="AG13" s="13">
        <f>IF([7]Quarter!F13="","",[7]Quarter!F13)</f>
        <v/>
      </c>
      <c r="AH13" s="13">
        <f>IF([7]Quarter!J13="","",[7]Quarter!J13)</f>
        <v/>
      </c>
      <c r="AI13" s="13">
        <f>IF([7]Quarter!N13="","",[7]Quarter!N13)</f>
        <v/>
      </c>
      <c r="AJ13" s="13">
        <f>IF([7]Quarter!R13="","",[7]Quarter!R13)</f>
        <v/>
      </c>
      <c r="AK13" s="13">
        <f>IF([7]Quarter!S13="","",[7]Quarter!S13)</f>
        <v/>
      </c>
      <c r="AL13" s="14">
        <f>IF(COUNT(C13,H13,M13,R13,W13,AB13,AG13)=0,"",SUM(C13,H13,M13,R13,W13,AB13,AG13))</f>
        <v/>
      </c>
      <c r="AM13" s="14">
        <f>IF(COUNT(D13,I13,N13,S13,X13,AC13,AH13)=0,"",SUM(D13,I13,N13,S13,X13,AC13,AH13))</f>
        <v/>
      </c>
      <c r="AN13" s="14">
        <f>IF(COUNT(E13,J13,O13,T13,Y13,AD13,AI13)=0,"",SUM(E13,J13,O13,T13,Y13,AD13,AI13))</f>
        <v/>
      </c>
      <c r="AO13" s="14">
        <f>IF(COUNT(F13,K13,P13,U13,Z13,AE13,AJ13)=0,"",SUM(F13,K13,P13,U13,Z13,AE13,AJ13))</f>
        <v/>
      </c>
      <c r="AP13" s="14">
        <f>IF(COUNT(G13,L13,Q13,V13,AA13,AF13,AK13)=0,"",SUM(G13,L13,Q13,V13,AA13,AF13,AK13))</f>
        <v/>
      </c>
      <c r="AQ13" s="4" t="inlineStr">
        <is>
          <t>Sum of divisions</t>
        </is>
      </c>
    </row>
    <row r="14" ht="18.75" customHeight="1">
      <c r="A14" s="3" t="n"/>
      <c r="B14" s="12" t="inlineStr">
        <is>
          <t>Subcontracted FTE</t>
        </is>
      </c>
      <c r="C14" s="15">
        <f>IF([1]Quarter!F14="","",[1]Quarter!F14)</f>
        <v/>
      </c>
      <c r="D14" s="15">
        <f>IF([1]Quarter!J14="","",[1]Quarter!J14)</f>
        <v/>
      </c>
      <c r="E14" s="15">
        <f>IF([1]Quarter!N14="","",[1]Quarter!N14)</f>
        <v/>
      </c>
      <c r="F14" s="15">
        <f>IF([1]Quarter!R14="","",[1]Quarter!R14)</f>
        <v/>
      </c>
      <c r="G14" s="15">
        <f>IF([1]Quarter!S14="","",[1]Quarter!S14)</f>
        <v/>
      </c>
      <c r="H14" s="15">
        <f>IF([2]Quarter!F14="","",[2]Quarter!F14)</f>
        <v/>
      </c>
      <c r="I14" s="15">
        <f>IF([2]Quarter!J14="","",[2]Quarter!J14)</f>
        <v/>
      </c>
      <c r="J14" s="15">
        <f>IF([2]Quarter!N14="","",[2]Quarter!N14)</f>
        <v/>
      </c>
      <c r="K14" s="15">
        <f>IF([2]Quarter!R14="","",[2]Quarter!R14)</f>
        <v/>
      </c>
      <c r="L14" s="15">
        <f>IF([2]Quarter!S14="","",[2]Quarter!S14)</f>
        <v/>
      </c>
      <c r="M14" s="15">
        <f>IF([3]Quarter!F14="","",[3]Quarter!F14)</f>
        <v/>
      </c>
      <c r="N14" s="15">
        <f>IF([3]Quarter!J14="","",[3]Quarter!J14)</f>
        <v/>
      </c>
      <c r="O14" s="15">
        <f>IF([3]Quarter!N14="","",[3]Quarter!N14)</f>
        <v/>
      </c>
      <c r="P14" s="15">
        <f>IF([3]Quarter!R14="","",[3]Quarter!R14)</f>
        <v/>
      </c>
      <c r="Q14" s="15">
        <f>IF([3]Quarter!S14="","",[3]Quarter!S14)</f>
        <v/>
      </c>
      <c r="R14" s="15">
        <f>IF([4]Quarter!F14="","",[4]Quarter!F14)</f>
        <v/>
      </c>
      <c r="S14" s="15">
        <f>IF([4]Quarter!J14="","",[4]Quarter!J14)</f>
        <v/>
      </c>
      <c r="T14" s="15">
        <f>IF([4]Quarter!N14="","",[4]Quarter!N14)</f>
        <v/>
      </c>
      <c r="U14" s="15">
        <f>IF([4]Quarter!R14="","",[4]Quarter!R14)</f>
        <v/>
      </c>
      <c r="V14" s="15">
        <f>IF([4]Quarter!S14="","",[4]Quarter!S14)</f>
        <v/>
      </c>
      <c r="W14" s="15">
        <f>IF([5]Quarter!F14="","",[5]Quarter!F14)</f>
        <v/>
      </c>
      <c r="X14" s="15">
        <f>IF([5]Quarter!J14="","",[5]Quarter!J14)</f>
        <v/>
      </c>
      <c r="Y14" s="15">
        <f>IF([5]Quarter!N14="","",[5]Quarter!N14)</f>
        <v/>
      </c>
      <c r="Z14" s="15">
        <f>IF([5]Quarter!R14="","",[5]Quarter!R14)</f>
        <v/>
      </c>
      <c r="AA14" s="15">
        <f>IF([5]Quarter!S14="","",[5]Quarter!S14)</f>
        <v/>
      </c>
      <c r="AB14" s="15">
        <f>IF([6]Quarter!F14="","",[6]Quarter!F14)</f>
        <v/>
      </c>
      <c r="AC14" s="15">
        <f>IF([6]Quarter!J14="","",[6]Quarter!J14)</f>
        <v/>
      </c>
      <c r="AD14" s="15">
        <f>IF([6]Quarter!N14="","",[6]Quarter!N14)</f>
        <v/>
      </c>
      <c r="AE14" s="15">
        <f>IF([6]Quarter!R14="","",[6]Quarter!R14)</f>
        <v/>
      </c>
      <c r="AF14" s="15">
        <f>IF([6]Quarter!S14="","",[6]Quarter!S14)</f>
        <v/>
      </c>
      <c r="AG14" s="15">
        <f>IF([7]Quarter!F14="","",[7]Quarter!F14)</f>
        <v/>
      </c>
      <c r="AH14" s="15">
        <f>IF([7]Quarter!J14="","",[7]Quarter!J14)</f>
        <v/>
      </c>
      <c r="AI14" s="15">
        <f>IF([7]Quarter!N14="","",[7]Quarter!N14)</f>
        <v/>
      </c>
      <c r="AJ14" s="15">
        <f>IF([7]Quarter!R14="","",[7]Quarter!R14)</f>
        <v/>
      </c>
      <c r="AK14" s="15">
        <f>IF([7]Quarter!S14="","",[7]Quarter!S14)</f>
        <v/>
      </c>
      <c r="AL14" s="16">
        <f>IF(COUNT(C14,H14,M14,R14,W14,AB14,AG14)=0,"",SUM(C14,H14,M14,R14,W14,AB14,AG14))</f>
        <v/>
      </c>
      <c r="AM14" s="16">
        <f>IF(COUNT(D14,I14,N14,S14,X14,AC14,AH14)=0,"",SUM(D14,I14,N14,S14,X14,AC14,AH14))</f>
        <v/>
      </c>
      <c r="AN14" s="16">
        <f>IF(COUNT(E14,J14,O14,T14,Y14,AD14,AI14)=0,"",SUM(E14,J14,O14,T14,Y14,AD14,AI14))</f>
        <v/>
      </c>
      <c r="AO14" s="16">
        <f>IF(COUNT(F14,K14,P14,U14,Z14,AE14,AJ14)=0,"",SUM(F14,K14,P14,U14,Z14,AE14,AJ14))</f>
        <v/>
      </c>
      <c r="AP14" s="16">
        <f>IF(COUNT(G14,L14,Q14,V14,AA14,AF14,AK14)=0,"",SUM(G14,L14,Q14,V14,AA14,AF14,AK14))</f>
        <v/>
      </c>
      <c r="AQ14" s="4" t="inlineStr">
        <is>
          <t>Sum of divisions</t>
        </is>
      </c>
    </row>
    <row r="15" ht="18.75" customHeight="1">
      <c r="A15" s="3" t="n"/>
      <c r="B15" s="17" t="inlineStr">
        <is>
          <t>Total Operational Workforce</t>
        </is>
      </c>
      <c r="C15" s="10">
        <f>IF([1]Quarter!F15="","",[1]Quarter!F15)</f>
        <v/>
      </c>
      <c r="D15" s="10">
        <f>IF([1]Quarter!J15="","",[1]Quarter!J15)</f>
        <v/>
      </c>
      <c r="E15" s="10">
        <f>IF([1]Quarter!N15="","",[1]Quarter!N15)</f>
        <v/>
      </c>
      <c r="F15" s="10">
        <f>IF([1]Quarter!R15="","",[1]Quarter!R15)</f>
        <v/>
      </c>
      <c r="G15" s="10">
        <f>IF([1]Quarter!S15="","",[1]Quarter!S15)</f>
        <v/>
      </c>
      <c r="H15" s="10">
        <f>IF([2]Quarter!F15="","",[2]Quarter!F15)</f>
        <v/>
      </c>
      <c r="I15" s="10">
        <f>IF([2]Quarter!J15="","",[2]Quarter!J15)</f>
        <v/>
      </c>
      <c r="J15" s="10">
        <f>IF([2]Quarter!N15="","",[2]Quarter!N15)</f>
        <v/>
      </c>
      <c r="K15" s="10">
        <f>IF([2]Quarter!R15="","",[2]Quarter!R15)</f>
        <v/>
      </c>
      <c r="L15" s="10">
        <f>IF([2]Quarter!S15="","",[2]Quarter!S15)</f>
        <v/>
      </c>
      <c r="M15" s="10">
        <f>IF([3]Quarter!F15="","",[3]Quarter!F15)</f>
        <v/>
      </c>
      <c r="N15" s="10">
        <f>IF([3]Quarter!J15="","",[3]Quarter!J15)</f>
        <v/>
      </c>
      <c r="O15" s="10">
        <f>IF([3]Quarter!N15="","",[3]Quarter!N15)</f>
        <v/>
      </c>
      <c r="P15" s="10">
        <f>IF([3]Quarter!R15="","",[3]Quarter!R15)</f>
        <v/>
      </c>
      <c r="Q15" s="10">
        <f>IF([3]Quarter!S15="","",[3]Quarter!S15)</f>
        <v/>
      </c>
      <c r="R15" s="10">
        <f>IF([4]Quarter!F15="","",[4]Quarter!F15)</f>
        <v/>
      </c>
      <c r="S15" s="10">
        <f>IF([4]Quarter!J15="","",[4]Quarter!J15)</f>
        <v/>
      </c>
      <c r="T15" s="10">
        <f>IF([4]Quarter!N15="","",[4]Quarter!N15)</f>
        <v/>
      </c>
      <c r="U15" s="10">
        <f>IF([4]Quarter!R15="","",[4]Quarter!R15)</f>
        <v/>
      </c>
      <c r="V15" s="10">
        <f>IF([4]Quarter!S15="","",[4]Quarter!S15)</f>
        <v/>
      </c>
      <c r="W15" s="10">
        <f>IF([5]Quarter!F15="","",[5]Quarter!F15)</f>
        <v/>
      </c>
      <c r="X15" s="10">
        <f>IF([5]Quarter!J15="","",[5]Quarter!J15)</f>
        <v/>
      </c>
      <c r="Y15" s="10">
        <f>IF([5]Quarter!N15="","",[5]Quarter!N15)</f>
        <v/>
      </c>
      <c r="Z15" s="10">
        <f>IF([5]Quarter!R15="","",[5]Quarter!R15)</f>
        <v/>
      </c>
      <c r="AA15" s="10">
        <f>IF([5]Quarter!S15="","",[5]Quarter!S15)</f>
        <v/>
      </c>
      <c r="AB15" s="10">
        <f>IF([6]Quarter!F15="","",[6]Quarter!F15)</f>
        <v/>
      </c>
      <c r="AC15" s="10">
        <f>IF([6]Quarter!J15="","",[6]Quarter!J15)</f>
        <v/>
      </c>
      <c r="AD15" s="10">
        <f>IF([6]Quarter!N15="","",[6]Quarter!N15)</f>
        <v/>
      </c>
      <c r="AE15" s="10">
        <f>IF([6]Quarter!R15="","",[6]Quarter!R15)</f>
        <v/>
      </c>
      <c r="AF15" s="10">
        <f>IF([6]Quarter!S15="","",[6]Quarter!S15)</f>
        <v/>
      </c>
      <c r="AG15" s="10">
        <f>IF([7]Quarter!F15="","",[7]Quarter!F15)</f>
        <v/>
      </c>
      <c r="AH15" s="10">
        <f>IF([7]Quarter!J15="","",[7]Quarter!J15)</f>
        <v/>
      </c>
      <c r="AI15" s="10">
        <f>IF([7]Quarter!N15="","",[7]Quarter!N15)</f>
        <v/>
      </c>
      <c r="AJ15" s="10">
        <f>IF([7]Quarter!R15="","",[7]Quarter!R15)</f>
        <v/>
      </c>
      <c r="AK15" s="10">
        <f>IF([7]Quarter!S15="","",[7]Quarter!S15)</f>
        <v/>
      </c>
      <c r="AL15" s="11">
        <f>IF(COUNT(AL5,AL12)=0,"",SUM(AL5,AL12))</f>
        <v/>
      </c>
      <c r="AM15" s="11">
        <f>IF(COUNT(AM5,AM12)=0,"",SUM(AM5,AM12))</f>
        <v/>
      </c>
      <c r="AN15" s="11">
        <f>IF(COUNT(AN5,AN12)=0,"",SUM(AN5,AN12))</f>
        <v/>
      </c>
      <c r="AO15" s="11">
        <f>IF(COUNT(AO5,AO12)=0,"",SUM(AO5,AO12))</f>
        <v/>
      </c>
      <c r="AP15" s="11">
        <f>IF(COUNT(AP5,AP12)=0,"",SUM(AP5,AP12))</f>
        <v/>
      </c>
      <c r="AQ15" s="4" t="inlineStr">
        <is>
          <t>Recalculated</t>
        </is>
      </c>
    </row>
    <row r="16" ht="18.75" customHeight="1">
      <c r="A16" s="3" t="n"/>
      <c r="B16" s="17" t="inlineStr">
        <is>
          <t>Total Operational FTE</t>
        </is>
      </c>
      <c r="C16" s="15">
        <f>IF([1]Quarter!F16="","",[1]Quarter!F16)</f>
        <v/>
      </c>
      <c r="D16" s="15">
        <f>IF([1]Quarter!J16="","",[1]Quarter!J16)</f>
        <v/>
      </c>
      <c r="E16" s="15">
        <f>IF([1]Quarter!N16="","",[1]Quarter!N16)</f>
        <v/>
      </c>
      <c r="F16" s="15">
        <f>IF([1]Quarter!R16="","",[1]Quarter!R16)</f>
        <v/>
      </c>
      <c r="G16" s="15">
        <f>IF([1]Quarter!S16="","",[1]Quarter!S16)</f>
        <v/>
      </c>
      <c r="H16" s="15">
        <f>IF([2]Quarter!F16="","",[2]Quarter!F16)</f>
        <v/>
      </c>
      <c r="I16" s="15">
        <f>IF([2]Quarter!J16="","",[2]Quarter!J16)</f>
        <v/>
      </c>
      <c r="J16" s="15">
        <f>IF([2]Quarter!N16="","",[2]Quarter!N16)</f>
        <v/>
      </c>
      <c r="K16" s="15">
        <f>IF([2]Quarter!R16="","",[2]Quarter!R16)</f>
        <v/>
      </c>
      <c r="L16" s="15">
        <f>IF([2]Quarter!S16="","",[2]Quarter!S16)</f>
        <v/>
      </c>
      <c r="M16" s="15">
        <f>IF([3]Quarter!F16="","",[3]Quarter!F16)</f>
        <v/>
      </c>
      <c r="N16" s="15">
        <f>IF([3]Quarter!J16="","",[3]Quarter!J16)</f>
        <v/>
      </c>
      <c r="O16" s="15">
        <f>IF([3]Quarter!N16="","",[3]Quarter!N16)</f>
        <v/>
      </c>
      <c r="P16" s="15">
        <f>IF([3]Quarter!R16="","",[3]Quarter!R16)</f>
        <v/>
      </c>
      <c r="Q16" s="15">
        <f>IF([3]Quarter!S16="","",[3]Quarter!S16)</f>
        <v/>
      </c>
      <c r="R16" s="15">
        <f>IF([4]Quarter!F16="","",[4]Quarter!F16)</f>
        <v/>
      </c>
      <c r="S16" s="15">
        <f>IF([4]Quarter!J16="","",[4]Quarter!J16)</f>
        <v/>
      </c>
      <c r="T16" s="15">
        <f>IF([4]Quarter!N16="","",[4]Quarter!N16)</f>
        <v/>
      </c>
      <c r="U16" s="15">
        <f>IF([4]Quarter!R16="","",[4]Quarter!R16)</f>
        <v/>
      </c>
      <c r="V16" s="15">
        <f>IF([4]Quarter!S16="","",[4]Quarter!S16)</f>
        <v/>
      </c>
      <c r="W16" s="15">
        <f>IF([5]Quarter!F16="","",[5]Quarter!F16)</f>
        <v/>
      </c>
      <c r="X16" s="15">
        <f>IF([5]Quarter!J16="","",[5]Quarter!J16)</f>
        <v/>
      </c>
      <c r="Y16" s="15">
        <f>IF([5]Quarter!N16="","",[5]Quarter!N16)</f>
        <v/>
      </c>
      <c r="Z16" s="15">
        <f>IF([5]Quarter!R16="","",[5]Quarter!R16)</f>
        <v/>
      </c>
      <c r="AA16" s="15">
        <f>IF([5]Quarter!S16="","",[5]Quarter!S16)</f>
        <v/>
      </c>
      <c r="AB16" s="15">
        <f>IF([6]Quarter!F16="","",[6]Quarter!F16)</f>
        <v/>
      </c>
      <c r="AC16" s="15">
        <f>IF([6]Quarter!J16="","",[6]Quarter!J16)</f>
        <v/>
      </c>
      <c r="AD16" s="15">
        <f>IF([6]Quarter!N16="","",[6]Quarter!N16)</f>
        <v/>
      </c>
      <c r="AE16" s="15">
        <f>IF([6]Quarter!R16="","",[6]Quarter!R16)</f>
        <v/>
      </c>
      <c r="AF16" s="15">
        <f>IF([6]Quarter!S16="","",[6]Quarter!S16)</f>
        <v/>
      </c>
      <c r="AG16" s="15">
        <f>IF([7]Quarter!F16="","",[7]Quarter!F16)</f>
        <v/>
      </c>
      <c r="AH16" s="15">
        <f>IF([7]Quarter!J16="","",[7]Quarter!J16)</f>
        <v/>
      </c>
      <c r="AI16" s="15">
        <f>IF([7]Quarter!N16="","",[7]Quarter!N16)</f>
        <v/>
      </c>
      <c r="AJ16" s="15">
        <f>IF([7]Quarter!R16="","",[7]Quarter!R16)</f>
        <v/>
      </c>
      <c r="AK16" s="15">
        <f>IF([7]Quarter!S16="","",[7]Quarter!S16)</f>
        <v/>
      </c>
      <c r="AL16" s="16">
        <f>IF(COUNT(AL11,AL14)=0,"",SUM(AL11,AL14))</f>
        <v/>
      </c>
      <c r="AM16" s="16">
        <f>IF(COUNT(AM11,AM14)=0,"",SUM(AM11,AM14))</f>
        <v/>
      </c>
      <c r="AN16" s="16">
        <f>IF(COUNT(AN11,AN14)=0,"",SUM(AN11,AN14))</f>
        <v/>
      </c>
      <c r="AO16" s="16">
        <f>IF(COUNT(AO11,AO14)=0,"",SUM(AO11,AO14))</f>
        <v/>
      </c>
      <c r="AP16" s="16">
        <f>IF(COUNT(AP11,AP14)=0,"",SUM(AP11,AP14))</f>
        <v/>
      </c>
      <c r="AQ16" s="4" t="inlineStr">
        <is>
          <t>Recalculated</t>
        </is>
      </c>
    </row>
    <row r="17" ht="18.75" customHeight="1">
      <c r="A17" s="3" t="n"/>
      <c r="B17" s="12" t="inlineStr">
        <is>
          <t>Subcontracted Share of Workforce (%)</t>
        </is>
      </c>
      <c r="C17" s="18">
        <f>IF([1]Quarter!F17="","",[1]Quarter!F17)</f>
        <v/>
      </c>
      <c r="D17" s="18">
        <f>IF([1]Quarter!J17="","",[1]Quarter!J17)</f>
        <v/>
      </c>
      <c r="E17" s="18">
        <f>IF([1]Quarter!N17="","",[1]Quarter!N17)</f>
        <v/>
      </c>
      <c r="F17" s="18">
        <f>IF([1]Quarter!R17="","",[1]Quarter!R17)</f>
        <v/>
      </c>
      <c r="G17" s="18">
        <f>IF([1]Quarter!S17="","",[1]Quarter!S17)</f>
        <v/>
      </c>
      <c r="H17" s="18">
        <f>IF([2]Quarter!F17="","",[2]Quarter!F17)</f>
        <v/>
      </c>
      <c r="I17" s="18">
        <f>IF([2]Quarter!J17="","",[2]Quarter!J17)</f>
        <v/>
      </c>
      <c r="J17" s="18">
        <f>IF([2]Quarter!N17="","",[2]Quarter!N17)</f>
        <v/>
      </c>
      <c r="K17" s="18">
        <f>IF([2]Quarter!R17="","",[2]Quarter!R17)</f>
        <v/>
      </c>
      <c r="L17" s="18">
        <f>IF([2]Quarter!S17="","",[2]Quarter!S17)</f>
        <v/>
      </c>
      <c r="M17" s="18">
        <f>IF([3]Quarter!F17="","",[3]Quarter!F17)</f>
        <v/>
      </c>
      <c r="N17" s="18">
        <f>IF([3]Quarter!J17="","",[3]Quarter!J17)</f>
        <v/>
      </c>
      <c r="O17" s="18">
        <f>IF([3]Quarter!N17="","",[3]Quarter!N17)</f>
        <v/>
      </c>
      <c r="P17" s="18">
        <f>IF([3]Quarter!R17="","",[3]Quarter!R17)</f>
        <v/>
      </c>
      <c r="Q17" s="18">
        <f>IF([3]Quarter!S17="","",[3]Quarter!S17)</f>
        <v/>
      </c>
      <c r="R17" s="18">
        <f>IF([4]Quarter!F17="","",[4]Quarter!F17)</f>
        <v/>
      </c>
      <c r="S17" s="18">
        <f>IF([4]Quarter!J17="","",[4]Quarter!J17)</f>
        <v/>
      </c>
      <c r="T17" s="18">
        <f>IF([4]Quarter!N17="","",[4]Quarter!N17)</f>
        <v/>
      </c>
      <c r="U17" s="18">
        <f>IF([4]Quarter!R17="","",[4]Quarter!R17)</f>
        <v/>
      </c>
      <c r="V17" s="18">
        <f>IF([4]Quarter!S17="","",[4]Quarter!S17)</f>
        <v/>
      </c>
      <c r="W17" s="18">
        <f>IF([5]Quarter!F17="","",[5]Quarter!F17)</f>
        <v/>
      </c>
      <c r="X17" s="18">
        <f>IF([5]Quarter!J17="","",[5]Quarter!J17)</f>
        <v/>
      </c>
      <c r="Y17" s="18">
        <f>IF([5]Quarter!N17="","",[5]Quarter!N17)</f>
        <v/>
      </c>
      <c r="Z17" s="18">
        <f>IF([5]Quarter!R17="","",[5]Quarter!R17)</f>
        <v/>
      </c>
      <c r="AA17" s="18">
        <f>IF([5]Quarter!S17="","",[5]Quarter!S17)</f>
        <v/>
      </c>
      <c r="AB17" s="18">
        <f>IF([6]Quarter!F17="","",[6]Quarter!F17)</f>
        <v/>
      </c>
      <c r="AC17" s="18">
        <f>IF([6]Quarter!J17="","",[6]Quarter!J17)</f>
        <v/>
      </c>
      <c r="AD17" s="18">
        <f>IF([6]Quarter!N17="","",[6]Quarter!N17)</f>
        <v/>
      </c>
      <c r="AE17" s="18">
        <f>IF([6]Quarter!R17="","",[6]Quarter!R17)</f>
        <v/>
      </c>
      <c r="AF17" s="18">
        <f>IF([6]Quarter!S17="","",[6]Quarter!S17)</f>
        <v/>
      </c>
      <c r="AG17" s="18">
        <f>IF([7]Quarter!F17="","",[7]Quarter!F17)</f>
        <v/>
      </c>
      <c r="AH17" s="18">
        <f>IF([7]Quarter!J17="","",[7]Quarter!J17)</f>
        <v/>
      </c>
      <c r="AI17" s="18">
        <f>IF([7]Quarter!N17="","",[7]Quarter!N17)</f>
        <v/>
      </c>
      <c r="AJ17" s="18">
        <f>IF([7]Quarter!R17="","",[7]Quarter!R17)</f>
        <v/>
      </c>
      <c r="AK17" s="18">
        <f>IF([7]Quarter!S17="","",[7]Quarter!S17)</f>
        <v/>
      </c>
      <c r="AL17" s="19">
        <f>IFERROR(AL12/AL15,"")</f>
        <v/>
      </c>
      <c r="AM17" s="19">
        <f>IFERROR(AM12/AM15,"")</f>
        <v/>
      </c>
      <c r="AN17" s="19">
        <f>IFERROR(AN12/AN15,"")</f>
        <v/>
      </c>
      <c r="AO17" s="19">
        <f>IFERROR(AO12/AO15,"")</f>
        <v/>
      </c>
      <c r="AP17" s="19">
        <f>IFERROR(AP12/AP15,"")</f>
        <v/>
      </c>
      <c r="AQ17" s="4" t="inlineStr">
        <is>
          <t>Recalculated</t>
        </is>
      </c>
    </row>
    <row r="18" ht="18.75" customHeight="1">
      <c r="A18" s="3" t="n"/>
      <c r="B18" s="9" t="inlineStr">
        <is>
          <t>FTE HR Team</t>
        </is>
      </c>
      <c r="C18" s="10">
        <f>IF([1]Quarter!F18="","",[1]Quarter!F18)</f>
        <v/>
      </c>
      <c r="D18" s="10">
        <f>IF([1]Quarter!J18="","",[1]Quarter!J18)</f>
        <v/>
      </c>
      <c r="E18" s="10">
        <f>IF([1]Quarter!N18="","",[1]Quarter!N18)</f>
        <v/>
      </c>
      <c r="F18" s="10">
        <f>IF([1]Quarter!R18="","",[1]Quarter!R18)</f>
        <v/>
      </c>
      <c r="G18" s="10">
        <f>IF([1]Quarter!S18="","",[1]Quarter!S18)</f>
        <v/>
      </c>
      <c r="H18" s="10">
        <f>IF([2]Quarter!F18="","",[2]Quarter!F18)</f>
        <v/>
      </c>
      <c r="I18" s="10">
        <f>IF([2]Quarter!J18="","",[2]Quarter!J18)</f>
        <v/>
      </c>
      <c r="J18" s="10">
        <f>IF([2]Quarter!N18="","",[2]Quarter!N18)</f>
        <v/>
      </c>
      <c r="K18" s="10">
        <f>IF([2]Quarter!R18="","",[2]Quarter!R18)</f>
        <v/>
      </c>
      <c r="L18" s="10">
        <f>IF([2]Quarter!S18="","",[2]Quarter!S18)</f>
        <v/>
      </c>
      <c r="M18" s="10">
        <f>IF([3]Quarter!F18="","",[3]Quarter!F18)</f>
        <v/>
      </c>
      <c r="N18" s="10">
        <f>IF([3]Quarter!J18="","",[3]Quarter!J18)</f>
        <v/>
      </c>
      <c r="O18" s="10">
        <f>IF([3]Quarter!N18="","",[3]Quarter!N18)</f>
        <v/>
      </c>
      <c r="P18" s="10">
        <f>IF([3]Quarter!R18="","",[3]Quarter!R18)</f>
        <v/>
      </c>
      <c r="Q18" s="10">
        <f>IF([3]Quarter!S18="","",[3]Quarter!S18)</f>
        <v/>
      </c>
      <c r="R18" s="10">
        <f>IF([4]Quarter!F18="","",[4]Quarter!F18)</f>
        <v/>
      </c>
      <c r="S18" s="10">
        <f>IF([4]Quarter!J18="","",[4]Quarter!J18)</f>
        <v/>
      </c>
      <c r="T18" s="10">
        <f>IF([4]Quarter!N18="","",[4]Quarter!N18)</f>
        <v/>
      </c>
      <c r="U18" s="10">
        <f>IF([4]Quarter!R18="","",[4]Quarter!R18)</f>
        <v/>
      </c>
      <c r="V18" s="10">
        <f>IF([4]Quarter!S18="","",[4]Quarter!S18)</f>
        <v/>
      </c>
      <c r="W18" s="10">
        <f>IF([5]Quarter!F18="","",[5]Quarter!F18)</f>
        <v/>
      </c>
      <c r="X18" s="10">
        <f>IF([5]Quarter!J18="","",[5]Quarter!J18)</f>
        <v/>
      </c>
      <c r="Y18" s="10">
        <f>IF([5]Quarter!N18="","",[5]Quarter!N18)</f>
        <v/>
      </c>
      <c r="Z18" s="10">
        <f>IF([5]Quarter!R18="","",[5]Quarter!R18)</f>
        <v/>
      </c>
      <c r="AA18" s="10">
        <f>IF([5]Quarter!S18="","",[5]Quarter!S18)</f>
        <v/>
      </c>
      <c r="AB18" s="10">
        <f>IF([6]Quarter!F18="","",[6]Quarter!F18)</f>
        <v/>
      </c>
      <c r="AC18" s="10">
        <f>IF([6]Quarter!J18="","",[6]Quarter!J18)</f>
        <v/>
      </c>
      <c r="AD18" s="10">
        <f>IF([6]Quarter!N18="","",[6]Quarter!N18)</f>
        <v/>
      </c>
      <c r="AE18" s="10">
        <f>IF([6]Quarter!R18="","",[6]Quarter!R18)</f>
        <v/>
      </c>
      <c r="AF18" s="10">
        <f>IF([6]Quarter!S18="","",[6]Quarter!S18)</f>
        <v/>
      </c>
      <c r="AG18" s="10">
        <f>IF([7]Quarter!F18="","",[7]Quarter!F18)</f>
        <v/>
      </c>
      <c r="AH18" s="10">
        <f>IF([7]Quarter!J18="","",[7]Quarter!J18)</f>
        <v/>
      </c>
      <c r="AI18" s="10">
        <f>IF([7]Quarter!N18="","",[7]Quarter!N18)</f>
        <v/>
      </c>
      <c r="AJ18" s="10">
        <f>IF([7]Quarter!R18="","",[7]Quarter!R18)</f>
        <v/>
      </c>
      <c r="AK18" s="10">
        <f>IF([7]Quarter!S18="","",[7]Quarter!S18)</f>
        <v/>
      </c>
      <c r="AL18" s="11">
        <f>IF(COUNT(C18,H18,M18,R18,W18,AB18,AG18)=0,"",SUM(C18,H18,M18,R18,W18,AB18,AG18))</f>
        <v/>
      </c>
      <c r="AM18" s="11">
        <f>IF(COUNT(D18,I18,N18,S18,X18,AC18,AH18)=0,"",SUM(D18,I18,N18,S18,X18,AC18,AH18))</f>
        <v/>
      </c>
      <c r="AN18" s="11">
        <f>IF(COUNT(E18,J18,O18,T18,Y18,AD18,AI18)=0,"",SUM(E18,J18,O18,T18,Y18,AD18,AI18))</f>
        <v/>
      </c>
      <c r="AO18" s="11">
        <f>IF(COUNT(F18,K18,P18,U18,Z18,AE18,AJ18)=0,"",SUM(F18,K18,P18,U18,Z18,AE18,AJ18))</f>
        <v/>
      </c>
      <c r="AP18" s="11">
        <f>IF(COUNT(G18,L18,Q18,V18,AA18,AF18,AK18)=0,"",SUM(G18,L18,Q18,V18,AA18,AF18,AK18))</f>
        <v/>
      </c>
      <c r="AQ18" s="4" t="inlineStr">
        <is>
          <t>Sum of divisions</t>
        </is>
      </c>
    </row>
    <row r="19" ht="18.75" customHeight="1">
      <c r="A19" s="3" t="n"/>
      <c r="B19" s="9" t="inlineStr">
        <is>
          <t>Permanent Hires</t>
        </is>
      </c>
      <c r="C19" s="10">
        <f>IF([1]Quarter!F19="","",[1]Quarter!F19)</f>
        <v/>
      </c>
      <c r="D19" s="10">
        <f>IF([1]Quarter!J19="","",[1]Quarter!J19)</f>
        <v/>
      </c>
      <c r="E19" s="10">
        <f>IF([1]Quarter!N19="","",[1]Quarter!N19)</f>
        <v/>
      </c>
      <c r="F19" s="10">
        <f>IF([1]Quarter!R19="","",[1]Quarter!R19)</f>
        <v/>
      </c>
      <c r="G19" s="10">
        <f>IF([1]Quarter!S19="","",[1]Quarter!S19)</f>
        <v/>
      </c>
      <c r="H19" s="10">
        <f>IF([2]Quarter!F19="","",[2]Quarter!F19)</f>
        <v/>
      </c>
      <c r="I19" s="10">
        <f>IF([2]Quarter!J19="","",[2]Quarter!J19)</f>
        <v/>
      </c>
      <c r="J19" s="10">
        <f>IF([2]Quarter!N19="","",[2]Quarter!N19)</f>
        <v/>
      </c>
      <c r="K19" s="10">
        <f>IF([2]Quarter!R19="","",[2]Quarter!R19)</f>
        <v/>
      </c>
      <c r="L19" s="10">
        <f>IF([2]Quarter!S19="","",[2]Quarter!S19)</f>
        <v/>
      </c>
      <c r="M19" s="10">
        <f>IF([3]Quarter!F19="","",[3]Quarter!F19)</f>
        <v/>
      </c>
      <c r="N19" s="10">
        <f>IF([3]Quarter!J19="","",[3]Quarter!J19)</f>
        <v/>
      </c>
      <c r="O19" s="10">
        <f>IF([3]Quarter!N19="","",[3]Quarter!N19)</f>
        <v/>
      </c>
      <c r="P19" s="10">
        <f>IF([3]Quarter!R19="","",[3]Quarter!R19)</f>
        <v/>
      </c>
      <c r="Q19" s="10">
        <f>IF([3]Quarter!S19="","",[3]Quarter!S19)</f>
        <v/>
      </c>
      <c r="R19" s="10">
        <f>IF([4]Quarter!F19="","",[4]Quarter!F19)</f>
        <v/>
      </c>
      <c r="S19" s="10">
        <f>IF([4]Quarter!J19="","",[4]Quarter!J19)</f>
        <v/>
      </c>
      <c r="T19" s="10">
        <f>IF([4]Quarter!N19="","",[4]Quarter!N19)</f>
        <v/>
      </c>
      <c r="U19" s="10">
        <f>IF([4]Quarter!R19="","",[4]Quarter!R19)</f>
        <v/>
      </c>
      <c r="V19" s="10">
        <f>IF([4]Quarter!S19="","",[4]Quarter!S19)</f>
        <v/>
      </c>
      <c r="W19" s="10">
        <f>IF([5]Quarter!F19="","",[5]Quarter!F19)</f>
        <v/>
      </c>
      <c r="X19" s="10">
        <f>IF([5]Quarter!J19="","",[5]Quarter!J19)</f>
        <v/>
      </c>
      <c r="Y19" s="10">
        <f>IF([5]Quarter!N19="","",[5]Quarter!N19)</f>
        <v/>
      </c>
      <c r="Z19" s="10">
        <f>IF([5]Quarter!R19="","",[5]Quarter!R19)</f>
        <v/>
      </c>
      <c r="AA19" s="10">
        <f>IF([5]Quarter!S19="","",[5]Quarter!S19)</f>
        <v/>
      </c>
      <c r="AB19" s="10">
        <f>IF([6]Quarter!F19="","",[6]Quarter!F19)</f>
        <v/>
      </c>
      <c r="AC19" s="10">
        <f>IF([6]Quarter!J19="","",[6]Quarter!J19)</f>
        <v/>
      </c>
      <c r="AD19" s="10">
        <f>IF([6]Quarter!N19="","",[6]Quarter!N19)</f>
        <v/>
      </c>
      <c r="AE19" s="10">
        <f>IF([6]Quarter!R19="","",[6]Quarter!R19)</f>
        <v/>
      </c>
      <c r="AF19" s="10">
        <f>IF([6]Quarter!S19="","",[6]Quarter!S19)</f>
        <v/>
      </c>
      <c r="AG19" s="10">
        <f>IF([7]Quarter!F19="","",[7]Quarter!F19)</f>
        <v/>
      </c>
      <c r="AH19" s="10">
        <f>IF([7]Quarter!J19="","",[7]Quarter!J19)</f>
        <v/>
      </c>
      <c r="AI19" s="10">
        <f>IF([7]Quarter!N19="","",[7]Quarter!N19)</f>
        <v/>
      </c>
      <c r="AJ19" s="10">
        <f>IF([7]Quarter!R19="","",[7]Quarter!R19)</f>
        <v/>
      </c>
      <c r="AK19" s="10">
        <f>IF([7]Quarter!S19="","",[7]Quarter!S19)</f>
        <v/>
      </c>
      <c r="AL19" s="11">
        <f>IF(COUNT(C19,H19,M19,R19,W19,AB19,AG19)=0,"",SUM(C19,H19,M19,R19,W19,AB19,AG19))</f>
        <v/>
      </c>
      <c r="AM19" s="11">
        <f>IF(COUNT(D19,I19,N19,S19,X19,AC19,AH19)=0,"",SUM(D19,I19,N19,S19,X19,AC19,AH19))</f>
        <v/>
      </c>
      <c r="AN19" s="11">
        <f>IF(COUNT(E19,J19,O19,T19,Y19,AD19,AI19)=0,"",SUM(E19,J19,O19,T19,Y19,AD19,AI19))</f>
        <v/>
      </c>
      <c r="AO19" s="11">
        <f>IF(COUNT(F19,K19,P19,U19,Z19,AE19,AJ19)=0,"",SUM(F19,K19,P19,U19,Z19,AE19,AJ19))</f>
        <v/>
      </c>
      <c r="AP19" s="11">
        <f>IF(COUNT(G19,L19,Q19,V19,AA19,AF19,AK19)=0,"",SUM(G19,L19,Q19,V19,AA19,AF19,AK19))</f>
        <v/>
      </c>
      <c r="AQ19" s="4" t="inlineStr">
        <is>
          <t>Sum of divisions</t>
        </is>
      </c>
    </row>
    <row r="20" ht="18.75" customHeight="1">
      <c r="A20" s="3" t="n"/>
      <c r="B20" s="9" t="inlineStr">
        <is>
          <t>Temporary Hires</t>
        </is>
      </c>
      <c r="C20" s="10">
        <f>IF([1]Quarter!F20="","",[1]Quarter!F20)</f>
        <v/>
      </c>
      <c r="D20" s="10">
        <f>IF([1]Quarter!J20="","",[1]Quarter!J20)</f>
        <v/>
      </c>
      <c r="E20" s="10">
        <f>IF([1]Quarter!N20="","",[1]Quarter!N20)</f>
        <v/>
      </c>
      <c r="F20" s="10">
        <f>IF([1]Quarter!R20="","",[1]Quarter!R20)</f>
        <v/>
      </c>
      <c r="G20" s="10">
        <f>IF([1]Quarter!S20="","",[1]Quarter!S20)</f>
        <v/>
      </c>
      <c r="H20" s="10">
        <f>IF([2]Quarter!F20="","",[2]Quarter!F20)</f>
        <v/>
      </c>
      <c r="I20" s="10">
        <f>IF([2]Quarter!J20="","",[2]Quarter!J20)</f>
        <v/>
      </c>
      <c r="J20" s="10">
        <f>IF([2]Quarter!N20="","",[2]Quarter!N20)</f>
        <v/>
      </c>
      <c r="K20" s="10">
        <f>IF([2]Quarter!R20="","",[2]Quarter!R20)</f>
        <v/>
      </c>
      <c r="L20" s="10">
        <f>IF([2]Quarter!S20="","",[2]Quarter!S20)</f>
        <v/>
      </c>
      <c r="M20" s="10">
        <f>IF([3]Quarter!F20="","",[3]Quarter!F20)</f>
        <v/>
      </c>
      <c r="N20" s="10">
        <f>IF([3]Quarter!J20="","",[3]Quarter!J20)</f>
        <v/>
      </c>
      <c r="O20" s="10">
        <f>IF([3]Quarter!N20="","",[3]Quarter!N20)</f>
        <v/>
      </c>
      <c r="P20" s="10">
        <f>IF([3]Quarter!R20="","",[3]Quarter!R20)</f>
        <v/>
      </c>
      <c r="Q20" s="10">
        <f>IF([3]Quarter!S20="","",[3]Quarter!S20)</f>
        <v/>
      </c>
      <c r="R20" s="10">
        <f>IF([4]Quarter!F20="","",[4]Quarter!F20)</f>
        <v/>
      </c>
      <c r="S20" s="10">
        <f>IF([4]Quarter!J20="","",[4]Quarter!J20)</f>
        <v/>
      </c>
      <c r="T20" s="10">
        <f>IF([4]Quarter!N20="","",[4]Quarter!N20)</f>
        <v/>
      </c>
      <c r="U20" s="10">
        <f>IF([4]Quarter!R20="","",[4]Quarter!R20)</f>
        <v/>
      </c>
      <c r="V20" s="10">
        <f>IF([4]Quarter!S20="","",[4]Quarter!S20)</f>
        <v/>
      </c>
      <c r="W20" s="10">
        <f>IF([5]Quarter!F20="","",[5]Quarter!F20)</f>
        <v/>
      </c>
      <c r="X20" s="10">
        <f>IF([5]Quarter!J20="","",[5]Quarter!J20)</f>
        <v/>
      </c>
      <c r="Y20" s="10">
        <f>IF([5]Quarter!N20="","",[5]Quarter!N20)</f>
        <v/>
      </c>
      <c r="Z20" s="10">
        <f>IF([5]Quarter!R20="","",[5]Quarter!R20)</f>
        <v/>
      </c>
      <c r="AA20" s="10">
        <f>IF([5]Quarter!S20="","",[5]Quarter!S20)</f>
        <v/>
      </c>
      <c r="AB20" s="10">
        <f>IF([6]Quarter!F20="","",[6]Quarter!F20)</f>
        <v/>
      </c>
      <c r="AC20" s="10">
        <f>IF([6]Quarter!J20="","",[6]Quarter!J20)</f>
        <v/>
      </c>
      <c r="AD20" s="10">
        <f>IF([6]Quarter!N20="","",[6]Quarter!N20)</f>
        <v/>
      </c>
      <c r="AE20" s="10">
        <f>IF([6]Quarter!R20="","",[6]Quarter!R20)</f>
        <v/>
      </c>
      <c r="AF20" s="10">
        <f>IF([6]Quarter!S20="","",[6]Quarter!S20)</f>
        <v/>
      </c>
      <c r="AG20" s="10">
        <f>IF([7]Quarter!F20="","",[7]Quarter!F20)</f>
        <v/>
      </c>
      <c r="AH20" s="10">
        <f>IF([7]Quarter!J20="","",[7]Quarter!J20)</f>
        <v/>
      </c>
      <c r="AI20" s="10">
        <f>IF([7]Quarter!N20="","",[7]Quarter!N20)</f>
        <v/>
      </c>
      <c r="AJ20" s="10">
        <f>IF([7]Quarter!R20="","",[7]Quarter!R20)</f>
        <v/>
      </c>
      <c r="AK20" s="10">
        <f>IF([7]Quarter!S20="","",[7]Quarter!S20)</f>
        <v/>
      </c>
      <c r="AL20" s="11">
        <f>IF(COUNT(C20,H20,M20,R20,W20,AB20,AG20)=0,"",SUM(C20,H20,M20,R20,W20,AB20,AG20))</f>
        <v/>
      </c>
      <c r="AM20" s="11">
        <f>IF(COUNT(D20,I20,N20,S20,X20,AC20,AH20)=0,"",SUM(D20,I20,N20,S20,X20,AC20,AH20))</f>
        <v/>
      </c>
      <c r="AN20" s="11">
        <f>IF(COUNT(E20,J20,O20,T20,Y20,AD20,AI20)=0,"",SUM(E20,J20,O20,T20,Y20,AD20,AI20))</f>
        <v/>
      </c>
      <c r="AO20" s="11">
        <f>IF(COUNT(F20,K20,P20,U20,Z20,AE20,AJ20)=0,"",SUM(F20,K20,P20,U20,Z20,AE20,AJ20))</f>
        <v/>
      </c>
      <c r="AP20" s="11">
        <f>IF(COUNT(G20,L20,Q20,V20,AA20,AF20,AK20)=0,"",SUM(G20,L20,Q20,V20,AA20,AF20,AK20))</f>
        <v/>
      </c>
      <c r="AQ20" s="4" t="inlineStr">
        <is>
          <t>Sum of divisions</t>
        </is>
      </c>
    </row>
    <row r="21" ht="18.75" customHeight="1">
      <c r="A21" s="3" t="n"/>
      <c r="B21" s="12" t="inlineStr">
        <is>
          <t>Total Hires</t>
        </is>
      </c>
      <c r="C21" s="10">
        <f>IF([1]Quarter!F21="","",[1]Quarter!F21)</f>
        <v/>
      </c>
      <c r="D21" s="10">
        <f>IF([1]Quarter!J21="","",[1]Quarter!J21)</f>
        <v/>
      </c>
      <c r="E21" s="10">
        <f>IF([1]Quarter!N21="","",[1]Quarter!N21)</f>
        <v/>
      </c>
      <c r="F21" s="10">
        <f>IF([1]Quarter!R21="","",[1]Quarter!R21)</f>
        <v/>
      </c>
      <c r="G21" s="10">
        <f>IF([1]Quarter!S21="","",[1]Quarter!S21)</f>
        <v/>
      </c>
      <c r="H21" s="10">
        <f>IF([2]Quarter!F21="","",[2]Quarter!F21)</f>
        <v/>
      </c>
      <c r="I21" s="10">
        <f>IF([2]Quarter!J21="","",[2]Quarter!J21)</f>
        <v/>
      </c>
      <c r="J21" s="10">
        <f>IF([2]Quarter!N21="","",[2]Quarter!N21)</f>
        <v/>
      </c>
      <c r="K21" s="10">
        <f>IF([2]Quarter!R21="","",[2]Quarter!R21)</f>
        <v/>
      </c>
      <c r="L21" s="10">
        <f>IF([2]Quarter!S21="","",[2]Quarter!S21)</f>
        <v/>
      </c>
      <c r="M21" s="10">
        <f>IF([3]Quarter!F21="","",[3]Quarter!F21)</f>
        <v/>
      </c>
      <c r="N21" s="10">
        <f>IF([3]Quarter!J21="","",[3]Quarter!J21)</f>
        <v/>
      </c>
      <c r="O21" s="10">
        <f>IF([3]Quarter!N21="","",[3]Quarter!N21)</f>
        <v/>
      </c>
      <c r="P21" s="10">
        <f>IF([3]Quarter!R21="","",[3]Quarter!R21)</f>
        <v/>
      </c>
      <c r="Q21" s="10">
        <f>IF([3]Quarter!S21="","",[3]Quarter!S21)</f>
        <v/>
      </c>
      <c r="R21" s="10">
        <f>IF([4]Quarter!F21="","",[4]Quarter!F21)</f>
        <v/>
      </c>
      <c r="S21" s="10">
        <f>IF([4]Quarter!J21="","",[4]Quarter!J21)</f>
        <v/>
      </c>
      <c r="T21" s="10">
        <f>IF([4]Quarter!N21="","",[4]Quarter!N21)</f>
        <v/>
      </c>
      <c r="U21" s="10">
        <f>IF([4]Quarter!R21="","",[4]Quarter!R21)</f>
        <v/>
      </c>
      <c r="V21" s="10">
        <f>IF([4]Quarter!S21="","",[4]Quarter!S21)</f>
        <v/>
      </c>
      <c r="W21" s="10">
        <f>IF([5]Quarter!F21="","",[5]Quarter!F21)</f>
        <v/>
      </c>
      <c r="X21" s="10">
        <f>IF([5]Quarter!J21="","",[5]Quarter!J21)</f>
        <v/>
      </c>
      <c r="Y21" s="10">
        <f>IF([5]Quarter!N21="","",[5]Quarter!N21)</f>
        <v/>
      </c>
      <c r="Z21" s="10">
        <f>IF([5]Quarter!R21="","",[5]Quarter!R21)</f>
        <v/>
      </c>
      <c r="AA21" s="10">
        <f>IF([5]Quarter!S21="","",[5]Quarter!S21)</f>
        <v/>
      </c>
      <c r="AB21" s="10">
        <f>IF([6]Quarter!F21="","",[6]Quarter!F21)</f>
        <v/>
      </c>
      <c r="AC21" s="10">
        <f>IF([6]Quarter!J21="","",[6]Quarter!J21)</f>
        <v/>
      </c>
      <c r="AD21" s="10">
        <f>IF([6]Quarter!N21="","",[6]Quarter!N21)</f>
        <v/>
      </c>
      <c r="AE21" s="10">
        <f>IF([6]Quarter!R21="","",[6]Quarter!R21)</f>
        <v/>
      </c>
      <c r="AF21" s="10">
        <f>IF([6]Quarter!S21="","",[6]Quarter!S21)</f>
        <v/>
      </c>
      <c r="AG21" s="10">
        <f>IF([7]Quarter!F21="","",[7]Quarter!F21)</f>
        <v/>
      </c>
      <c r="AH21" s="10">
        <f>IF([7]Quarter!J21="","",[7]Quarter!J21)</f>
        <v/>
      </c>
      <c r="AI21" s="10">
        <f>IF([7]Quarter!N21="","",[7]Quarter!N21)</f>
        <v/>
      </c>
      <c r="AJ21" s="10">
        <f>IF([7]Quarter!R21="","",[7]Quarter!R21)</f>
        <v/>
      </c>
      <c r="AK21" s="10">
        <f>IF([7]Quarter!S21="","",[7]Quarter!S21)</f>
        <v/>
      </c>
      <c r="AL21" s="11">
        <f>IF(COUNT(AL19:AL20)=0,"",SUM(AL19:AL20))</f>
        <v/>
      </c>
      <c r="AM21" s="11">
        <f>IF(COUNT(AM19:AM20)=0,"",SUM(AM19:AM20))</f>
        <v/>
      </c>
      <c r="AN21" s="11">
        <f>IF(COUNT(AN19:AN20)=0,"",SUM(AN19:AN20))</f>
        <v/>
      </c>
      <c r="AO21" s="11">
        <f>IF(COUNT(AO19:AO20)=0,"",SUM(AO19:AO20))</f>
        <v/>
      </c>
      <c r="AP21" s="11">
        <f>IF(COUNT(AP19:AP20)=0,"",SUM(AP19:AP20))</f>
        <v/>
      </c>
      <c r="AQ21" s="4" t="inlineStr">
        <is>
          <t>Recalculated</t>
        </is>
      </c>
    </row>
    <row r="22" ht="18.75" customHeight="1">
      <c r="A22" s="3" t="n"/>
      <c r="B22" s="9" t="inlineStr">
        <is>
          <t>Permanent Exits</t>
        </is>
      </c>
      <c r="C22" s="10">
        <f>IF([1]Quarter!F22="","",[1]Quarter!F22)</f>
        <v/>
      </c>
      <c r="D22" s="10">
        <f>IF([1]Quarter!J22="","",[1]Quarter!J22)</f>
        <v/>
      </c>
      <c r="E22" s="10">
        <f>IF([1]Quarter!N22="","",[1]Quarter!N22)</f>
        <v/>
      </c>
      <c r="F22" s="10">
        <f>IF([1]Quarter!R22="","",[1]Quarter!R22)</f>
        <v/>
      </c>
      <c r="G22" s="10">
        <f>IF([1]Quarter!S22="","",[1]Quarter!S22)</f>
        <v/>
      </c>
      <c r="H22" s="10">
        <f>IF([2]Quarter!F22="","",[2]Quarter!F22)</f>
        <v/>
      </c>
      <c r="I22" s="10">
        <f>IF([2]Quarter!J22="","",[2]Quarter!J22)</f>
        <v/>
      </c>
      <c r="J22" s="10">
        <f>IF([2]Quarter!N22="","",[2]Quarter!N22)</f>
        <v/>
      </c>
      <c r="K22" s="10">
        <f>IF([2]Quarter!R22="","",[2]Quarter!R22)</f>
        <v/>
      </c>
      <c r="L22" s="10">
        <f>IF([2]Quarter!S22="","",[2]Quarter!S22)</f>
        <v/>
      </c>
      <c r="M22" s="10">
        <f>IF([3]Quarter!F22="","",[3]Quarter!F22)</f>
        <v/>
      </c>
      <c r="N22" s="10">
        <f>IF([3]Quarter!J22="","",[3]Quarter!J22)</f>
        <v/>
      </c>
      <c r="O22" s="10">
        <f>IF([3]Quarter!N22="","",[3]Quarter!N22)</f>
        <v/>
      </c>
      <c r="P22" s="10">
        <f>IF([3]Quarter!R22="","",[3]Quarter!R22)</f>
        <v/>
      </c>
      <c r="Q22" s="10">
        <f>IF([3]Quarter!S22="","",[3]Quarter!S22)</f>
        <v/>
      </c>
      <c r="R22" s="10">
        <f>IF([4]Quarter!F22="","",[4]Quarter!F22)</f>
        <v/>
      </c>
      <c r="S22" s="10">
        <f>IF([4]Quarter!J22="","",[4]Quarter!J22)</f>
        <v/>
      </c>
      <c r="T22" s="10">
        <f>IF([4]Quarter!N22="","",[4]Quarter!N22)</f>
        <v/>
      </c>
      <c r="U22" s="10">
        <f>IF([4]Quarter!R22="","",[4]Quarter!R22)</f>
        <v/>
      </c>
      <c r="V22" s="10">
        <f>IF([4]Quarter!S22="","",[4]Quarter!S22)</f>
        <v/>
      </c>
      <c r="W22" s="10">
        <f>IF([5]Quarter!F22="","",[5]Quarter!F22)</f>
        <v/>
      </c>
      <c r="X22" s="10">
        <f>IF([5]Quarter!J22="","",[5]Quarter!J22)</f>
        <v/>
      </c>
      <c r="Y22" s="10">
        <f>IF([5]Quarter!N22="","",[5]Quarter!N22)</f>
        <v/>
      </c>
      <c r="Z22" s="10">
        <f>IF([5]Quarter!R22="","",[5]Quarter!R22)</f>
        <v/>
      </c>
      <c r="AA22" s="10">
        <f>IF([5]Quarter!S22="","",[5]Quarter!S22)</f>
        <v/>
      </c>
      <c r="AB22" s="10">
        <f>IF([6]Quarter!F22="","",[6]Quarter!F22)</f>
        <v/>
      </c>
      <c r="AC22" s="10">
        <f>IF([6]Quarter!J22="","",[6]Quarter!J22)</f>
        <v/>
      </c>
      <c r="AD22" s="10">
        <f>IF([6]Quarter!N22="","",[6]Quarter!N22)</f>
        <v/>
      </c>
      <c r="AE22" s="10">
        <f>IF([6]Quarter!R22="","",[6]Quarter!R22)</f>
        <v/>
      </c>
      <c r="AF22" s="10">
        <f>IF([6]Quarter!S22="","",[6]Quarter!S22)</f>
        <v/>
      </c>
      <c r="AG22" s="10">
        <f>IF([7]Quarter!F22="","",[7]Quarter!F22)</f>
        <v/>
      </c>
      <c r="AH22" s="10">
        <f>IF([7]Quarter!J22="","",[7]Quarter!J22)</f>
        <v/>
      </c>
      <c r="AI22" s="10">
        <f>IF([7]Quarter!N22="","",[7]Quarter!N22)</f>
        <v/>
      </c>
      <c r="AJ22" s="10">
        <f>IF([7]Quarter!R22="","",[7]Quarter!R22)</f>
        <v/>
      </c>
      <c r="AK22" s="10">
        <f>IF([7]Quarter!S22="","",[7]Quarter!S22)</f>
        <v/>
      </c>
      <c r="AL22" s="11">
        <f>IF(COUNT(C22,H22,M22,R22,W22,AB22,AG22)=0,"",SUM(C22,H22,M22,R22,W22,AB22,AG22))</f>
        <v/>
      </c>
      <c r="AM22" s="11">
        <f>IF(COUNT(D22,I22,N22,S22,X22,AC22,AH22)=0,"",SUM(D22,I22,N22,S22,X22,AC22,AH22))</f>
        <v/>
      </c>
      <c r="AN22" s="11">
        <f>IF(COUNT(E22,J22,O22,T22,Y22,AD22,AI22)=0,"",SUM(E22,J22,O22,T22,Y22,AD22,AI22))</f>
        <v/>
      </c>
      <c r="AO22" s="11">
        <f>IF(COUNT(F22,K22,P22,U22,Z22,AE22,AJ22)=0,"",SUM(F22,K22,P22,U22,Z22,AE22,AJ22))</f>
        <v/>
      </c>
      <c r="AP22" s="11">
        <f>IF(COUNT(G22,L22,Q22,V22,AA22,AF22,AK22)=0,"",SUM(G22,L22,Q22,V22,AA22,AF22,AK22))</f>
        <v/>
      </c>
      <c r="AQ22" s="4" t="inlineStr">
        <is>
          <t>Sum of divisions</t>
        </is>
      </c>
    </row>
    <row r="23" ht="18.75" customHeight="1">
      <c r="A23" s="3" t="n"/>
      <c r="B23" s="9" t="inlineStr">
        <is>
          <t>Temporary Exits</t>
        </is>
      </c>
      <c r="C23" s="10">
        <f>IF([1]Quarter!F23="","",[1]Quarter!F23)</f>
        <v/>
      </c>
      <c r="D23" s="10">
        <f>IF([1]Quarter!J23="","",[1]Quarter!J23)</f>
        <v/>
      </c>
      <c r="E23" s="10">
        <f>IF([1]Quarter!N23="","",[1]Quarter!N23)</f>
        <v/>
      </c>
      <c r="F23" s="10">
        <f>IF([1]Quarter!R23="","",[1]Quarter!R23)</f>
        <v/>
      </c>
      <c r="G23" s="10">
        <f>IF([1]Quarter!S23="","",[1]Quarter!S23)</f>
        <v/>
      </c>
      <c r="H23" s="10">
        <f>IF([2]Quarter!F23="","",[2]Quarter!F23)</f>
        <v/>
      </c>
      <c r="I23" s="10">
        <f>IF([2]Quarter!J23="","",[2]Quarter!J23)</f>
        <v/>
      </c>
      <c r="J23" s="10">
        <f>IF([2]Quarter!N23="","",[2]Quarter!N23)</f>
        <v/>
      </c>
      <c r="K23" s="10">
        <f>IF([2]Quarter!R23="","",[2]Quarter!R23)</f>
        <v/>
      </c>
      <c r="L23" s="10">
        <f>IF([2]Quarter!S23="","",[2]Quarter!S23)</f>
        <v/>
      </c>
      <c r="M23" s="10">
        <f>IF([3]Quarter!F23="","",[3]Quarter!F23)</f>
        <v/>
      </c>
      <c r="N23" s="10">
        <f>IF([3]Quarter!J23="","",[3]Quarter!J23)</f>
        <v/>
      </c>
      <c r="O23" s="10">
        <f>IF([3]Quarter!N23="","",[3]Quarter!N23)</f>
        <v/>
      </c>
      <c r="P23" s="10">
        <f>IF([3]Quarter!R23="","",[3]Quarter!R23)</f>
        <v/>
      </c>
      <c r="Q23" s="10">
        <f>IF([3]Quarter!S23="","",[3]Quarter!S23)</f>
        <v/>
      </c>
      <c r="R23" s="10">
        <f>IF([4]Quarter!F23="","",[4]Quarter!F23)</f>
        <v/>
      </c>
      <c r="S23" s="10">
        <f>IF([4]Quarter!J23="","",[4]Quarter!J23)</f>
        <v/>
      </c>
      <c r="T23" s="10">
        <f>IF([4]Quarter!N23="","",[4]Quarter!N23)</f>
        <v/>
      </c>
      <c r="U23" s="10">
        <f>IF([4]Quarter!R23="","",[4]Quarter!R23)</f>
        <v/>
      </c>
      <c r="V23" s="10">
        <f>IF([4]Quarter!S23="","",[4]Quarter!S23)</f>
        <v/>
      </c>
      <c r="W23" s="10">
        <f>IF([5]Quarter!F23="","",[5]Quarter!F23)</f>
        <v/>
      </c>
      <c r="X23" s="10">
        <f>IF([5]Quarter!J23="","",[5]Quarter!J23)</f>
        <v/>
      </c>
      <c r="Y23" s="10">
        <f>IF([5]Quarter!N23="","",[5]Quarter!N23)</f>
        <v/>
      </c>
      <c r="Z23" s="10">
        <f>IF([5]Quarter!R23="","",[5]Quarter!R23)</f>
        <v/>
      </c>
      <c r="AA23" s="10">
        <f>IF([5]Quarter!S23="","",[5]Quarter!S23)</f>
        <v/>
      </c>
      <c r="AB23" s="10">
        <f>IF([6]Quarter!F23="","",[6]Quarter!F23)</f>
        <v/>
      </c>
      <c r="AC23" s="10">
        <f>IF([6]Quarter!J23="","",[6]Quarter!J23)</f>
        <v/>
      </c>
      <c r="AD23" s="10">
        <f>IF([6]Quarter!N23="","",[6]Quarter!N23)</f>
        <v/>
      </c>
      <c r="AE23" s="10">
        <f>IF([6]Quarter!R23="","",[6]Quarter!R23)</f>
        <v/>
      </c>
      <c r="AF23" s="10">
        <f>IF([6]Quarter!S23="","",[6]Quarter!S23)</f>
        <v/>
      </c>
      <c r="AG23" s="10">
        <f>IF([7]Quarter!F23="","",[7]Quarter!F23)</f>
        <v/>
      </c>
      <c r="AH23" s="10">
        <f>IF([7]Quarter!J23="","",[7]Quarter!J23)</f>
        <v/>
      </c>
      <c r="AI23" s="10">
        <f>IF([7]Quarter!N23="","",[7]Quarter!N23)</f>
        <v/>
      </c>
      <c r="AJ23" s="10">
        <f>IF([7]Quarter!R23="","",[7]Quarter!R23)</f>
        <v/>
      </c>
      <c r="AK23" s="10">
        <f>IF([7]Quarter!S23="","",[7]Quarter!S23)</f>
        <v/>
      </c>
      <c r="AL23" s="11">
        <f>IF(COUNT(C23,H23,M23,R23,W23,AB23,AG23)=0,"",SUM(C23,H23,M23,R23,W23,AB23,AG23))</f>
        <v/>
      </c>
      <c r="AM23" s="11">
        <f>IF(COUNT(D23,I23,N23,S23,X23,AC23,AH23)=0,"",SUM(D23,I23,N23,S23,X23,AC23,AH23))</f>
        <v/>
      </c>
      <c r="AN23" s="11">
        <f>IF(COUNT(E23,J23,O23,T23,Y23,AD23,AI23)=0,"",SUM(E23,J23,O23,T23,Y23,AD23,AI23))</f>
        <v/>
      </c>
      <c r="AO23" s="11">
        <f>IF(COUNT(F23,K23,P23,U23,Z23,AE23,AJ23)=0,"",SUM(F23,K23,P23,U23,Z23,AE23,AJ23))</f>
        <v/>
      </c>
      <c r="AP23" s="11">
        <f>IF(COUNT(G23,L23,Q23,V23,AA23,AF23,AK23)=0,"",SUM(G23,L23,Q23,V23,AA23,AF23,AK23))</f>
        <v/>
      </c>
      <c r="AQ23" s="4" t="inlineStr">
        <is>
          <t>Sum of divisions</t>
        </is>
      </c>
    </row>
    <row r="24" ht="18.75" customHeight="1">
      <c r="A24" s="3" t="n"/>
      <c r="B24" s="12" t="inlineStr">
        <is>
          <t>Total Exits</t>
        </is>
      </c>
      <c r="C24" s="10">
        <f>IF([1]Quarter!F24="","",[1]Quarter!F24)</f>
        <v/>
      </c>
      <c r="D24" s="10">
        <f>IF([1]Quarter!J24="","",[1]Quarter!J24)</f>
        <v/>
      </c>
      <c r="E24" s="10">
        <f>IF([1]Quarter!N24="","",[1]Quarter!N24)</f>
        <v/>
      </c>
      <c r="F24" s="10">
        <f>IF([1]Quarter!R24="","",[1]Quarter!R24)</f>
        <v/>
      </c>
      <c r="G24" s="10">
        <f>IF([1]Quarter!S24="","",[1]Quarter!S24)</f>
        <v/>
      </c>
      <c r="H24" s="10">
        <f>IF([2]Quarter!F24="","",[2]Quarter!F24)</f>
        <v/>
      </c>
      <c r="I24" s="10">
        <f>IF([2]Quarter!J24="","",[2]Quarter!J24)</f>
        <v/>
      </c>
      <c r="J24" s="10">
        <f>IF([2]Quarter!N24="","",[2]Quarter!N24)</f>
        <v/>
      </c>
      <c r="K24" s="10">
        <f>IF([2]Quarter!R24="","",[2]Quarter!R24)</f>
        <v/>
      </c>
      <c r="L24" s="10">
        <f>IF([2]Quarter!S24="","",[2]Quarter!S24)</f>
        <v/>
      </c>
      <c r="M24" s="10">
        <f>IF([3]Quarter!F24="","",[3]Quarter!F24)</f>
        <v/>
      </c>
      <c r="N24" s="10">
        <f>IF([3]Quarter!J24="","",[3]Quarter!J24)</f>
        <v/>
      </c>
      <c r="O24" s="10">
        <f>IF([3]Quarter!N24="","",[3]Quarter!N24)</f>
        <v/>
      </c>
      <c r="P24" s="10">
        <f>IF([3]Quarter!R24="","",[3]Quarter!R24)</f>
        <v/>
      </c>
      <c r="Q24" s="10">
        <f>IF([3]Quarter!S24="","",[3]Quarter!S24)</f>
        <v/>
      </c>
      <c r="R24" s="10">
        <f>IF([4]Quarter!F24="","",[4]Quarter!F24)</f>
        <v/>
      </c>
      <c r="S24" s="10">
        <f>IF([4]Quarter!J24="","",[4]Quarter!J24)</f>
        <v/>
      </c>
      <c r="T24" s="10">
        <f>IF([4]Quarter!N24="","",[4]Quarter!N24)</f>
        <v/>
      </c>
      <c r="U24" s="10">
        <f>IF([4]Quarter!R24="","",[4]Quarter!R24)</f>
        <v/>
      </c>
      <c r="V24" s="10">
        <f>IF([4]Quarter!S24="","",[4]Quarter!S24)</f>
        <v/>
      </c>
      <c r="W24" s="10">
        <f>IF([5]Quarter!F24="","",[5]Quarter!F24)</f>
        <v/>
      </c>
      <c r="X24" s="10">
        <f>IF([5]Quarter!J24="","",[5]Quarter!J24)</f>
        <v/>
      </c>
      <c r="Y24" s="10">
        <f>IF([5]Quarter!N24="","",[5]Quarter!N24)</f>
        <v/>
      </c>
      <c r="Z24" s="10">
        <f>IF([5]Quarter!R24="","",[5]Quarter!R24)</f>
        <v/>
      </c>
      <c r="AA24" s="10">
        <f>IF([5]Quarter!S24="","",[5]Quarter!S24)</f>
        <v/>
      </c>
      <c r="AB24" s="10">
        <f>IF([6]Quarter!F24="","",[6]Quarter!F24)</f>
        <v/>
      </c>
      <c r="AC24" s="10">
        <f>IF([6]Quarter!J24="","",[6]Quarter!J24)</f>
        <v/>
      </c>
      <c r="AD24" s="10">
        <f>IF([6]Quarter!N24="","",[6]Quarter!N24)</f>
        <v/>
      </c>
      <c r="AE24" s="10">
        <f>IF([6]Quarter!R24="","",[6]Quarter!R24)</f>
        <v/>
      </c>
      <c r="AF24" s="10">
        <f>IF([6]Quarter!S24="","",[6]Quarter!S24)</f>
        <v/>
      </c>
      <c r="AG24" s="10">
        <f>IF([7]Quarter!F24="","",[7]Quarter!F24)</f>
        <v/>
      </c>
      <c r="AH24" s="10">
        <f>IF([7]Quarter!J24="","",[7]Quarter!J24)</f>
        <v/>
      </c>
      <c r="AI24" s="10">
        <f>IF([7]Quarter!N24="","",[7]Quarter!N24)</f>
        <v/>
      </c>
      <c r="AJ24" s="10">
        <f>IF([7]Quarter!R24="","",[7]Quarter!R24)</f>
        <v/>
      </c>
      <c r="AK24" s="10">
        <f>IF([7]Quarter!S24="","",[7]Quarter!S24)</f>
        <v/>
      </c>
      <c r="AL24" s="11">
        <f>IF(COUNT(AL22:AL23)=0,"",SUM(AL22:AL23))</f>
        <v/>
      </c>
      <c r="AM24" s="11">
        <f>IF(COUNT(AM22:AM23)=0,"",SUM(AM22:AM23))</f>
        <v/>
      </c>
      <c r="AN24" s="11">
        <f>IF(COUNT(AN22:AN23)=0,"",SUM(AN22:AN23))</f>
        <v/>
      </c>
      <c r="AO24" s="11">
        <f>IF(COUNT(AO22:AO23)=0,"",SUM(AO22:AO23))</f>
        <v/>
      </c>
      <c r="AP24" s="11">
        <f>IF(COUNT(AP22:AP23)=0,"",SUM(AP22:AP23))</f>
        <v/>
      </c>
      <c r="AQ24" s="4" t="inlineStr">
        <is>
          <t>Recalculated</t>
        </is>
      </c>
    </row>
    <row r="25" ht="18.75" customHeight="1">
      <c r="A25" s="3" t="n"/>
      <c r="B25" s="20" t="inlineStr">
        <is>
          <t>Permanent Turnover (%)</t>
        </is>
      </c>
      <c r="C25" s="18">
        <f>IF([1]Quarter!F25="","",[1]Quarter!F25)</f>
        <v/>
      </c>
      <c r="D25" s="18">
        <f>IF([1]Quarter!J25="","",[1]Quarter!J25)</f>
        <v/>
      </c>
      <c r="E25" s="18">
        <f>IF([1]Quarter!N25="","",[1]Quarter!N25)</f>
        <v/>
      </c>
      <c r="F25" s="18">
        <f>IF([1]Quarter!R25="","",[1]Quarter!R25)</f>
        <v/>
      </c>
      <c r="G25" s="18">
        <f>IF([1]Quarter!S25="","",[1]Quarter!S25)</f>
        <v/>
      </c>
      <c r="H25" s="18">
        <f>IF([2]Quarter!F25="","",[2]Quarter!F25)</f>
        <v/>
      </c>
      <c r="I25" s="18">
        <f>IF([2]Quarter!J25="","",[2]Quarter!J25)</f>
        <v/>
      </c>
      <c r="J25" s="18">
        <f>IF([2]Quarter!N25="","",[2]Quarter!N25)</f>
        <v/>
      </c>
      <c r="K25" s="18">
        <f>IF([2]Quarter!R25="","",[2]Quarter!R25)</f>
        <v/>
      </c>
      <c r="L25" s="18">
        <f>IF([2]Quarter!S25="","",[2]Quarter!S25)</f>
        <v/>
      </c>
      <c r="M25" s="18">
        <f>IF([3]Quarter!F25="","",[3]Quarter!F25)</f>
        <v/>
      </c>
      <c r="N25" s="18">
        <f>IF([3]Quarter!J25="","",[3]Quarter!J25)</f>
        <v/>
      </c>
      <c r="O25" s="18">
        <f>IF([3]Quarter!N25="","",[3]Quarter!N25)</f>
        <v/>
      </c>
      <c r="P25" s="18">
        <f>IF([3]Quarter!R25="","",[3]Quarter!R25)</f>
        <v/>
      </c>
      <c r="Q25" s="18">
        <f>IF([3]Quarter!S25="","",[3]Quarter!S25)</f>
        <v/>
      </c>
      <c r="R25" s="18">
        <f>IF([4]Quarter!F25="","",[4]Quarter!F25)</f>
        <v/>
      </c>
      <c r="S25" s="18">
        <f>IF([4]Quarter!J25="","",[4]Quarter!J25)</f>
        <v/>
      </c>
      <c r="T25" s="18">
        <f>IF([4]Quarter!N25="","",[4]Quarter!N25)</f>
        <v/>
      </c>
      <c r="U25" s="18">
        <f>IF([4]Quarter!R25="","",[4]Quarter!R25)</f>
        <v/>
      </c>
      <c r="V25" s="18">
        <f>IF([4]Quarter!S25="","",[4]Quarter!S25)</f>
        <v/>
      </c>
      <c r="W25" s="18">
        <f>IF([5]Quarter!F25="","",[5]Quarter!F25)</f>
        <v/>
      </c>
      <c r="X25" s="18">
        <f>IF([5]Quarter!J25="","",[5]Quarter!J25)</f>
        <v/>
      </c>
      <c r="Y25" s="18">
        <f>IF([5]Quarter!N25="","",[5]Quarter!N25)</f>
        <v/>
      </c>
      <c r="Z25" s="18">
        <f>IF([5]Quarter!R25="","",[5]Quarter!R25)</f>
        <v/>
      </c>
      <c r="AA25" s="18">
        <f>IF([5]Quarter!S25="","",[5]Quarter!S25)</f>
        <v/>
      </c>
      <c r="AB25" s="18">
        <f>IF([6]Quarter!F25="","",[6]Quarter!F25)</f>
        <v/>
      </c>
      <c r="AC25" s="18">
        <f>IF([6]Quarter!J25="","",[6]Quarter!J25)</f>
        <v/>
      </c>
      <c r="AD25" s="18">
        <f>IF([6]Quarter!N25="","",[6]Quarter!N25)</f>
        <v/>
      </c>
      <c r="AE25" s="18">
        <f>IF([6]Quarter!R25="","",[6]Quarter!R25)</f>
        <v/>
      </c>
      <c r="AF25" s="18">
        <f>IF([6]Quarter!S25="","",[6]Quarter!S25)</f>
        <v/>
      </c>
      <c r="AG25" s="18">
        <f>IF([7]Quarter!F25="","",[7]Quarter!F25)</f>
        <v/>
      </c>
      <c r="AH25" s="18">
        <f>IF([7]Quarter!J25="","",[7]Quarter!J25)</f>
        <v/>
      </c>
      <c r="AI25" s="18">
        <f>IF([7]Quarter!N25="","",[7]Quarter!N25)</f>
        <v/>
      </c>
      <c r="AJ25" s="18">
        <f>IF([7]Quarter!R25="","",[7]Quarter!R25)</f>
        <v/>
      </c>
      <c r="AK25" s="18">
        <f>IF([7]Quarter!S25="","",[7]Quarter!S25)</f>
        <v/>
      </c>
      <c r="AL25" s="19">
        <f>IF(COUNT(AL31,AL32)&lt;2,"",IF((AL32+AL31)=0,"",N(AL22)/((AL32+AL31)/2)))</f>
        <v/>
      </c>
      <c r="AM25" s="19">
        <f>IF(COUNT(AM31,AM32)&lt;2,"",IF((AM32+AM31)=0,"",N(AM22)/((AM32+AM31)/2)))</f>
        <v/>
      </c>
      <c r="AN25" s="19">
        <f>IF(COUNT(AN31,AN32)&lt;2,"",IF((AN32+AN31)=0,"",N(AN22)/((AN32+AN31)/2)))</f>
        <v/>
      </c>
      <c r="AO25" s="19">
        <f>IF(COUNT(AO31,AO32)&lt;2,"",IF((AO32+AO31)=0,"",N(AO22)/((AO32+AO31)/2)))</f>
        <v/>
      </c>
      <c r="AP25" s="19">
        <f>IF(COUNT(AP31,AP32)&lt;2,"",IF((AP32+AP31)=0,"",N(AP22)/((AP32+AP31)/2)))</f>
        <v/>
      </c>
      <c r="AQ25" s="4" t="inlineStr">
        <is>
          <t>Recalculated</t>
        </is>
      </c>
    </row>
    <row r="26" ht="18.75" customHeight="1">
      <c r="A26" s="3" t="n"/>
      <c r="B26" s="20" t="inlineStr">
        <is>
          <t>Temporary Turnover (%)</t>
        </is>
      </c>
      <c r="C26" s="18">
        <f>IF([1]Quarter!F26="","",[1]Quarter!F26)</f>
        <v/>
      </c>
      <c r="D26" s="18">
        <f>IF([1]Quarter!J26="","",[1]Quarter!J26)</f>
        <v/>
      </c>
      <c r="E26" s="18">
        <f>IF([1]Quarter!N26="","",[1]Quarter!N26)</f>
        <v/>
      </c>
      <c r="F26" s="18">
        <f>IF([1]Quarter!R26="","",[1]Quarter!R26)</f>
        <v/>
      </c>
      <c r="G26" s="18">
        <f>IF([1]Quarter!S26="","",[1]Quarter!S26)</f>
        <v/>
      </c>
      <c r="H26" s="18">
        <f>IF([2]Quarter!F26="","",[2]Quarter!F26)</f>
        <v/>
      </c>
      <c r="I26" s="18">
        <f>IF([2]Quarter!J26="","",[2]Quarter!J26)</f>
        <v/>
      </c>
      <c r="J26" s="18">
        <f>IF([2]Quarter!N26="","",[2]Quarter!N26)</f>
        <v/>
      </c>
      <c r="K26" s="18">
        <f>IF([2]Quarter!R26="","",[2]Quarter!R26)</f>
        <v/>
      </c>
      <c r="L26" s="18">
        <f>IF([2]Quarter!S26="","",[2]Quarter!S26)</f>
        <v/>
      </c>
      <c r="M26" s="18">
        <f>IF([3]Quarter!F26="","",[3]Quarter!F26)</f>
        <v/>
      </c>
      <c r="N26" s="18">
        <f>IF([3]Quarter!J26="","",[3]Quarter!J26)</f>
        <v/>
      </c>
      <c r="O26" s="18">
        <f>IF([3]Quarter!N26="","",[3]Quarter!N26)</f>
        <v/>
      </c>
      <c r="P26" s="18">
        <f>IF([3]Quarter!R26="","",[3]Quarter!R26)</f>
        <v/>
      </c>
      <c r="Q26" s="18">
        <f>IF([3]Quarter!S26="","",[3]Quarter!S26)</f>
        <v/>
      </c>
      <c r="R26" s="18">
        <f>IF([4]Quarter!F26="","",[4]Quarter!F26)</f>
        <v/>
      </c>
      <c r="S26" s="18">
        <f>IF([4]Quarter!J26="","",[4]Quarter!J26)</f>
        <v/>
      </c>
      <c r="T26" s="18">
        <f>IF([4]Quarter!N26="","",[4]Quarter!N26)</f>
        <v/>
      </c>
      <c r="U26" s="18">
        <f>IF([4]Quarter!R26="","",[4]Quarter!R26)</f>
        <v/>
      </c>
      <c r="V26" s="18">
        <f>IF([4]Quarter!S26="","",[4]Quarter!S26)</f>
        <v/>
      </c>
      <c r="W26" s="18">
        <f>IF([5]Quarter!F26="","",[5]Quarter!F26)</f>
        <v/>
      </c>
      <c r="X26" s="18">
        <f>IF([5]Quarter!J26="","",[5]Quarter!J26)</f>
        <v/>
      </c>
      <c r="Y26" s="18">
        <f>IF([5]Quarter!N26="","",[5]Quarter!N26)</f>
        <v/>
      </c>
      <c r="Z26" s="18">
        <f>IF([5]Quarter!R26="","",[5]Quarter!R26)</f>
        <v/>
      </c>
      <c r="AA26" s="18">
        <f>IF([5]Quarter!S26="","",[5]Quarter!S26)</f>
        <v/>
      </c>
      <c r="AB26" s="18">
        <f>IF([6]Quarter!F26="","",[6]Quarter!F26)</f>
        <v/>
      </c>
      <c r="AC26" s="18">
        <f>IF([6]Quarter!J26="","",[6]Quarter!J26)</f>
        <v/>
      </c>
      <c r="AD26" s="18">
        <f>IF([6]Quarter!N26="","",[6]Quarter!N26)</f>
        <v/>
      </c>
      <c r="AE26" s="18">
        <f>IF([6]Quarter!R26="","",[6]Quarter!R26)</f>
        <v/>
      </c>
      <c r="AF26" s="18">
        <f>IF([6]Quarter!S26="","",[6]Quarter!S26)</f>
        <v/>
      </c>
      <c r="AG26" s="18">
        <f>IF([7]Quarter!F26="","",[7]Quarter!F26)</f>
        <v/>
      </c>
      <c r="AH26" s="18">
        <f>IF([7]Quarter!J26="","",[7]Quarter!J26)</f>
        <v/>
      </c>
      <c r="AI26" s="18">
        <f>IF([7]Quarter!N26="","",[7]Quarter!N26)</f>
        <v/>
      </c>
      <c r="AJ26" s="18">
        <f>IF([7]Quarter!R26="","",[7]Quarter!R26)</f>
        <v/>
      </c>
      <c r="AK26" s="18">
        <f>IF([7]Quarter!S26="","",[7]Quarter!S26)</f>
        <v/>
      </c>
      <c r="AL26" s="19">
        <f>IF(COUNT(AL31,AL32)&lt;2,"",IF((AL32+AL31)=0,"",N(AL23)/((AL32+AL31)/2)))</f>
        <v/>
      </c>
      <c r="AM26" s="19">
        <f>IF(COUNT(AM31,AM32)&lt;2,"",IF((AM32+AM31)=0,"",N(AM23)/((AM32+AM31)/2)))</f>
        <v/>
      </c>
      <c r="AN26" s="19">
        <f>IF(COUNT(AN31,AN32)&lt;2,"",IF((AN32+AN31)=0,"",N(AN23)/((AN32+AN31)/2)))</f>
        <v/>
      </c>
      <c r="AO26" s="19">
        <f>IF(COUNT(AO31,AO32)&lt;2,"",IF((AO32+AO31)=0,"",N(AO23)/((AO32+AO31)/2)))</f>
        <v/>
      </c>
      <c r="AP26" s="19">
        <f>IF(COUNT(AP31,AP32)&lt;2,"",IF((AP32+AP31)=0,"",N(AP23)/((AP32+AP31)/2)))</f>
        <v/>
      </c>
      <c r="AQ26" s="4" t="inlineStr">
        <is>
          <t>Recalculated</t>
        </is>
      </c>
    </row>
    <row r="27" ht="18.75" customHeight="1">
      <c r="A27" s="3" t="n"/>
      <c r="B27" s="21" t="inlineStr">
        <is>
          <t>Voluntary Terminations</t>
        </is>
      </c>
      <c r="C27" s="10">
        <f>IF([1]Quarter!F27="","",[1]Quarter!F27)</f>
        <v/>
      </c>
      <c r="D27" s="10">
        <f>IF([1]Quarter!J27="","",[1]Quarter!J27)</f>
        <v/>
      </c>
      <c r="E27" s="10">
        <f>IF([1]Quarter!N27="","",[1]Quarter!N27)</f>
        <v/>
      </c>
      <c r="F27" s="10">
        <f>IF([1]Quarter!R27="","",[1]Quarter!R27)</f>
        <v/>
      </c>
      <c r="G27" s="10">
        <f>IF([1]Quarter!S27="","",[1]Quarter!S27)</f>
        <v/>
      </c>
      <c r="H27" s="10">
        <f>IF([2]Quarter!F27="","",[2]Quarter!F27)</f>
        <v/>
      </c>
      <c r="I27" s="10">
        <f>IF([2]Quarter!J27="","",[2]Quarter!J27)</f>
        <v/>
      </c>
      <c r="J27" s="10">
        <f>IF([2]Quarter!N27="","",[2]Quarter!N27)</f>
        <v/>
      </c>
      <c r="K27" s="10">
        <f>IF([2]Quarter!R27="","",[2]Quarter!R27)</f>
        <v/>
      </c>
      <c r="L27" s="10">
        <f>IF([2]Quarter!S27="","",[2]Quarter!S27)</f>
        <v/>
      </c>
      <c r="M27" s="10">
        <f>IF([3]Quarter!F27="","",[3]Quarter!F27)</f>
        <v/>
      </c>
      <c r="N27" s="10">
        <f>IF([3]Quarter!J27="","",[3]Quarter!J27)</f>
        <v/>
      </c>
      <c r="O27" s="10">
        <f>IF([3]Quarter!N27="","",[3]Quarter!N27)</f>
        <v/>
      </c>
      <c r="P27" s="10">
        <f>IF([3]Quarter!R27="","",[3]Quarter!R27)</f>
        <v/>
      </c>
      <c r="Q27" s="10">
        <f>IF([3]Quarter!S27="","",[3]Quarter!S27)</f>
        <v/>
      </c>
      <c r="R27" s="10">
        <f>IF([4]Quarter!F27="","",[4]Quarter!F27)</f>
        <v/>
      </c>
      <c r="S27" s="10">
        <f>IF([4]Quarter!J27="","",[4]Quarter!J27)</f>
        <v/>
      </c>
      <c r="T27" s="10">
        <f>IF([4]Quarter!N27="","",[4]Quarter!N27)</f>
        <v/>
      </c>
      <c r="U27" s="10">
        <f>IF([4]Quarter!R27="","",[4]Quarter!R27)</f>
        <v/>
      </c>
      <c r="V27" s="10">
        <f>IF([4]Quarter!S27="","",[4]Quarter!S27)</f>
        <v/>
      </c>
      <c r="W27" s="10">
        <f>IF([5]Quarter!F27="","",[5]Quarter!F27)</f>
        <v/>
      </c>
      <c r="X27" s="10">
        <f>IF([5]Quarter!J27="","",[5]Quarter!J27)</f>
        <v/>
      </c>
      <c r="Y27" s="10">
        <f>IF([5]Quarter!N27="","",[5]Quarter!N27)</f>
        <v/>
      </c>
      <c r="Z27" s="10">
        <f>IF([5]Quarter!R27="","",[5]Quarter!R27)</f>
        <v/>
      </c>
      <c r="AA27" s="10">
        <f>IF([5]Quarter!S27="","",[5]Quarter!S27)</f>
        <v/>
      </c>
      <c r="AB27" s="10">
        <f>IF([6]Quarter!F27="","",[6]Quarter!F27)</f>
        <v/>
      </c>
      <c r="AC27" s="10">
        <f>IF([6]Quarter!J27="","",[6]Quarter!J27)</f>
        <v/>
      </c>
      <c r="AD27" s="10">
        <f>IF([6]Quarter!N27="","",[6]Quarter!N27)</f>
        <v/>
      </c>
      <c r="AE27" s="10">
        <f>IF([6]Quarter!R27="","",[6]Quarter!R27)</f>
        <v/>
      </c>
      <c r="AF27" s="10">
        <f>IF([6]Quarter!S27="","",[6]Quarter!S27)</f>
        <v/>
      </c>
      <c r="AG27" s="10">
        <f>IF([7]Quarter!F27="","",[7]Quarter!F27)</f>
        <v/>
      </c>
      <c r="AH27" s="10">
        <f>IF([7]Quarter!J27="","",[7]Quarter!J27)</f>
        <v/>
      </c>
      <c r="AI27" s="10">
        <f>IF([7]Quarter!N27="","",[7]Quarter!N27)</f>
        <v/>
      </c>
      <c r="AJ27" s="10">
        <f>IF([7]Quarter!R27="","",[7]Quarter!R27)</f>
        <v/>
      </c>
      <c r="AK27" s="10">
        <f>IF([7]Quarter!S27="","",[7]Quarter!S27)</f>
        <v/>
      </c>
      <c r="AL27" s="11">
        <f>IF(COUNT(C27,H27,M27,R27,W27,AB27,AG27)=0,"",SUM(C27,H27,M27,R27,W27,AB27,AG27))</f>
        <v/>
      </c>
      <c r="AM27" s="11">
        <f>IF(COUNT(D27,I27,N27,S27,X27,AC27,AH27)=0,"",SUM(D27,I27,N27,S27,X27,AC27,AH27))</f>
        <v/>
      </c>
      <c r="AN27" s="11">
        <f>IF(COUNT(E27,J27,O27,T27,Y27,AD27,AI27)=0,"",SUM(E27,J27,O27,T27,Y27,AD27,AI27))</f>
        <v/>
      </c>
      <c r="AO27" s="11">
        <f>IF(COUNT(F27,K27,P27,U27,Z27,AE27,AJ27)=0,"",SUM(F27,K27,P27,U27,Z27,AE27,AJ27))</f>
        <v/>
      </c>
      <c r="AP27" s="11">
        <f>IF(COUNT(G27,L27,Q27,V27,AA27,AF27,AK27)=0,"",SUM(G27,L27,Q27,V27,AA27,AF27,AK27))</f>
        <v/>
      </c>
      <c r="AQ27" s="4" t="inlineStr">
        <is>
          <t>Sum of divisions</t>
        </is>
      </c>
    </row>
    <row r="28" ht="18.75" customHeight="1">
      <c r="A28" s="3" t="n"/>
      <c r="B28" s="21" t="inlineStr">
        <is>
          <t>Involuntary Terminations</t>
        </is>
      </c>
      <c r="C28" s="10">
        <f>IF([1]Quarter!F28="","",[1]Quarter!F28)</f>
        <v/>
      </c>
      <c r="D28" s="10">
        <f>IF([1]Quarter!J28="","",[1]Quarter!J28)</f>
        <v/>
      </c>
      <c r="E28" s="10">
        <f>IF([1]Quarter!N28="","",[1]Quarter!N28)</f>
        <v/>
      </c>
      <c r="F28" s="10">
        <f>IF([1]Quarter!R28="","",[1]Quarter!R28)</f>
        <v/>
      </c>
      <c r="G28" s="10">
        <f>IF([1]Quarter!S28="","",[1]Quarter!S28)</f>
        <v/>
      </c>
      <c r="H28" s="10">
        <f>IF([2]Quarter!F28="","",[2]Quarter!F28)</f>
        <v/>
      </c>
      <c r="I28" s="10">
        <f>IF([2]Quarter!J28="","",[2]Quarter!J28)</f>
        <v/>
      </c>
      <c r="J28" s="10">
        <f>IF([2]Quarter!N28="","",[2]Quarter!N28)</f>
        <v/>
      </c>
      <c r="K28" s="10">
        <f>IF([2]Quarter!R28="","",[2]Quarter!R28)</f>
        <v/>
      </c>
      <c r="L28" s="10">
        <f>IF([2]Quarter!S28="","",[2]Quarter!S28)</f>
        <v/>
      </c>
      <c r="M28" s="10">
        <f>IF([3]Quarter!F28="","",[3]Quarter!F28)</f>
        <v/>
      </c>
      <c r="N28" s="10">
        <f>IF([3]Quarter!J28="","",[3]Quarter!J28)</f>
        <v/>
      </c>
      <c r="O28" s="10">
        <f>IF([3]Quarter!N28="","",[3]Quarter!N28)</f>
        <v/>
      </c>
      <c r="P28" s="10">
        <f>IF([3]Quarter!R28="","",[3]Quarter!R28)</f>
        <v/>
      </c>
      <c r="Q28" s="10">
        <f>IF([3]Quarter!S28="","",[3]Quarter!S28)</f>
        <v/>
      </c>
      <c r="R28" s="10">
        <f>IF([4]Quarter!F28="","",[4]Quarter!F28)</f>
        <v/>
      </c>
      <c r="S28" s="10">
        <f>IF([4]Quarter!J28="","",[4]Quarter!J28)</f>
        <v/>
      </c>
      <c r="T28" s="10">
        <f>IF([4]Quarter!N28="","",[4]Quarter!N28)</f>
        <v/>
      </c>
      <c r="U28" s="10">
        <f>IF([4]Quarter!R28="","",[4]Quarter!R28)</f>
        <v/>
      </c>
      <c r="V28" s="10">
        <f>IF([4]Quarter!S28="","",[4]Quarter!S28)</f>
        <v/>
      </c>
      <c r="W28" s="10">
        <f>IF([5]Quarter!F28="","",[5]Quarter!F28)</f>
        <v/>
      </c>
      <c r="X28" s="10">
        <f>IF([5]Quarter!J28="","",[5]Quarter!J28)</f>
        <v/>
      </c>
      <c r="Y28" s="10">
        <f>IF([5]Quarter!N28="","",[5]Quarter!N28)</f>
        <v/>
      </c>
      <c r="Z28" s="10">
        <f>IF([5]Quarter!R28="","",[5]Quarter!R28)</f>
        <v/>
      </c>
      <c r="AA28" s="10">
        <f>IF([5]Quarter!S28="","",[5]Quarter!S28)</f>
        <v/>
      </c>
      <c r="AB28" s="10">
        <f>IF([6]Quarter!F28="","",[6]Quarter!F28)</f>
        <v/>
      </c>
      <c r="AC28" s="10">
        <f>IF([6]Quarter!J28="","",[6]Quarter!J28)</f>
        <v/>
      </c>
      <c r="AD28" s="10">
        <f>IF([6]Quarter!N28="","",[6]Quarter!N28)</f>
        <v/>
      </c>
      <c r="AE28" s="10">
        <f>IF([6]Quarter!R28="","",[6]Quarter!R28)</f>
        <v/>
      </c>
      <c r="AF28" s="10">
        <f>IF([6]Quarter!S28="","",[6]Quarter!S28)</f>
        <v/>
      </c>
      <c r="AG28" s="10">
        <f>IF([7]Quarter!F28="","",[7]Quarter!F28)</f>
        <v/>
      </c>
      <c r="AH28" s="10">
        <f>IF([7]Quarter!J28="","",[7]Quarter!J28)</f>
        <v/>
      </c>
      <c r="AI28" s="10">
        <f>IF([7]Quarter!N28="","",[7]Quarter!N28)</f>
        <v/>
      </c>
      <c r="AJ28" s="10">
        <f>IF([7]Quarter!R28="","",[7]Quarter!R28)</f>
        <v/>
      </c>
      <c r="AK28" s="10">
        <f>IF([7]Quarter!S28="","",[7]Quarter!S28)</f>
        <v/>
      </c>
      <c r="AL28" s="11">
        <f>IF(COUNT(C28,H28,M28,R28,W28,AB28,AG28)=0,"",SUM(C28,H28,M28,R28,W28,AB28,AG28))</f>
        <v/>
      </c>
      <c r="AM28" s="11">
        <f>IF(COUNT(D28,I28,N28,S28,X28,AC28,AH28)=0,"",SUM(D28,I28,N28,S28,X28,AC28,AH28))</f>
        <v/>
      </c>
      <c r="AN28" s="11">
        <f>IF(COUNT(E28,J28,O28,T28,Y28,AD28,AI28)=0,"",SUM(E28,J28,O28,T28,Y28,AD28,AI28))</f>
        <v/>
      </c>
      <c r="AO28" s="11">
        <f>IF(COUNT(F28,K28,P28,U28,Z28,AE28,AJ28)=0,"",SUM(F28,K28,P28,U28,Z28,AE28,AJ28))</f>
        <v/>
      </c>
      <c r="AP28" s="11">
        <f>IF(COUNT(G28,L28,Q28,V28,AA28,AF28,AK28)=0,"",SUM(G28,L28,Q28,V28,AA28,AF28,AK28))</f>
        <v/>
      </c>
      <c r="AQ28" s="4" t="inlineStr">
        <is>
          <t>Sum of divisions</t>
        </is>
      </c>
    </row>
    <row r="29" ht="18.75" customHeight="1">
      <c r="A29" s="3" t="n"/>
      <c r="B29" s="20" t="inlineStr">
        <is>
          <t>Voluntary Turnover (%)</t>
        </is>
      </c>
      <c r="C29" s="18">
        <f>IF([1]Quarter!F29="","",[1]Quarter!F29)</f>
        <v/>
      </c>
      <c r="D29" s="18">
        <f>IF([1]Quarter!J29="","",[1]Quarter!J29)</f>
        <v/>
      </c>
      <c r="E29" s="18">
        <f>IF([1]Quarter!N29="","",[1]Quarter!N29)</f>
        <v/>
      </c>
      <c r="F29" s="18">
        <f>IF([1]Quarter!R29="","",[1]Quarter!R29)</f>
        <v/>
      </c>
      <c r="G29" s="18">
        <f>IF([1]Quarter!S29="","",[1]Quarter!S29)</f>
        <v/>
      </c>
      <c r="H29" s="18">
        <f>IF([2]Quarter!F29="","",[2]Quarter!F29)</f>
        <v/>
      </c>
      <c r="I29" s="18">
        <f>IF([2]Quarter!J29="","",[2]Quarter!J29)</f>
        <v/>
      </c>
      <c r="J29" s="18">
        <f>IF([2]Quarter!N29="","",[2]Quarter!N29)</f>
        <v/>
      </c>
      <c r="K29" s="18">
        <f>IF([2]Quarter!R29="","",[2]Quarter!R29)</f>
        <v/>
      </c>
      <c r="L29" s="18">
        <f>IF([2]Quarter!S29="","",[2]Quarter!S29)</f>
        <v/>
      </c>
      <c r="M29" s="18">
        <f>IF([3]Quarter!F29="","",[3]Quarter!F29)</f>
        <v/>
      </c>
      <c r="N29" s="18">
        <f>IF([3]Quarter!J29="","",[3]Quarter!J29)</f>
        <v/>
      </c>
      <c r="O29" s="18">
        <f>IF([3]Quarter!N29="","",[3]Quarter!N29)</f>
        <v/>
      </c>
      <c r="P29" s="18">
        <f>IF([3]Quarter!R29="","",[3]Quarter!R29)</f>
        <v/>
      </c>
      <c r="Q29" s="18">
        <f>IF([3]Quarter!S29="","",[3]Quarter!S29)</f>
        <v/>
      </c>
      <c r="R29" s="18">
        <f>IF([4]Quarter!F29="","",[4]Quarter!F29)</f>
        <v/>
      </c>
      <c r="S29" s="18">
        <f>IF([4]Quarter!J29="","",[4]Quarter!J29)</f>
        <v/>
      </c>
      <c r="T29" s="18">
        <f>IF([4]Quarter!N29="","",[4]Quarter!N29)</f>
        <v/>
      </c>
      <c r="U29" s="18">
        <f>IF([4]Quarter!R29="","",[4]Quarter!R29)</f>
        <v/>
      </c>
      <c r="V29" s="18">
        <f>IF([4]Quarter!S29="","",[4]Quarter!S29)</f>
        <v/>
      </c>
      <c r="W29" s="18">
        <f>IF([5]Quarter!F29="","",[5]Quarter!F29)</f>
        <v/>
      </c>
      <c r="X29" s="18">
        <f>IF([5]Quarter!J29="","",[5]Quarter!J29)</f>
        <v/>
      </c>
      <c r="Y29" s="18">
        <f>IF([5]Quarter!N29="","",[5]Quarter!N29)</f>
        <v/>
      </c>
      <c r="Z29" s="18">
        <f>IF([5]Quarter!R29="","",[5]Quarter!R29)</f>
        <v/>
      </c>
      <c r="AA29" s="18">
        <f>IF([5]Quarter!S29="","",[5]Quarter!S29)</f>
        <v/>
      </c>
      <c r="AB29" s="18">
        <f>IF([6]Quarter!F29="","",[6]Quarter!F29)</f>
        <v/>
      </c>
      <c r="AC29" s="18">
        <f>IF([6]Quarter!J29="","",[6]Quarter!J29)</f>
        <v/>
      </c>
      <c r="AD29" s="18">
        <f>IF([6]Quarter!N29="","",[6]Quarter!N29)</f>
        <v/>
      </c>
      <c r="AE29" s="18">
        <f>IF([6]Quarter!R29="","",[6]Quarter!R29)</f>
        <v/>
      </c>
      <c r="AF29" s="18">
        <f>IF([6]Quarter!S29="","",[6]Quarter!S29)</f>
        <v/>
      </c>
      <c r="AG29" s="18">
        <f>IF([7]Quarter!F29="","",[7]Quarter!F29)</f>
        <v/>
      </c>
      <c r="AH29" s="18">
        <f>IF([7]Quarter!J29="","",[7]Quarter!J29)</f>
        <v/>
      </c>
      <c r="AI29" s="18">
        <f>IF([7]Quarter!N29="","",[7]Quarter!N29)</f>
        <v/>
      </c>
      <c r="AJ29" s="18">
        <f>IF([7]Quarter!R29="","",[7]Quarter!R29)</f>
        <v/>
      </c>
      <c r="AK29" s="18">
        <f>IF([7]Quarter!S29="","",[7]Quarter!S29)</f>
        <v/>
      </c>
      <c r="AL29" s="19">
        <f>IF(COUNT(AL31,AL32)&lt;2,"",IF((AL32+AL31)=0,"",N(AL27)/((AL32+AL31)/2)))</f>
        <v/>
      </c>
      <c r="AM29" s="19">
        <f>IF(COUNT(AM31,AM32)&lt;2,"",IF((AM32+AM31)=0,"",N(AM27)/((AM32+AM31)/2)))</f>
        <v/>
      </c>
      <c r="AN29" s="19">
        <f>IF(COUNT(AN31,AN32)&lt;2,"",IF((AN32+AN31)=0,"",N(AN27)/((AN32+AN31)/2)))</f>
        <v/>
      </c>
      <c r="AO29" s="19">
        <f>IF(COUNT(AO31,AO32)&lt;2,"",IF((AO32+AO31)=0,"",N(AO27)/((AO32+AO31)/2)))</f>
        <v/>
      </c>
      <c r="AP29" s="19">
        <f>IF(COUNT(AP31,AP32)&lt;2,"",IF((AP32+AP31)=0,"",N(AP27)/((AP32+AP31)/2)))</f>
        <v/>
      </c>
      <c r="AQ29" s="4" t="inlineStr">
        <is>
          <t>Recalculated</t>
        </is>
      </c>
    </row>
    <row r="30" ht="18.75" customHeight="1">
      <c r="A30" s="3" t="n"/>
      <c r="B30" s="20" t="inlineStr">
        <is>
          <t>Involuntary Turnover (%)</t>
        </is>
      </c>
      <c r="C30" s="18">
        <f>IF([1]Quarter!F30="","",[1]Quarter!F30)</f>
        <v/>
      </c>
      <c r="D30" s="18">
        <f>IF([1]Quarter!J30="","",[1]Quarter!J30)</f>
        <v/>
      </c>
      <c r="E30" s="18">
        <f>IF([1]Quarter!N30="","",[1]Quarter!N30)</f>
        <v/>
      </c>
      <c r="F30" s="18">
        <f>IF([1]Quarter!R30="","",[1]Quarter!R30)</f>
        <v/>
      </c>
      <c r="G30" s="18">
        <f>IF([1]Quarter!S30="","",[1]Quarter!S30)</f>
        <v/>
      </c>
      <c r="H30" s="18">
        <f>IF([2]Quarter!F30="","",[2]Quarter!F30)</f>
        <v/>
      </c>
      <c r="I30" s="18">
        <f>IF([2]Quarter!J30="","",[2]Quarter!J30)</f>
        <v/>
      </c>
      <c r="J30" s="18">
        <f>IF([2]Quarter!N30="","",[2]Quarter!N30)</f>
        <v/>
      </c>
      <c r="K30" s="18">
        <f>IF([2]Quarter!R30="","",[2]Quarter!R30)</f>
        <v/>
      </c>
      <c r="L30" s="18">
        <f>IF([2]Quarter!S30="","",[2]Quarter!S30)</f>
        <v/>
      </c>
      <c r="M30" s="18">
        <f>IF([3]Quarter!F30="","",[3]Quarter!F30)</f>
        <v/>
      </c>
      <c r="N30" s="18">
        <f>IF([3]Quarter!J30="","",[3]Quarter!J30)</f>
        <v/>
      </c>
      <c r="O30" s="18">
        <f>IF([3]Quarter!N30="","",[3]Quarter!N30)</f>
        <v/>
      </c>
      <c r="P30" s="18">
        <f>IF([3]Quarter!R30="","",[3]Quarter!R30)</f>
        <v/>
      </c>
      <c r="Q30" s="18">
        <f>IF([3]Quarter!S30="","",[3]Quarter!S30)</f>
        <v/>
      </c>
      <c r="R30" s="18">
        <f>IF([4]Quarter!F30="","",[4]Quarter!F30)</f>
        <v/>
      </c>
      <c r="S30" s="18">
        <f>IF([4]Quarter!J30="","",[4]Quarter!J30)</f>
        <v/>
      </c>
      <c r="T30" s="18">
        <f>IF([4]Quarter!N30="","",[4]Quarter!N30)</f>
        <v/>
      </c>
      <c r="U30" s="18">
        <f>IF([4]Quarter!R30="","",[4]Quarter!R30)</f>
        <v/>
      </c>
      <c r="V30" s="18">
        <f>IF([4]Quarter!S30="","",[4]Quarter!S30)</f>
        <v/>
      </c>
      <c r="W30" s="18">
        <f>IF([5]Quarter!F30="","",[5]Quarter!F30)</f>
        <v/>
      </c>
      <c r="X30" s="18">
        <f>IF([5]Quarter!J30="","",[5]Quarter!J30)</f>
        <v/>
      </c>
      <c r="Y30" s="18">
        <f>IF([5]Quarter!N30="","",[5]Quarter!N30)</f>
        <v/>
      </c>
      <c r="Z30" s="18">
        <f>IF([5]Quarter!R30="","",[5]Quarter!R30)</f>
        <v/>
      </c>
      <c r="AA30" s="18">
        <f>IF([5]Quarter!S30="","",[5]Quarter!S30)</f>
        <v/>
      </c>
      <c r="AB30" s="18">
        <f>IF([6]Quarter!F30="","",[6]Quarter!F30)</f>
        <v/>
      </c>
      <c r="AC30" s="18">
        <f>IF([6]Quarter!J30="","",[6]Quarter!J30)</f>
        <v/>
      </c>
      <c r="AD30" s="18">
        <f>IF([6]Quarter!N30="","",[6]Quarter!N30)</f>
        <v/>
      </c>
      <c r="AE30" s="18">
        <f>IF([6]Quarter!R30="","",[6]Quarter!R30)</f>
        <v/>
      </c>
      <c r="AF30" s="18">
        <f>IF([6]Quarter!S30="","",[6]Quarter!S30)</f>
        <v/>
      </c>
      <c r="AG30" s="18">
        <f>IF([7]Quarter!F30="","",[7]Quarter!F30)</f>
        <v/>
      </c>
      <c r="AH30" s="18">
        <f>IF([7]Quarter!J30="","",[7]Quarter!J30)</f>
        <v/>
      </c>
      <c r="AI30" s="18">
        <f>IF([7]Quarter!N30="","",[7]Quarter!N30)</f>
        <v/>
      </c>
      <c r="AJ30" s="18">
        <f>IF([7]Quarter!R30="","",[7]Quarter!R30)</f>
        <v/>
      </c>
      <c r="AK30" s="18">
        <f>IF([7]Quarter!S30="","",[7]Quarter!S30)</f>
        <v/>
      </c>
      <c r="AL30" s="19">
        <f>IF(COUNT(AL31,AL32)&lt;2,"",IF((AL32+AL31)=0,"",N(AL28)/((AL32+AL31)/2)))</f>
        <v/>
      </c>
      <c r="AM30" s="19">
        <f>IF(COUNT(AM31,AM32)&lt;2,"",IF((AM32+AM31)=0,"",N(AM28)/((AM32+AM31)/2)))</f>
        <v/>
      </c>
      <c r="AN30" s="19">
        <f>IF(COUNT(AN31,AN32)&lt;2,"",IF((AN32+AN31)=0,"",N(AN28)/((AN32+AN31)/2)))</f>
        <v/>
      </c>
      <c r="AO30" s="19">
        <f>IF(COUNT(AO31,AO32)&lt;2,"",IF((AO32+AO31)=0,"",N(AO28)/((AO32+AO31)/2)))</f>
        <v/>
      </c>
      <c r="AP30" s="19">
        <f>IF(COUNT(AP31,AP32)&lt;2,"",IF((AP32+AP31)=0,"",N(AP28)/((AP32+AP31)/2)))</f>
        <v/>
      </c>
      <c r="AQ30" s="4" t="inlineStr">
        <is>
          <t>Recalculated</t>
        </is>
      </c>
    </row>
    <row r="31" ht="18.75" customHeight="1">
      <c r="A31" s="3" t="n"/>
      <c r="B31" s="9" t="inlineStr">
        <is>
          <t>Headcount last Month</t>
        </is>
      </c>
      <c r="C31" s="10">
        <f>IF([1]Quarter!F31="","",[1]Quarter!F31)</f>
        <v/>
      </c>
      <c r="D31" s="10">
        <f>IF([1]Quarter!J31="","",[1]Quarter!J31)</f>
        <v/>
      </c>
      <c r="E31" s="10">
        <f>IF([1]Quarter!N31="","",[1]Quarter!N31)</f>
        <v/>
      </c>
      <c r="F31" s="10">
        <f>IF([1]Quarter!R31="","",[1]Quarter!R31)</f>
        <v/>
      </c>
      <c r="G31" s="10">
        <f>IF([1]Quarter!S31="","",[1]Quarter!S31)</f>
        <v/>
      </c>
      <c r="H31" s="10">
        <f>IF([2]Quarter!F31="","",[2]Quarter!F31)</f>
        <v/>
      </c>
      <c r="I31" s="10">
        <f>IF([2]Quarter!J31="","",[2]Quarter!J31)</f>
        <v/>
      </c>
      <c r="J31" s="10">
        <f>IF([2]Quarter!N31="","",[2]Quarter!N31)</f>
        <v/>
      </c>
      <c r="K31" s="10">
        <f>IF([2]Quarter!R31="","",[2]Quarter!R31)</f>
        <v/>
      </c>
      <c r="L31" s="10">
        <f>IF([2]Quarter!S31="","",[2]Quarter!S31)</f>
        <v/>
      </c>
      <c r="M31" s="10">
        <f>IF([3]Quarter!F31="","",[3]Quarter!F31)</f>
        <v/>
      </c>
      <c r="N31" s="10">
        <f>IF([3]Quarter!J31="","",[3]Quarter!J31)</f>
        <v/>
      </c>
      <c r="O31" s="10">
        <f>IF([3]Quarter!N31="","",[3]Quarter!N31)</f>
        <v/>
      </c>
      <c r="P31" s="10">
        <f>IF([3]Quarter!R31="","",[3]Quarter!R31)</f>
        <v/>
      </c>
      <c r="Q31" s="10">
        <f>IF([3]Quarter!S31="","",[3]Quarter!S31)</f>
        <v/>
      </c>
      <c r="R31" s="10">
        <f>IF([4]Quarter!F31="","",[4]Quarter!F31)</f>
        <v/>
      </c>
      <c r="S31" s="10">
        <f>IF([4]Quarter!J31="","",[4]Quarter!J31)</f>
        <v/>
      </c>
      <c r="T31" s="10">
        <f>IF([4]Quarter!N31="","",[4]Quarter!N31)</f>
        <v/>
      </c>
      <c r="U31" s="10">
        <f>IF([4]Quarter!R31="","",[4]Quarter!R31)</f>
        <v/>
      </c>
      <c r="V31" s="10">
        <f>IF([4]Quarter!S31="","",[4]Quarter!S31)</f>
        <v/>
      </c>
      <c r="W31" s="10">
        <f>IF([5]Quarter!F31="","",[5]Quarter!F31)</f>
        <v/>
      </c>
      <c r="X31" s="10">
        <f>IF([5]Quarter!J31="","",[5]Quarter!J31)</f>
        <v/>
      </c>
      <c r="Y31" s="10">
        <f>IF([5]Quarter!N31="","",[5]Quarter!N31)</f>
        <v/>
      </c>
      <c r="Z31" s="10">
        <f>IF([5]Quarter!R31="","",[5]Quarter!R31)</f>
        <v/>
      </c>
      <c r="AA31" s="10">
        <f>IF([5]Quarter!S31="","",[5]Quarter!S31)</f>
        <v/>
      </c>
      <c r="AB31" s="10">
        <f>IF([6]Quarter!F31="","",[6]Quarter!F31)</f>
        <v/>
      </c>
      <c r="AC31" s="10">
        <f>IF([6]Quarter!J31="","",[6]Quarter!J31)</f>
        <v/>
      </c>
      <c r="AD31" s="10">
        <f>IF([6]Quarter!N31="","",[6]Quarter!N31)</f>
        <v/>
      </c>
      <c r="AE31" s="10">
        <f>IF([6]Quarter!R31="","",[6]Quarter!R31)</f>
        <v/>
      </c>
      <c r="AF31" s="10">
        <f>IF([6]Quarter!S31="","",[6]Quarter!S31)</f>
        <v/>
      </c>
      <c r="AG31" s="10">
        <f>IF([7]Quarter!F31="","",[7]Quarter!F31)</f>
        <v/>
      </c>
      <c r="AH31" s="10">
        <f>IF([7]Quarter!J31="","",[7]Quarter!J31)</f>
        <v/>
      </c>
      <c r="AI31" s="10">
        <f>IF([7]Quarter!N31="","",[7]Quarter!N31)</f>
        <v/>
      </c>
      <c r="AJ31" s="10">
        <f>IF([7]Quarter!R31="","",[7]Quarter!R31)</f>
        <v/>
      </c>
      <c r="AK31" s="10">
        <f>IF([7]Quarter!S31="","",[7]Quarter!S31)</f>
        <v/>
      </c>
      <c r="AL31" s="11">
        <f>IF(COUNT(C31,H31,M31,R31,W31,AB31,AG31)=0,"",SUM(C31,H31,M31,R31,W31,AB31,AG31))</f>
        <v/>
      </c>
      <c r="AM31" s="11">
        <f>IF(COUNT(D31,I31,N31,S31,X31,AC31,AH31)=0,"",SUM(D31,I31,N31,S31,X31,AC31,AH31))</f>
        <v/>
      </c>
      <c r="AN31" s="11">
        <f>IF(COUNT(E31,J31,O31,T31,Y31,AD31,AI31)=0,"",SUM(E31,J31,O31,T31,Y31,AD31,AI31))</f>
        <v/>
      </c>
      <c r="AO31" s="11">
        <f>IF(COUNT(F31,K31,P31,U31,Z31,AE31,AJ31)=0,"",SUM(F31,K31,P31,U31,Z31,AE31,AJ31))</f>
        <v/>
      </c>
      <c r="AP31" s="11">
        <f>IF(COUNT(G31,L31,Q31,V31,AA31,AF31,AK31)=0,"",SUM(G31,L31,Q31,V31,AA31,AF31,AK31))</f>
        <v/>
      </c>
      <c r="AQ31" s="4" t="inlineStr">
        <is>
          <t>Sum of divisions</t>
        </is>
      </c>
    </row>
    <row r="32" ht="18.75" customHeight="1">
      <c r="A32" s="3" t="n"/>
      <c r="B32" s="12" t="inlineStr">
        <is>
          <t>Headcount this Month</t>
        </is>
      </c>
      <c r="C32" s="10">
        <f>IF([1]Quarter!F32="","",[1]Quarter!F32)</f>
        <v/>
      </c>
      <c r="D32" s="10">
        <f>IF([1]Quarter!J32="","",[1]Quarter!J32)</f>
        <v/>
      </c>
      <c r="E32" s="10">
        <f>IF([1]Quarter!N32="","",[1]Quarter!N32)</f>
        <v/>
      </c>
      <c r="F32" s="10">
        <f>IF([1]Quarter!R32="","",[1]Quarter!R32)</f>
        <v/>
      </c>
      <c r="G32" s="10">
        <f>IF([1]Quarter!S32="","",[1]Quarter!S32)</f>
        <v/>
      </c>
      <c r="H32" s="10">
        <f>IF([2]Quarter!F32="","",[2]Quarter!F32)</f>
        <v/>
      </c>
      <c r="I32" s="10">
        <f>IF([2]Quarter!J32="","",[2]Quarter!J32)</f>
        <v/>
      </c>
      <c r="J32" s="10">
        <f>IF([2]Quarter!N32="","",[2]Quarter!N32)</f>
        <v/>
      </c>
      <c r="K32" s="10">
        <f>IF([2]Quarter!R32="","",[2]Quarter!R32)</f>
        <v/>
      </c>
      <c r="L32" s="10">
        <f>IF([2]Quarter!S32="","",[2]Quarter!S32)</f>
        <v/>
      </c>
      <c r="M32" s="10">
        <f>IF([3]Quarter!F32="","",[3]Quarter!F32)</f>
        <v/>
      </c>
      <c r="N32" s="10">
        <f>IF([3]Quarter!J32="","",[3]Quarter!J32)</f>
        <v/>
      </c>
      <c r="O32" s="10">
        <f>IF([3]Quarter!N32="","",[3]Quarter!N32)</f>
        <v/>
      </c>
      <c r="P32" s="10">
        <f>IF([3]Quarter!R32="","",[3]Quarter!R32)</f>
        <v/>
      </c>
      <c r="Q32" s="10">
        <f>IF([3]Quarter!S32="","",[3]Quarter!S32)</f>
        <v/>
      </c>
      <c r="R32" s="10">
        <f>IF([4]Quarter!F32="","",[4]Quarter!F32)</f>
        <v/>
      </c>
      <c r="S32" s="10">
        <f>IF([4]Quarter!J32="","",[4]Quarter!J32)</f>
        <v/>
      </c>
      <c r="T32" s="10">
        <f>IF([4]Quarter!N32="","",[4]Quarter!N32)</f>
        <v/>
      </c>
      <c r="U32" s="10">
        <f>IF([4]Quarter!R32="","",[4]Quarter!R32)</f>
        <v/>
      </c>
      <c r="V32" s="10">
        <f>IF([4]Quarter!S32="","",[4]Quarter!S32)</f>
        <v/>
      </c>
      <c r="W32" s="10">
        <f>IF([5]Quarter!F32="","",[5]Quarter!F32)</f>
        <v/>
      </c>
      <c r="X32" s="10">
        <f>IF([5]Quarter!J32="","",[5]Quarter!J32)</f>
        <v/>
      </c>
      <c r="Y32" s="10">
        <f>IF([5]Quarter!N32="","",[5]Quarter!N32)</f>
        <v/>
      </c>
      <c r="Z32" s="10">
        <f>IF([5]Quarter!R32="","",[5]Quarter!R32)</f>
        <v/>
      </c>
      <c r="AA32" s="10">
        <f>IF([5]Quarter!S32="","",[5]Quarter!S32)</f>
        <v/>
      </c>
      <c r="AB32" s="10">
        <f>IF([6]Quarter!F32="","",[6]Quarter!F32)</f>
        <v/>
      </c>
      <c r="AC32" s="10">
        <f>IF([6]Quarter!J32="","",[6]Quarter!J32)</f>
        <v/>
      </c>
      <c r="AD32" s="10">
        <f>IF([6]Quarter!N32="","",[6]Quarter!N32)</f>
        <v/>
      </c>
      <c r="AE32" s="10">
        <f>IF([6]Quarter!R32="","",[6]Quarter!R32)</f>
        <v/>
      </c>
      <c r="AF32" s="10">
        <f>IF([6]Quarter!S32="","",[6]Quarter!S32)</f>
        <v/>
      </c>
      <c r="AG32" s="10">
        <f>IF([7]Quarter!F32="","",[7]Quarter!F32)</f>
        <v/>
      </c>
      <c r="AH32" s="10">
        <f>IF([7]Quarter!J32="","",[7]Quarter!J32)</f>
        <v/>
      </c>
      <c r="AI32" s="10">
        <f>IF([7]Quarter!N32="","",[7]Quarter!N32)</f>
        <v/>
      </c>
      <c r="AJ32" s="10">
        <f>IF([7]Quarter!R32="","",[7]Quarter!R32)</f>
        <v/>
      </c>
      <c r="AK32" s="10">
        <f>IF([7]Quarter!S32="","",[7]Quarter!S32)</f>
        <v/>
      </c>
      <c r="AL32" s="11">
        <f>IF(COUNT(C32,H32,M32,R32,W32,AB32,AG32)=0,"",SUM(C32,H32,M32,R32,W32,AB32,AG32))</f>
        <v/>
      </c>
      <c r="AM32" s="11">
        <f>IF(COUNT(D32,I32,N32,S32,X32,AC32,AH32)=0,"",SUM(D32,I32,N32,S32,X32,AC32,AH32))</f>
        <v/>
      </c>
      <c r="AN32" s="11">
        <f>IF(COUNT(E32,J32,O32,T32,Y32,AD32,AI32)=0,"",SUM(E32,J32,O32,T32,Y32,AD32,AI32))</f>
        <v/>
      </c>
      <c r="AO32" s="11">
        <f>IF(COUNT(F32,K32,P32,U32,Z32,AE32,AJ32)=0,"",SUM(F32,K32,P32,U32,Z32,AE32,AJ32))</f>
        <v/>
      </c>
      <c r="AP32" s="11">
        <f>IF(COUNT(G32,L32,Q32,V32,AA32,AF32,AK32)=0,"",SUM(G32,L32,Q32,V32,AA32,AF32,AK32))</f>
        <v/>
      </c>
      <c r="AQ32" s="4" t="inlineStr">
        <is>
          <t>Sum of divisions</t>
        </is>
      </c>
    </row>
    <row r="33" ht="18.75" customHeight="1">
      <c r="A33" s="3" t="n"/>
      <c r="B33" s="12" t="inlineStr">
        <is>
          <t>Full Turnover (%)</t>
        </is>
      </c>
      <c r="C33" s="18">
        <f>IF([1]Quarter!F33="","",[1]Quarter!F33)</f>
        <v/>
      </c>
      <c r="D33" s="18">
        <f>IF([1]Quarter!J33="","",[1]Quarter!J33)</f>
        <v/>
      </c>
      <c r="E33" s="18">
        <f>IF([1]Quarter!N33="","",[1]Quarter!N33)</f>
        <v/>
      </c>
      <c r="F33" s="18">
        <f>IF([1]Quarter!R33="","",[1]Quarter!R33)</f>
        <v/>
      </c>
      <c r="G33" s="18">
        <f>IF([1]Quarter!S33="","",[1]Quarter!S33)</f>
        <v/>
      </c>
      <c r="H33" s="18">
        <f>IF([2]Quarter!F33="","",[2]Quarter!F33)</f>
        <v/>
      </c>
      <c r="I33" s="18">
        <f>IF([2]Quarter!J33="","",[2]Quarter!J33)</f>
        <v/>
      </c>
      <c r="J33" s="18">
        <f>IF([2]Quarter!N33="","",[2]Quarter!N33)</f>
        <v/>
      </c>
      <c r="K33" s="18">
        <f>IF([2]Quarter!R33="","",[2]Quarter!R33)</f>
        <v/>
      </c>
      <c r="L33" s="18">
        <f>IF([2]Quarter!S33="","",[2]Quarter!S33)</f>
        <v/>
      </c>
      <c r="M33" s="18">
        <f>IF([3]Quarter!F33="","",[3]Quarter!F33)</f>
        <v/>
      </c>
      <c r="N33" s="18">
        <f>IF([3]Quarter!J33="","",[3]Quarter!J33)</f>
        <v/>
      </c>
      <c r="O33" s="18">
        <f>IF([3]Quarter!N33="","",[3]Quarter!N33)</f>
        <v/>
      </c>
      <c r="P33" s="18">
        <f>IF([3]Quarter!R33="","",[3]Quarter!R33)</f>
        <v/>
      </c>
      <c r="Q33" s="18">
        <f>IF([3]Quarter!S33="","",[3]Quarter!S33)</f>
        <v/>
      </c>
      <c r="R33" s="18">
        <f>IF([4]Quarter!F33="","",[4]Quarter!F33)</f>
        <v/>
      </c>
      <c r="S33" s="18">
        <f>IF([4]Quarter!J33="","",[4]Quarter!J33)</f>
        <v/>
      </c>
      <c r="T33" s="18">
        <f>IF([4]Quarter!N33="","",[4]Quarter!N33)</f>
        <v/>
      </c>
      <c r="U33" s="18">
        <f>IF([4]Quarter!R33="","",[4]Quarter!R33)</f>
        <v/>
      </c>
      <c r="V33" s="18">
        <f>IF([4]Quarter!S33="","",[4]Quarter!S33)</f>
        <v/>
      </c>
      <c r="W33" s="18">
        <f>IF([5]Quarter!F33="","",[5]Quarter!F33)</f>
        <v/>
      </c>
      <c r="X33" s="18">
        <f>IF([5]Quarter!J33="","",[5]Quarter!J33)</f>
        <v/>
      </c>
      <c r="Y33" s="18">
        <f>IF([5]Quarter!N33="","",[5]Quarter!N33)</f>
        <v/>
      </c>
      <c r="Z33" s="18">
        <f>IF([5]Quarter!R33="","",[5]Quarter!R33)</f>
        <v/>
      </c>
      <c r="AA33" s="18">
        <f>IF([5]Quarter!S33="","",[5]Quarter!S33)</f>
        <v/>
      </c>
      <c r="AB33" s="18">
        <f>IF([6]Quarter!F33="","",[6]Quarter!F33)</f>
        <v/>
      </c>
      <c r="AC33" s="18">
        <f>IF([6]Quarter!J33="","",[6]Quarter!J33)</f>
        <v/>
      </c>
      <c r="AD33" s="18">
        <f>IF([6]Quarter!N33="","",[6]Quarter!N33)</f>
        <v/>
      </c>
      <c r="AE33" s="18">
        <f>IF([6]Quarter!R33="","",[6]Quarter!R33)</f>
        <v/>
      </c>
      <c r="AF33" s="18">
        <f>IF([6]Quarter!S33="","",[6]Quarter!S33)</f>
        <v/>
      </c>
      <c r="AG33" s="18">
        <f>IF([7]Quarter!F33="","",[7]Quarter!F33)</f>
        <v/>
      </c>
      <c r="AH33" s="18">
        <f>IF([7]Quarter!J33="","",[7]Quarter!J33)</f>
        <v/>
      </c>
      <c r="AI33" s="18">
        <f>IF([7]Quarter!N33="","",[7]Quarter!N33)</f>
        <v/>
      </c>
      <c r="AJ33" s="18">
        <f>IF([7]Quarter!R33="","",[7]Quarter!R33)</f>
        <v/>
      </c>
      <c r="AK33" s="18">
        <f>IF([7]Quarter!S33="","",[7]Quarter!S33)</f>
        <v/>
      </c>
      <c r="AL33" s="19">
        <f>IF(COUNT(AL31,AL32)&lt;2,"",IF((AL32+AL31)=0,"",N(AL24)/((AL32+AL31)/2)))</f>
        <v/>
      </c>
      <c r="AM33" s="19">
        <f>IF(COUNT(AM31,AM32)&lt;2,"",IF((AM32+AM31)=0,"",N(AM24)/((AM32+AM31)/2)))</f>
        <v/>
      </c>
      <c r="AN33" s="19">
        <f>IF(COUNT(AN31,AN32)&lt;2,"",IF((AN32+AN31)=0,"",N(AN24)/((AN32+AN31)/2)))</f>
        <v/>
      </c>
      <c r="AO33" s="19">
        <f>IF(COUNT(AO31,AO32)&lt;2,"",IF((AO32+AO31)=0,"",N(AO24)/((AO32+AO31)/2)))</f>
        <v/>
      </c>
      <c r="AP33" s="19">
        <f>IF(COUNT(AP31,AP32)&lt;2,"",IF((AP32+AP31)=0,"",N(AP24)/((AP32+AP31)/2)))</f>
        <v/>
      </c>
      <c r="AQ33" s="4" t="inlineStr">
        <is>
          <t>Recalculated</t>
        </is>
      </c>
    </row>
    <row r="34" ht="18.75" customHeight="1">
      <c r="A34" s="3" t="n"/>
      <c r="B34" s="21" t="inlineStr">
        <is>
          <t>Permanent Vacancies</t>
        </is>
      </c>
      <c r="C34" s="10">
        <f>IF([1]Quarter!F34="","",[1]Quarter!F34)</f>
        <v/>
      </c>
      <c r="D34" s="10">
        <f>IF([1]Quarter!J34="","",[1]Quarter!J34)</f>
        <v/>
      </c>
      <c r="E34" s="10">
        <f>IF([1]Quarter!N34="","",[1]Quarter!N34)</f>
        <v/>
      </c>
      <c r="F34" s="10">
        <f>IF([1]Quarter!R34="","",[1]Quarter!R34)</f>
        <v/>
      </c>
      <c r="G34" s="10">
        <f>IF([1]Quarter!S34="","",[1]Quarter!S34)</f>
        <v/>
      </c>
      <c r="H34" s="10">
        <f>IF([2]Quarter!F34="","",[2]Quarter!F34)</f>
        <v/>
      </c>
      <c r="I34" s="10">
        <f>IF([2]Quarter!J34="","",[2]Quarter!J34)</f>
        <v/>
      </c>
      <c r="J34" s="10">
        <f>IF([2]Quarter!N34="","",[2]Quarter!N34)</f>
        <v/>
      </c>
      <c r="K34" s="10">
        <f>IF([2]Quarter!R34="","",[2]Quarter!R34)</f>
        <v/>
      </c>
      <c r="L34" s="10">
        <f>IF([2]Quarter!S34="","",[2]Quarter!S34)</f>
        <v/>
      </c>
      <c r="M34" s="10">
        <f>IF([3]Quarter!F34="","",[3]Quarter!F34)</f>
        <v/>
      </c>
      <c r="N34" s="10">
        <f>IF([3]Quarter!J34="","",[3]Quarter!J34)</f>
        <v/>
      </c>
      <c r="O34" s="10">
        <f>IF([3]Quarter!N34="","",[3]Quarter!N34)</f>
        <v/>
      </c>
      <c r="P34" s="10">
        <f>IF([3]Quarter!R34="","",[3]Quarter!R34)</f>
        <v/>
      </c>
      <c r="Q34" s="10">
        <f>IF([3]Quarter!S34="","",[3]Quarter!S34)</f>
        <v/>
      </c>
      <c r="R34" s="10">
        <f>IF([4]Quarter!F34="","",[4]Quarter!F34)</f>
        <v/>
      </c>
      <c r="S34" s="10">
        <f>IF([4]Quarter!J34="","",[4]Quarter!J34)</f>
        <v/>
      </c>
      <c r="T34" s="10">
        <f>IF([4]Quarter!N34="","",[4]Quarter!N34)</f>
        <v/>
      </c>
      <c r="U34" s="10">
        <f>IF([4]Quarter!R34="","",[4]Quarter!R34)</f>
        <v/>
      </c>
      <c r="V34" s="10">
        <f>IF([4]Quarter!S34="","",[4]Quarter!S34)</f>
        <v/>
      </c>
      <c r="W34" s="10">
        <f>IF([5]Quarter!F34="","",[5]Quarter!F34)</f>
        <v/>
      </c>
      <c r="X34" s="10">
        <f>IF([5]Quarter!J34="","",[5]Quarter!J34)</f>
        <v/>
      </c>
      <c r="Y34" s="10">
        <f>IF([5]Quarter!N34="","",[5]Quarter!N34)</f>
        <v/>
      </c>
      <c r="Z34" s="10">
        <f>IF([5]Quarter!R34="","",[5]Quarter!R34)</f>
        <v/>
      </c>
      <c r="AA34" s="10">
        <f>IF([5]Quarter!S34="","",[5]Quarter!S34)</f>
        <v/>
      </c>
      <c r="AB34" s="10">
        <f>IF([6]Quarter!F34="","",[6]Quarter!F34)</f>
        <v/>
      </c>
      <c r="AC34" s="10">
        <f>IF([6]Quarter!J34="","",[6]Quarter!J34)</f>
        <v/>
      </c>
      <c r="AD34" s="10">
        <f>IF([6]Quarter!N34="","",[6]Quarter!N34)</f>
        <v/>
      </c>
      <c r="AE34" s="10">
        <f>IF([6]Quarter!R34="","",[6]Quarter!R34)</f>
        <v/>
      </c>
      <c r="AF34" s="10">
        <f>IF([6]Quarter!S34="","",[6]Quarter!S34)</f>
        <v/>
      </c>
      <c r="AG34" s="10">
        <f>IF([7]Quarter!F34="","",[7]Quarter!F34)</f>
        <v/>
      </c>
      <c r="AH34" s="10">
        <f>IF([7]Quarter!J34="","",[7]Quarter!J34)</f>
        <v/>
      </c>
      <c r="AI34" s="10">
        <f>IF([7]Quarter!N34="","",[7]Quarter!N34)</f>
        <v/>
      </c>
      <c r="AJ34" s="10">
        <f>IF([7]Quarter!R34="","",[7]Quarter!R34)</f>
        <v/>
      </c>
      <c r="AK34" s="10">
        <f>IF([7]Quarter!S34="","",[7]Quarter!S34)</f>
        <v/>
      </c>
      <c r="AL34" s="11">
        <f>IF(COUNT(C34,H34,M34,R34,W34,AB34,AG34)=0,"",SUM(C34,H34,M34,R34,W34,AB34,AG34))</f>
        <v/>
      </c>
      <c r="AM34" s="11">
        <f>IF(COUNT(D34,I34,N34,S34,X34,AC34,AH34)=0,"",SUM(D34,I34,N34,S34,X34,AC34,AH34))</f>
        <v/>
      </c>
      <c r="AN34" s="11">
        <f>IF(COUNT(E34,J34,O34,T34,Y34,AD34,AI34)=0,"",SUM(E34,J34,O34,T34,Y34,AD34,AI34))</f>
        <v/>
      </c>
      <c r="AO34" s="11">
        <f>IF(COUNT(F34,K34,P34,U34,Z34,AE34,AJ34)=0,"",SUM(F34,K34,P34,U34,Z34,AE34,AJ34))</f>
        <v/>
      </c>
      <c r="AP34" s="11">
        <f>IF(COUNT(G34,L34,Q34,V34,AA34,AF34,AK34)=0,"",SUM(G34,L34,Q34,V34,AA34,AF34,AK34))</f>
        <v/>
      </c>
      <c r="AQ34" s="4" t="inlineStr">
        <is>
          <t>Sum of divisions</t>
        </is>
      </c>
    </row>
    <row r="35" ht="18.75" customHeight="1">
      <c r="A35" s="3" t="n"/>
      <c r="B35" s="21" t="inlineStr">
        <is>
          <t>Temporary Vacancies</t>
        </is>
      </c>
      <c r="C35" s="10">
        <f>IF([1]Quarter!F35="","",[1]Quarter!F35)</f>
        <v/>
      </c>
      <c r="D35" s="10">
        <f>IF([1]Quarter!J35="","",[1]Quarter!J35)</f>
        <v/>
      </c>
      <c r="E35" s="10">
        <f>IF([1]Quarter!N35="","",[1]Quarter!N35)</f>
        <v/>
      </c>
      <c r="F35" s="10">
        <f>IF([1]Quarter!R35="","",[1]Quarter!R35)</f>
        <v/>
      </c>
      <c r="G35" s="10">
        <f>IF([1]Quarter!S35="","",[1]Quarter!S35)</f>
        <v/>
      </c>
      <c r="H35" s="10">
        <f>IF([2]Quarter!F35="","",[2]Quarter!F35)</f>
        <v/>
      </c>
      <c r="I35" s="10">
        <f>IF([2]Quarter!J35="","",[2]Quarter!J35)</f>
        <v/>
      </c>
      <c r="J35" s="10">
        <f>IF([2]Quarter!N35="","",[2]Quarter!N35)</f>
        <v/>
      </c>
      <c r="K35" s="10">
        <f>IF([2]Quarter!R35="","",[2]Quarter!R35)</f>
        <v/>
      </c>
      <c r="L35" s="10">
        <f>IF([2]Quarter!S35="","",[2]Quarter!S35)</f>
        <v/>
      </c>
      <c r="M35" s="10">
        <f>IF([3]Quarter!F35="","",[3]Quarter!F35)</f>
        <v/>
      </c>
      <c r="N35" s="10">
        <f>IF([3]Quarter!J35="","",[3]Quarter!J35)</f>
        <v/>
      </c>
      <c r="O35" s="10">
        <f>IF([3]Quarter!N35="","",[3]Quarter!N35)</f>
        <v/>
      </c>
      <c r="P35" s="10">
        <f>IF([3]Quarter!R35="","",[3]Quarter!R35)</f>
        <v/>
      </c>
      <c r="Q35" s="10">
        <f>IF([3]Quarter!S35="","",[3]Quarter!S35)</f>
        <v/>
      </c>
      <c r="R35" s="10">
        <f>IF([4]Quarter!F35="","",[4]Quarter!F35)</f>
        <v/>
      </c>
      <c r="S35" s="10">
        <f>IF([4]Quarter!J35="","",[4]Quarter!J35)</f>
        <v/>
      </c>
      <c r="T35" s="10">
        <f>IF([4]Quarter!N35="","",[4]Quarter!N35)</f>
        <v/>
      </c>
      <c r="U35" s="10">
        <f>IF([4]Quarter!R35="","",[4]Quarter!R35)</f>
        <v/>
      </c>
      <c r="V35" s="10">
        <f>IF([4]Quarter!S35="","",[4]Quarter!S35)</f>
        <v/>
      </c>
      <c r="W35" s="10">
        <f>IF([5]Quarter!F35="","",[5]Quarter!F35)</f>
        <v/>
      </c>
      <c r="X35" s="10">
        <f>IF([5]Quarter!J35="","",[5]Quarter!J35)</f>
        <v/>
      </c>
      <c r="Y35" s="10">
        <f>IF([5]Quarter!N35="","",[5]Quarter!N35)</f>
        <v/>
      </c>
      <c r="Z35" s="10">
        <f>IF([5]Quarter!R35="","",[5]Quarter!R35)</f>
        <v/>
      </c>
      <c r="AA35" s="10">
        <f>IF([5]Quarter!S35="","",[5]Quarter!S35)</f>
        <v/>
      </c>
      <c r="AB35" s="10">
        <f>IF([6]Quarter!F35="","",[6]Quarter!F35)</f>
        <v/>
      </c>
      <c r="AC35" s="10">
        <f>IF([6]Quarter!J35="","",[6]Quarter!J35)</f>
        <v/>
      </c>
      <c r="AD35" s="10">
        <f>IF([6]Quarter!N35="","",[6]Quarter!N35)</f>
        <v/>
      </c>
      <c r="AE35" s="10">
        <f>IF([6]Quarter!R35="","",[6]Quarter!R35)</f>
        <v/>
      </c>
      <c r="AF35" s="10">
        <f>IF([6]Quarter!S35="","",[6]Quarter!S35)</f>
        <v/>
      </c>
      <c r="AG35" s="10">
        <f>IF([7]Quarter!F35="","",[7]Quarter!F35)</f>
        <v/>
      </c>
      <c r="AH35" s="10">
        <f>IF([7]Quarter!J35="","",[7]Quarter!J35)</f>
        <v/>
      </c>
      <c r="AI35" s="10">
        <f>IF([7]Quarter!N35="","",[7]Quarter!N35)</f>
        <v/>
      </c>
      <c r="AJ35" s="10">
        <f>IF([7]Quarter!R35="","",[7]Quarter!R35)</f>
        <v/>
      </c>
      <c r="AK35" s="10">
        <f>IF([7]Quarter!S35="","",[7]Quarter!S35)</f>
        <v/>
      </c>
      <c r="AL35" s="11">
        <f>IF(COUNT(C35,H35,M35,R35,W35,AB35,AG35)=0,"",SUM(C35,H35,M35,R35,W35,AB35,AG35))</f>
        <v/>
      </c>
      <c r="AM35" s="11">
        <f>IF(COUNT(D35,I35,N35,S35,X35,AC35,AH35)=0,"",SUM(D35,I35,N35,S35,X35,AC35,AH35))</f>
        <v/>
      </c>
      <c r="AN35" s="11">
        <f>IF(COUNT(E35,J35,O35,T35,Y35,AD35,AI35)=0,"",SUM(E35,J35,O35,T35,Y35,AD35,AI35))</f>
        <v/>
      </c>
      <c r="AO35" s="11">
        <f>IF(COUNT(F35,K35,P35,U35,Z35,AE35,AJ35)=0,"",SUM(F35,K35,P35,U35,Z35,AE35,AJ35))</f>
        <v/>
      </c>
      <c r="AP35" s="11">
        <f>IF(COUNT(G35,L35,Q35,V35,AA35,AF35,AK35)=0,"",SUM(G35,L35,Q35,V35,AA35,AF35,AK35))</f>
        <v/>
      </c>
      <c r="AQ35" s="4" t="inlineStr">
        <is>
          <t>Sum of divisions</t>
        </is>
      </c>
    </row>
    <row r="36" ht="18.75" customHeight="1">
      <c r="A36" s="3" t="n"/>
      <c r="B36" s="12" t="inlineStr">
        <is>
          <t>Total Vacancies</t>
        </is>
      </c>
      <c r="C36" s="10">
        <f>IF([1]Quarter!F36="","",[1]Quarter!F36)</f>
        <v/>
      </c>
      <c r="D36" s="10">
        <f>IF([1]Quarter!J36="","",[1]Quarter!J36)</f>
        <v/>
      </c>
      <c r="E36" s="10">
        <f>IF([1]Quarter!N36="","",[1]Quarter!N36)</f>
        <v/>
      </c>
      <c r="F36" s="10">
        <f>IF([1]Quarter!R36="","",[1]Quarter!R36)</f>
        <v/>
      </c>
      <c r="G36" s="10">
        <f>IF([1]Quarter!S36="","",[1]Quarter!S36)</f>
        <v/>
      </c>
      <c r="H36" s="10">
        <f>IF([2]Quarter!F36="","",[2]Quarter!F36)</f>
        <v/>
      </c>
      <c r="I36" s="10">
        <f>IF([2]Quarter!J36="","",[2]Quarter!J36)</f>
        <v/>
      </c>
      <c r="J36" s="10">
        <f>IF([2]Quarter!N36="","",[2]Quarter!N36)</f>
        <v/>
      </c>
      <c r="K36" s="10">
        <f>IF([2]Quarter!R36="","",[2]Quarter!R36)</f>
        <v/>
      </c>
      <c r="L36" s="10">
        <f>IF([2]Quarter!S36="","",[2]Quarter!S36)</f>
        <v/>
      </c>
      <c r="M36" s="10">
        <f>IF([3]Quarter!F36="","",[3]Quarter!F36)</f>
        <v/>
      </c>
      <c r="N36" s="10">
        <f>IF([3]Quarter!J36="","",[3]Quarter!J36)</f>
        <v/>
      </c>
      <c r="O36" s="10">
        <f>IF([3]Quarter!N36="","",[3]Quarter!N36)</f>
        <v/>
      </c>
      <c r="P36" s="10">
        <f>IF([3]Quarter!R36="","",[3]Quarter!R36)</f>
        <v/>
      </c>
      <c r="Q36" s="10">
        <f>IF([3]Quarter!S36="","",[3]Quarter!S36)</f>
        <v/>
      </c>
      <c r="R36" s="10">
        <f>IF([4]Quarter!F36="","",[4]Quarter!F36)</f>
        <v/>
      </c>
      <c r="S36" s="10">
        <f>IF([4]Quarter!J36="","",[4]Quarter!J36)</f>
        <v/>
      </c>
      <c r="T36" s="10">
        <f>IF([4]Quarter!N36="","",[4]Quarter!N36)</f>
        <v/>
      </c>
      <c r="U36" s="10">
        <f>IF([4]Quarter!R36="","",[4]Quarter!R36)</f>
        <v/>
      </c>
      <c r="V36" s="10">
        <f>IF([4]Quarter!S36="","",[4]Quarter!S36)</f>
        <v/>
      </c>
      <c r="W36" s="10">
        <f>IF([5]Quarter!F36="","",[5]Quarter!F36)</f>
        <v/>
      </c>
      <c r="X36" s="10">
        <f>IF([5]Quarter!J36="","",[5]Quarter!J36)</f>
        <v/>
      </c>
      <c r="Y36" s="10">
        <f>IF([5]Quarter!N36="","",[5]Quarter!N36)</f>
        <v/>
      </c>
      <c r="Z36" s="10">
        <f>IF([5]Quarter!R36="","",[5]Quarter!R36)</f>
        <v/>
      </c>
      <c r="AA36" s="10">
        <f>IF([5]Quarter!S36="","",[5]Quarter!S36)</f>
        <v/>
      </c>
      <c r="AB36" s="10">
        <f>IF([6]Quarter!F36="","",[6]Quarter!F36)</f>
        <v/>
      </c>
      <c r="AC36" s="10">
        <f>IF([6]Quarter!J36="","",[6]Quarter!J36)</f>
        <v/>
      </c>
      <c r="AD36" s="10">
        <f>IF([6]Quarter!N36="","",[6]Quarter!N36)</f>
        <v/>
      </c>
      <c r="AE36" s="10">
        <f>IF([6]Quarter!R36="","",[6]Quarter!R36)</f>
        <v/>
      </c>
      <c r="AF36" s="10">
        <f>IF([6]Quarter!S36="","",[6]Quarter!S36)</f>
        <v/>
      </c>
      <c r="AG36" s="10">
        <f>IF([7]Quarter!F36="","",[7]Quarter!F36)</f>
        <v/>
      </c>
      <c r="AH36" s="10">
        <f>IF([7]Quarter!J36="","",[7]Quarter!J36)</f>
        <v/>
      </c>
      <c r="AI36" s="10">
        <f>IF([7]Quarter!N36="","",[7]Quarter!N36)</f>
        <v/>
      </c>
      <c r="AJ36" s="10">
        <f>IF([7]Quarter!R36="","",[7]Quarter!R36)</f>
        <v/>
      </c>
      <c r="AK36" s="10">
        <f>IF([7]Quarter!S36="","",[7]Quarter!S36)</f>
        <v/>
      </c>
      <c r="AL36" s="11">
        <f>IF(COUNT(AL34:AL35)=0,"",SUM(AL34:AL35))</f>
        <v/>
      </c>
      <c r="AM36" s="11">
        <f>IF(COUNT(AM34:AM35)=0,"",SUM(AM34:AM35))</f>
        <v/>
      </c>
      <c r="AN36" s="11">
        <f>IF(COUNT(AN34:AN35)=0,"",SUM(AN34:AN35))</f>
        <v/>
      </c>
      <c r="AO36" s="11">
        <f>IF(COUNT(AO34:AO35)=0,"",SUM(AO34:AO35))</f>
        <v/>
      </c>
      <c r="AP36" s="11">
        <f>IF(COUNT(AP34:AP35)=0,"",SUM(AP34:AP35))</f>
        <v/>
      </c>
      <c r="AQ36" s="4" t="inlineStr">
        <is>
          <t>Recalculated</t>
        </is>
      </c>
    </row>
    <row r="37" ht="18.75" customHeight="1">
      <c r="A37" s="3" t="n"/>
      <c r="B37" s="12" t="inlineStr">
        <is>
          <t>Authorized Positions</t>
        </is>
      </c>
      <c r="C37" s="10">
        <f>IF([1]Quarter!F37="","",[1]Quarter!F37)</f>
        <v/>
      </c>
      <c r="D37" s="10">
        <f>IF([1]Quarter!J37="","",[1]Quarter!J37)</f>
        <v/>
      </c>
      <c r="E37" s="10">
        <f>IF([1]Quarter!N37="","",[1]Quarter!N37)</f>
        <v/>
      </c>
      <c r="F37" s="10">
        <f>IF([1]Quarter!R37="","",[1]Quarter!R37)</f>
        <v/>
      </c>
      <c r="G37" s="10">
        <f>IF([1]Quarter!S37="","",[1]Quarter!S37)</f>
        <v/>
      </c>
      <c r="H37" s="10">
        <f>IF([2]Quarter!F37="","",[2]Quarter!F37)</f>
        <v/>
      </c>
      <c r="I37" s="10">
        <f>IF([2]Quarter!J37="","",[2]Quarter!J37)</f>
        <v/>
      </c>
      <c r="J37" s="10">
        <f>IF([2]Quarter!N37="","",[2]Quarter!N37)</f>
        <v/>
      </c>
      <c r="K37" s="10">
        <f>IF([2]Quarter!R37="","",[2]Quarter!R37)</f>
        <v/>
      </c>
      <c r="L37" s="10">
        <f>IF([2]Quarter!S37="","",[2]Quarter!S37)</f>
        <v/>
      </c>
      <c r="M37" s="10">
        <f>IF([3]Quarter!F37="","",[3]Quarter!F37)</f>
        <v/>
      </c>
      <c r="N37" s="10">
        <f>IF([3]Quarter!J37="","",[3]Quarter!J37)</f>
        <v/>
      </c>
      <c r="O37" s="10">
        <f>IF([3]Quarter!N37="","",[3]Quarter!N37)</f>
        <v/>
      </c>
      <c r="P37" s="10">
        <f>IF([3]Quarter!R37="","",[3]Quarter!R37)</f>
        <v/>
      </c>
      <c r="Q37" s="10">
        <f>IF([3]Quarter!S37="","",[3]Quarter!S37)</f>
        <v/>
      </c>
      <c r="R37" s="10">
        <f>IF([4]Quarter!F37="","",[4]Quarter!F37)</f>
        <v/>
      </c>
      <c r="S37" s="10">
        <f>IF([4]Quarter!J37="","",[4]Quarter!J37)</f>
        <v/>
      </c>
      <c r="T37" s="10">
        <f>IF([4]Quarter!N37="","",[4]Quarter!N37)</f>
        <v/>
      </c>
      <c r="U37" s="10">
        <f>IF([4]Quarter!R37="","",[4]Quarter!R37)</f>
        <v/>
      </c>
      <c r="V37" s="10">
        <f>IF([4]Quarter!S37="","",[4]Quarter!S37)</f>
        <v/>
      </c>
      <c r="W37" s="10">
        <f>IF([5]Quarter!F37="","",[5]Quarter!F37)</f>
        <v/>
      </c>
      <c r="X37" s="10">
        <f>IF([5]Quarter!J37="","",[5]Quarter!J37)</f>
        <v/>
      </c>
      <c r="Y37" s="10">
        <f>IF([5]Quarter!N37="","",[5]Quarter!N37)</f>
        <v/>
      </c>
      <c r="Z37" s="10">
        <f>IF([5]Quarter!R37="","",[5]Quarter!R37)</f>
        <v/>
      </c>
      <c r="AA37" s="10">
        <f>IF([5]Quarter!S37="","",[5]Quarter!S37)</f>
        <v/>
      </c>
      <c r="AB37" s="10">
        <f>IF([6]Quarter!F37="","",[6]Quarter!F37)</f>
        <v/>
      </c>
      <c r="AC37" s="10">
        <f>IF([6]Quarter!J37="","",[6]Quarter!J37)</f>
        <v/>
      </c>
      <c r="AD37" s="10">
        <f>IF([6]Quarter!N37="","",[6]Quarter!N37)</f>
        <v/>
      </c>
      <c r="AE37" s="10">
        <f>IF([6]Quarter!R37="","",[6]Quarter!R37)</f>
        <v/>
      </c>
      <c r="AF37" s="10">
        <f>IF([6]Quarter!S37="","",[6]Quarter!S37)</f>
        <v/>
      </c>
      <c r="AG37" s="10">
        <f>IF([7]Quarter!F37="","",[7]Quarter!F37)</f>
        <v/>
      </c>
      <c r="AH37" s="10">
        <f>IF([7]Quarter!J37="","",[7]Quarter!J37)</f>
        <v/>
      </c>
      <c r="AI37" s="10">
        <f>IF([7]Quarter!N37="","",[7]Quarter!N37)</f>
        <v/>
      </c>
      <c r="AJ37" s="10">
        <f>IF([7]Quarter!R37="","",[7]Quarter!R37)</f>
        <v/>
      </c>
      <c r="AK37" s="10">
        <f>IF([7]Quarter!S37="","",[7]Quarter!S37)</f>
        <v/>
      </c>
      <c r="AL37" s="11">
        <f>IF(COUNT(AL5,AL36)=0,"",N(AL5)+N(AL36))</f>
        <v/>
      </c>
      <c r="AM37" s="11">
        <f>IF(COUNT(AM5,AM36)=0,"",N(AM5)+N(AM36))</f>
        <v/>
      </c>
      <c r="AN37" s="11">
        <f>IF(COUNT(AN5,AN36)=0,"",N(AN5)+N(AN36))</f>
        <v/>
      </c>
      <c r="AO37" s="11">
        <f>IF(COUNT(AO5,AO36)=0,"",N(AO5)+N(AO36))</f>
        <v/>
      </c>
      <c r="AP37" s="11">
        <f>IF(COUNT(AP5,AP36)=0,"",N(AP5)+N(AP36))</f>
        <v/>
      </c>
      <c r="AQ37" s="4" t="inlineStr">
        <is>
          <t>Recalculated</t>
        </is>
      </c>
    </row>
    <row r="38" ht="18.75" customHeight="1">
      <c r="A38" s="3" t="n"/>
      <c r="B38" s="12" t="inlineStr">
        <is>
          <t>Vacancy Rate (%)</t>
        </is>
      </c>
      <c r="C38" s="18">
        <f>IF([1]Quarter!F38="","",[1]Quarter!F38)</f>
        <v/>
      </c>
      <c r="D38" s="18">
        <f>IF([1]Quarter!J38="","",[1]Quarter!J38)</f>
        <v/>
      </c>
      <c r="E38" s="18">
        <f>IF([1]Quarter!N38="","",[1]Quarter!N38)</f>
        <v/>
      </c>
      <c r="F38" s="18">
        <f>IF([1]Quarter!R38="","",[1]Quarter!R38)</f>
        <v/>
      </c>
      <c r="G38" s="18">
        <f>IF([1]Quarter!S38="","",[1]Quarter!S38)</f>
        <v/>
      </c>
      <c r="H38" s="18">
        <f>IF([2]Quarter!F38="","",[2]Quarter!F38)</f>
        <v/>
      </c>
      <c r="I38" s="18">
        <f>IF([2]Quarter!J38="","",[2]Quarter!J38)</f>
        <v/>
      </c>
      <c r="J38" s="18">
        <f>IF([2]Quarter!N38="","",[2]Quarter!N38)</f>
        <v/>
      </c>
      <c r="K38" s="18">
        <f>IF([2]Quarter!R38="","",[2]Quarter!R38)</f>
        <v/>
      </c>
      <c r="L38" s="18">
        <f>IF([2]Quarter!S38="","",[2]Quarter!S38)</f>
        <v/>
      </c>
      <c r="M38" s="18">
        <f>IF([3]Quarter!F38="","",[3]Quarter!F38)</f>
        <v/>
      </c>
      <c r="N38" s="18">
        <f>IF([3]Quarter!J38="","",[3]Quarter!J38)</f>
        <v/>
      </c>
      <c r="O38" s="18">
        <f>IF([3]Quarter!N38="","",[3]Quarter!N38)</f>
        <v/>
      </c>
      <c r="P38" s="18">
        <f>IF([3]Quarter!R38="","",[3]Quarter!R38)</f>
        <v/>
      </c>
      <c r="Q38" s="18">
        <f>IF([3]Quarter!S38="","",[3]Quarter!S38)</f>
        <v/>
      </c>
      <c r="R38" s="18">
        <f>IF([4]Quarter!F38="","",[4]Quarter!F38)</f>
        <v/>
      </c>
      <c r="S38" s="18">
        <f>IF([4]Quarter!J38="","",[4]Quarter!J38)</f>
        <v/>
      </c>
      <c r="T38" s="18">
        <f>IF([4]Quarter!N38="","",[4]Quarter!N38)</f>
        <v/>
      </c>
      <c r="U38" s="18">
        <f>IF([4]Quarter!R38="","",[4]Quarter!R38)</f>
        <v/>
      </c>
      <c r="V38" s="18">
        <f>IF([4]Quarter!S38="","",[4]Quarter!S38)</f>
        <v/>
      </c>
      <c r="W38" s="18">
        <f>IF([5]Quarter!F38="","",[5]Quarter!F38)</f>
        <v/>
      </c>
      <c r="X38" s="18">
        <f>IF([5]Quarter!J38="","",[5]Quarter!J38)</f>
        <v/>
      </c>
      <c r="Y38" s="18">
        <f>IF([5]Quarter!N38="","",[5]Quarter!N38)</f>
        <v/>
      </c>
      <c r="Z38" s="18">
        <f>IF([5]Quarter!R38="","",[5]Quarter!R38)</f>
        <v/>
      </c>
      <c r="AA38" s="18">
        <f>IF([5]Quarter!S38="","",[5]Quarter!S38)</f>
        <v/>
      </c>
      <c r="AB38" s="18">
        <f>IF([6]Quarter!F38="","",[6]Quarter!F38)</f>
        <v/>
      </c>
      <c r="AC38" s="18">
        <f>IF([6]Quarter!J38="","",[6]Quarter!J38)</f>
        <v/>
      </c>
      <c r="AD38" s="18">
        <f>IF([6]Quarter!N38="","",[6]Quarter!N38)</f>
        <v/>
      </c>
      <c r="AE38" s="18">
        <f>IF([6]Quarter!R38="","",[6]Quarter!R38)</f>
        <v/>
      </c>
      <c r="AF38" s="18">
        <f>IF([6]Quarter!S38="","",[6]Quarter!S38)</f>
        <v/>
      </c>
      <c r="AG38" s="18">
        <f>IF([7]Quarter!F38="","",[7]Quarter!F38)</f>
        <v/>
      </c>
      <c r="AH38" s="18">
        <f>IF([7]Quarter!J38="","",[7]Quarter!J38)</f>
        <v/>
      </c>
      <c r="AI38" s="18">
        <f>IF([7]Quarter!N38="","",[7]Quarter!N38)</f>
        <v/>
      </c>
      <c r="AJ38" s="18">
        <f>IF([7]Quarter!R38="","",[7]Quarter!R38)</f>
        <v/>
      </c>
      <c r="AK38" s="18">
        <f>IF([7]Quarter!S38="","",[7]Quarter!S38)</f>
        <v/>
      </c>
      <c r="AL38" s="19">
        <f>IFERROR(AL36/AL37,"")</f>
        <v/>
      </c>
      <c r="AM38" s="19">
        <f>IFERROR(AM36/AM37,"")</f>
        <v/>
      </c>
      <c r="AN38" s="19">
        <f>IFERROR(AN36/AN37,"")</f>
        <v/>
      </c>
      <c r="AO38" s="19">
        <f>IFERROR(AO36/AO37,"")</f>
        <v/>
      </c>
      <c r="AP38" s="19">
        <f>IFERROR(AP36/AP37,"")</f>
        <v/>
      </c>
      <c r="AQ38" s="4" t="inlineStr">
        <is>
          <t>Recalculated</t>
        </is>
      </c>
    </row>
    <row r="39" ht="18.75" customHeight="1">
      <c r="A39" s="3" t="n"/>
      <c r="B39" s="9" t="inlineStr">
        <is>
          <t>Permanent TimeToHire (Days) YTD</t>
        </is>
      </c>
      <c r="C39" s="13">
        <f>IF([1]Quarter!F39="","",[1]Quarter!F39)</f>
        <v/>
      </c>
      <c r="D39" s="13">
        <f>IF([1]Quarter!J39="","",[1]Quarter!J39)</f>
        <v/>
      </c>
      <c r="E39" s="13">
        <f>IF([1]Quarter!N39="","",[1]Quarter!N39)</f>
        <v/>
      </c>
      <c r="F39" s="13">
        <f>IF([1]Quarter!R39="","",[1]Quarter!R39)</f>
        <v/>
      </c>
      <c r="G39" s="13">
        <f>IF([1]Quarter!S39="","",[1]Quarter!S39)</f>
        <v/>
      </c>
      <c r="H39" s="13">
        <f>IF([2]Quarter!F39="","",[2]Quarter!F39)</f>
        <v/>
      </c>
      <c r="I39" s="13">
        <f>IF([2]Quarter!J39="","",[2]Quarter!J39)</f>
        <v/>
      </c>
      <c r="J39" s="13">
        <f>IF([2]Quarter!N39="","",[2]Quarter!N39)</f>
        <v/>
      </c>
      <c r="K39" s="13">
        <f>IF([2]Quarter!R39="","",[2]Quarter!R39)</f>
        <v/>
      </c>
      <c r="L39" s="13">
        <f>IF([2]Quarter!S39="","",[2]Quarter!S39)</f>
        <v/>
      </c>
      <c r="M39" s="13">
        <f>IF([3]Quarter!F39="","",[3]Quarter!F39)</f>
        <v/>
      </c>
      <c r="N39" s="13">
        <f>IF([3]Quarter!J39="","",[3]Quarter!J39)</f>
        <v/>
      </c>
      <c r="O39" s="13">
        <f>IF([3]Quarter!N39="","",[3]Quarter!N39)</f>
        <v/>
      </c>
      <c r="P39" s="13">
        <f>IF([3]Quarter!R39="","",[3]Quarter!R39)</f>
        <v/>
      </c>
      <c r="Q39" s="13">
        <f>IF([3]Quarter!S39="","",[3]Quarter!S39)</f>
        <v/>
      </c>
      <c r="R39" s="13">
        <f>IF([4]Quarter!F39="","",[4]Quarter!F39)</f>
        <v/>
      </c>
      <c r="S39" s="13">
        <f>IF([4]Quarter!J39="","",[4]Quarter!J39)</f>
        <v/>
      </c>
      <c r="T39" s="13">
        <f>IF([4]Quarter!N39="","",[4]Quarter!N39)</f>
        <v/>
      </c>
      <c r="U39" s="13">
        <f>IF([4]Quarter!R39="","",[4]Quarter!R39)</f>
        <v/>
      </c>
      <c r="V39" s="13">
        <f>IF([4]Quarter!S39="","",[4]Quarter!S39)</f>
        <v/>
      </c>
      <c r="W39" s="13">
        <f>IF([5]Quarter!F39="","",[5]Quarter!F39)</f>
        <v/>
      </c>
      <c r="X39" s="13">
        <f>IF([5]Quarter!J39="","",[5]Quarter!J39)</f>
        <v/>
      </c>
      <c r="Y39" s="13">
        <f>IF([5]Quarter!N39="","",[5]Quarter!N39)</f>
        <v/>
      </c>
      <c r="Z39" s="13">
        <f>IF([5]Quarter!R39="","",[5]Quarter!R39)</f>
        <v/>
      </c>
      <c r="AA39" s="13">
        <f>IF([5]Quarter!S39="","",[5]Quarter!S39)</f>
        <v/>
      </c>
      <c r="AB39" s="13">
        <f>IF([6]Quarter!F39="","",[6]Quarter!F39)</f>
        <v/>
      </c>
      <c r="AC39" s="13">
        <f>IF([6]Quarter!J39="","",[6]Quarter!J39)</f>
        <v/>
      </c>
      <c r="AD39" s="13">
        <f>IF([6]Quarter!N39="","",[6]Quarter!N39)</f>
        <v/>
      </c>
      <c r="AE39" s="13">
        <f>IF([6]Quarter!R39="","",[6]Quarter!R39)</f>
        <v/>
      </c>
      <c r="AF39" s="13">
        <f>IF([6]Quarter!S39="","",[6]Quarter!S39)</f>
        <v/>
      </c>
      <c r="AG39" s="13">
        <f>IF([7]Quarter!F39="","",[7]Quarter!F39)</f>
        <v/>
      </c>
      <c r="AH39" s="13">
        <f>IF([7]Quarter!J39="","",[7]Quarter!J39)</f>
        <v/>
      </c>
      <c r="AI39" s="13">
        <f>IF([7]Quarter!N39="","",[7]Quarter!N39)</f>
        <v/>
      </c>
      <c r="AJ39" s="13">
        <f>IF([7]Quarter!R39="","",[7]Quarter!R39)</f>
        <v/>
      </c>
      <c r="AK39" s="13">
        <f>IF([7]Quarter!S39="","",[7]Quarter!S39)</f>
        <v/>
      </c>
      <c r="AL39" s="14">
        <f>IFERROR(AVERAGE(C39,H39,M39,R39,W39,AB39,AG39),"")</f>
        <v/>
      </c>
      <c r="AM39" s="14">
        <f>IFERROR(AVERAGE(D39,I39,N39,S39,X39,AC39,AH39),"")</f>
        <v/>
      </c>
      <c r="AN39" s="14">
        <f>IFERROR(AVERAGE(E39,J39,O39,T39,Y39,AD39,AI39),"")</f>
        <v/>
      </c>
      <c r="AO39" s="14">
        <f>IFERROR(AVERAGE(F39,K39,P39,U39,Z39,AE39,AJ39),"")</f>
        <v/>
      </c>
      <c r="AP39" s="14">
        <f>IFERROR(AVERAGE(G39,L39,Q39,V39,AA39,AF39,AK39),"")</f>
        <v/>
      </c>
      <c r="AQ39" s="4" t="inlineStr">
        <is>
          <t>Average of divisions</t>
        </is>
      </c>
    </row>
    <row r="40" ht="18.75" customHeight="1">
      <c r="A40" s="3" t="n"/>
      <c r="B40" s="9" t="inlineStr">
        <is>
          <t>Temporary TimeToHire (Days) YTD</t>
        </is>
      </c>
      <c r="C40" s="13">
        <f>IF([1]Quarter!F40="","",[1]Quarter!F40)</f>
        <v/>
      </c>
      <c r="D40" s="13">
        <f>IF([1]Quarter!J40="","",[1]Quarter!J40)</f>
        <v/>
      </c>
      <c r="E40" s="13">
        <f>IF([1]Quarter!N40="","",[1]Quarter!N40)</f>
        <v/>
      </c>
      <c r="F40" s="13">
        <f>IF([1]Quarter!R40="","",[1]Quarter!R40)</f>
        <v/>
      </c>
      <c r="G40" s="13">
        <f>IF([1]Quarter!S40="","",[1]Quarter!S40)</f>
        <v/>
      </c>
      <c r="H40" s="13">
        <f>IF([2]Quarter!F40="","",[2]Quarter!F40)</f>
        <v/>
      </c>
      <c r="I40" s="13">
        <f>IF([2]Quarter!J40="","",[2]Quarter!J40)</f>
        <v/>
      </c>
      <c r="J40" s="13">
        <f>IF([2]Quarter!N40="","",[2]Quarter!N40)</f>
        <v/>
      </c>
      <c r="K40" s="13">
        <f>IF([2]Quarter!R40="","",[2]Quarter!R40)</f>
        <v/>
      </c>
      <c r="L40" s="13">
        <f>IF([2]Quarter!S40="","",[2]Quarter!S40)</f>
        <v/>
      </c>
      <c r="M40" s="13">
        <f>IF([3]Quarter!F40="","",[3]Quarter!F40)</f>
        <v/>
      </c>
      <c r="N40" s="13">
        <f>IF([3]Quarter!J40="","",[3]Quarter!J40)</f>
        <v/>
      </c>
      <c r="O40" s="13">
        <f>IF([3]Quarter!N40="","",[3]Quarter!N40)</f>
        <v/>
      </c>
      <c r="P40" s="13">
        <f>IF([3]Quarter!R40="","",[3]Quarter!R40)</f>
        <v/>
      </c>
      <c r="Q40" s="13">
        <f>IF([3]Quarter!S40="","",[3]Quarter!S40)</f>
        <v/>
      </c>
      <c r="R40" s="13">
        <f>IF([4]Quarter!F40="","",[4]Quarter!F40)</f>
        <v/>
      </c>
      <c r="S40" s="13">
        <f>IF([4]Quarter!J40="","",[4]Quarter!J40)</f>
        <v/>
      </c>
      <c r="T40" s="13">
        <f>IF([4]Quarter!N40="","",[4]Quarter!N40)</f>
        <v/>
      </c>
      <c r="U40" s="13">
        <f>IF([4]Quarter!R40="","",[4]Quarter!R40)</f>
        <v/>
      </c>
      <c r="V40" s="13">
        <f>IF([4]Quarter!S40="","",[4]Quarter!S40)</f>
        <v/>
      </c>
      <c r="W40" s="13">
        <f>IF([5]Quarter!F40="","",[5]Quarter!F40)</f>
        <v/>
      </c>
      <c r="X40" s="13">
        <f>IF([5]Quarter!J40="","",[5]Quarter!J40)</f>
        <v/>
      </c>
      <c r="Y40" s="13">
        <f>IF([5]Quarter!N40="","",[5]Quarter!N40)</f>
        <v/>
      </c>
      <c r="Z40" s="13">
        <f>IF([5]Quarter!R40="","",[5]Quarter!R40)</f>
        <v/>
      </c>
      <c r="AA40" s="13">
        <f>IF([5]Quarter!S40="","",[5]Quarter!S40)</f>
        <v/>
      </c>
      <c r="AB40" s="13">
        <f>IF([6]Quarter!F40="","",[6]Quarter!F40)</f>
        <v/>
      </c>
      <c r="AC40" s="13">
        <f>IF([6]Quarter!J40="","",[6]Quarter!J40)</f>
        <v/>
      </c>
      <c r="AD40" s="13">
        <f>IF([6]Quarter!N40="","",[6]Quarter!N40)</f>
        <v/>
      </c>
      <c r="AE40" s="13">
        <f>IF([6]Quarter!R40="","",[6]Quarter!R40)</f>
        <v/>
      </c>
      <c r="AF40" s="13">
        <f>IF([6]Quarter!S40="","",[6]Quarter!S40)</f>
        <v/>
      </c>
      <c r="AG40" s="13">
        <f>IF([7]Quarter!F40="","",[7]Quarter!F40)</f>
        <v/>
      </c>
      <c r="AH40" s="13">
        <f>IF([7]Quarter!J40="","",[7]Quarter!J40)</f>
        <v/>
      </c>
      <c r="AI40" s="13">
        <f>IF([7]Quarter!N40="","",[7]Quarter!N40)</f>
        <v/>
      </c>
      <c r="AJ40" s="13">
        <f>IF([7]Quarter!R40="","",[7]Quarter!R40)</f>
        <v/>
      </c>
      <c r="AK40" s="13">
        <f>IF([7]Quarter!S40="","",[7]Quarter!S40)</f>
        <v/>
      </c>
      <c r="AL40" s="14">
        <f>IFERROR(AVERAGE(C40,H40,M40,R40,W40,AB40,AG40),"")</f>
        <v/>
      </c>
      <c r="AM40" s="14">
        <f>IFERROR(AVERAGE(D40,I40,N40,S40,X40,AC40,AH40),"")</f>
        <v/>
      </c>
      <c r="AN40" s="14">
        <f>IFERROR(AVERAGE(E40,J40,O40,T40,Y40,AD40,AI40),"")</f>
        <v/>
      </c>
      <c r="AO40" s="14">
        <f>IFERROR(AVERAGE(F40,K40,P40,U40,Z40,AE40,AJ40),"")</f>
        <v/>
      </c>
      <c r="AP40" s="14">
        <f>IFERROR(AVERAGE(G40,L40,Q40,V40,AA40,AF40,AK40),"")</f>
        <v/>
      </c>
      <c r="AQ40" s="4" t="inlineStr">
        <is>
          <t>Average of divisions</t>
        </is>
      </c>
    </row>
    <row r="41" ht="18.75" customHeight="1">
      <c r="A41" s="3" t="n"/>
      <c r="B41" s="12" t="inlineStr">
        <is>
          <t>Check-ins Rate Completed (%)</t>
        </is>
      </c>
      <c r="C41" s="22">
        <f>IF([1]Quarter!F41="","",[1]Quarter!F41)</f>
        <v/>
      </c>
      <c r="D41" s="22">
        <f>IF([1]Quarter!J41="","",[1]Quarter!J41)</f>
        <v/>
      </c>
      <c r="E41" s="22">
        <f>IF([1]Quarter!N41="","",[1]Quarter!N41)</f>
        <v/>
      </c>
      <c r="F41" s="22">
        <f>IF([1]Quarter!R41="","",[1]Quarter!R41)</f>
        <v/>
      </c>
      <c r="G41" s="22">
        <f>IF([1]Quarter!S41="","",[1]Quarter!S41)</f>
        <v/>
      </c>
      <c r="H41" s="22">
        <f>IF([2]Quarter!F41="","",[2]Quarter!F41)</f>
        <v/>
      </c>
      <c r="I41" s="22">
        <f>IF([2]Quarter!J41="","",[2]Quarter!J41)</f>
        <v/>
      </c>
      <c r="J41" s="22">
        <f>IF([2]Quarter!N41="","",[2]Quarter!N41)</f>
        <v/>
      </c>
      <c r="K41" s="22">
        <f>IF([2]Quarter!R41="","",[2]Quarter!R41)</f>
        <v/>
      </c>
      <c r="L41" s="22">
        <f>IF([2]Quarter!S41="","",[2]Quarter!S41)</f>
        <v/>
      </c>
      <c r="M41" s="22">
        <f>IF([3]Quarter!F41="","",[3]Quarter!F41)</f>
        <v/>
      </c>
      <c r="N41" s="22">
        <f>IF([3]Quarter!J41="","",[3]Quarter!J41)</f>
        <v/>
      </c>
      <c r="O41" s="22">
        <f>IF([3]Quarter!N41="","",[3]Quarter!N41)</f>
        <v/>
      </c>
      <c r="P41" s="22">
        <f>IF([3]Quarter!R41="","",[3]Quarter!R41)</f>
        <v/>
      </c>
      <c r="Q41" s="22">
        <f>IF([3]Quarter!S41="","",[3]Quarter!S41)</f>
        <v/>
      </c>
      <c r="R41" s="22">
        <f>IF([4]Quarter!F41="","",[4]Quarter!F41)</f>
        <v/>
      </c>
      <c r="S41" s="22">
        <f>IF([4]Quarter!J41="","",[4]Quarter!J41)</f>
        <v/>
      </c>
      <c r="T41" s="22">
        <f>IF([4]Quarter!N41="","",[4]Quarter!N41)</f>
        <v/>
      </c>
      <c r="U41" s="22">
        <f>IF([4]Quarter!R41="","",[4]Quarter!R41)</f>
        <v/>
      </c>
      <c r="V41" s="22">
        <f>IF([4]Quarter!S41="","",[4]Quarter!S41)</f>
        <v/>
      </c>
      <c r="W41" s="22">
        <f>IF([5]Quarter!F41="","",[5]Quarter!F41)</f>
        <v/>
      </c>
      <c r="X41" s="22">
        <f>IF([5]Quarter!J41="","",[5]Quarter!J41)</f>
        <v/>
      </c>
      <c r="Y41" s="22">
        <f>IF([5]Quarter!N41="","",[5]Quarter!N41)</f>
        <v/>
      </c>
      <c r="Z41" s="22">
        <f>IF([5]Quarter!R41="","",[5]Quarter!R41)</f>
        <v/>
      </c>
      <c r="AA41" s="22">
        <f>IF([5]Quarter!S41="","",[5]Quarter!S41)</f>
        <v/>
      </c>
      <c r="AB41" s="22">
        <f>IF([6]Quarter!F41="","",[6]Quarter!F41)</f>
        <v/>
      </c>
      <c r="AC41" s="22">
        <f>IF([6]Quarter!J41="","",[6]Quarter!J41)</f>
        <v/>
      </c>
      <c r="AD41" s="22">
        <f>IF([6]Quarter!N41="","",[6]Quarter!N41)</f>
        <v/>
      </c>
      <c r="AE41" s="22">
        <f>IF([6]Quarter!R41="","",[6]Quarter!R41)</f>
        <v/>
      </c>
      <c r="AF41" s="22">
        <f>IF([6]Quarter!S41="","",[6]Quarter!S41)</f>
        <v/>
      </c>
      <c r="AG41" s="22">
        <f>IF([7]Quarter!F41="","",[7]Quarter!F41)</f>
        <v/>
      </c>
      <c r="AH41" s="22">
        <f>IF([7]Quarter!J41="","",[7]Quarter!J41)</f>
        <v/>
      </c>
      <c r="AI41" s="22">
        <f>IF([7]Quarter!N41="","",[7]Quarter!N41)</f>
        <v/>
      </c>
      <c r="AJ41" s="22">
        <f>IF([7]Quarter!R41="","",[7]Quarter!R41)</f>
        <v/>
      </c>
      <c r="AK41" s="22">
        <f>IF([7]Quarter!S41="","",[7]Quarter!S41)</f>
        <v/>
      </c>
      <c r="AL41" s="23">
        <f>IFERROR(AVERAGE(C41,H41,M41,R41,W41,AB41,AG41),"")</f>
        <v/>
      </c>
      <c r="AM41" s="23">
        <f>IFERROR(AVERAGE(D41,I41,N41,S41,X41,AC41,AH41),"")</f>
        <v/>
      </c>
      <c r="AN41" s="23">
        <f>IFERROR(AVERAGE(E41,J41,O41,T41,Y41,AD41,AI41),"")</f>
        <v/>
      </c>
      <c r="AO41" s="23">
        <f>IFERROR(AVERAGE(F41,K41,P41,U41,Z41,AE41,AJ41),"")</f>
        <v/>
      </c>
      <c r="AP41" s="23">
        <f>IFERROR(AVERAGE(G41,L41,Q41,V41,AA41,AF41,AK41),"")</f>
        <v/>
      </c>
      <c r="AQ41" s="4" t="inlineStr">
        <is>
          <t>Average of divisions</t>
        </is>
      </c>
    </row>
    <row r="42" ht="18.75" customHeight="1">
      <c r="A42" s="3" t="n"/>
      <c r="B42" s="9" t="inlineStr">
        <is>
          <t>EE Objectives Completed (#)</t>
        </is>
      </c>
      <c r="C42" s="10">
        <f>IF([1]Quarter!F42="","",[1]Quarter!F42)</f>
        <v/>
      </c>
      <c r="D42" s="10">
        <f>IF([1]Quarter!J42="","",[1]Quarter!J42)</f>
        <v/>
      </c>
      <c r="E42" s="10">
        <f>IF([1]Quarter!N42="","",[1]Quarter!N42)</f>
        <v/>
      </c>
      <c r="F42" s="10">
        <f>IF([1]Quarter!R42="","",[1]Quarter!R42)</f>
        <v/>
      </c>
      <c r="G42" s="10">
        <f>IF([1]Quarter!S42="","",[1]Quarter!S42)</f>
        <v/>
      </c>
      <c r="H42" s="10">
        <f>IF([2]Quarter!F42="","",[2]Quarter!F42)</f>
        <v/>
      </c>
      <c r="I42" s="10">
        <f>IF([2]Quarter!J42="","",[2]Quarter!J42)</f>
        <v/>
      </c>
      <c r="J42" s="10">
        <f>IF([2]Quarter!N42="","",[2]Quarter!N42)</f>
        <v/>
      </c>
      <c r="K42" s="10">
        <f>IF([2]Quarter!R42="","",[2]Quarter!R42)</f>
        <v/>
      </c>
      <c r="L42" s="10">
        <f>IF([2]Quarter!S42="","",[2]Quarter!S42)</f>
        <v/>
      </c>
      <c r="M42" s="10">
        <f>IF([3]Quarter!F42="","",[3]Quarter!F42)</f>
        <v/>
      </c>
      <c r="N42" s="10">
        <f>IF([3]Quarter!J42="","",[3]Quarter!J42)</f>
        <v/>
      </c>
      <c r="O42" s="10">
        <f>IF([3]Quarter!N42="","",[3]Quarter!N42)</f>
        <v/>
      </c>
      <c r="P42" s="10">
        <f>IF([3]Quarter!R42="","",[3]Quarter!R42)</f>
        <v/>
      </c>
      <c r="Q42" s="10">
        <f>IF([3]Quarter!S42="","",[3]Quarter!S42)</f>
        <v/>
      </c>
      <c r="R42" s="10">
        <f>IF([4]Quarter!F42="","",[4]Quarter!F42)</f>
        <v/>
      </c>
      <c r="S42" s="10">
        <f>IF([4]Quarter!J42="","",[4]Quarter!J42)</f>
        <v/>
      </c>
      <c r="T42" s="10">
        <f>IF([4]Quarter!N42="","",[4]Quarter!N42)</f>
        <v/>
      </c>
      <c r="U42" s="10">
        <f>IF([4]Quarter!R42="","",[4]Quarter!R42)</f>
        <v/>
      </c>
      <c r="V42" s="10">
        <f>IF([4]Quarter!S42="","",[4]Quarter!S42)</f>
        <v/>
      </c>
      <c r="W42" s="10">
        <f>IF([5]Quarter!F42="","",[5]Quarter!F42)</f>
        <v/>
      </c>
      <c r="X42" s="10">
        <f>IF([5]Quarter!J42="","",[5]Quarter!J42)</f>
        <v/>
      </c>
      <c r="Y42" s="10">
        <f>IF([5]Quarter!N42="","",[5]Quarter!N42)</f>
        <v/>
      </c>
      <c r="Z42" s="10">
        <f>IF([5]Quarter!R42="","",[5]Quarter!R42)</f>
        <v/>
      </c>
      <c r="AA42" s="10">
        <f>IF([5]Quarter!S42="","",[5]Quarter!S42)</f>
        <v/>
      </c>
      <c r="AB42" s="10">
        <f>IF([6]Quarter!F42="","",[6]Quarter!F42)</f>
        <v/>
      </c>
      <c r="AC42" s="10">
        <f>IF([6]Quarter!J42="","",[6]Quarter!J42)</f>
        <v/>
      </c>
      <c r="AD42" s="10">
        <f>IF([6]Quarter!N42="","",[6]Quarter!N42)</f>
        <v/>
      </c>
      <c r="AE42" s="10">
        <f>IF([6]Quarter!R42="","",[6]Quarter!R42)</f>
        <v/>
      </c>
      <c r="AF42" s="10">
        <f>IF([6]Quarter!S42="","",[6]Quarter!S42)</f>
        <v/>
      </c>
      <c r="AG42" s="10">
        <f>IF([7]Quarter!F42="","",[7]Quarter!F42)</f>
        <v/>
      </c>
      <c r="AH42" s="10">
        <f>IF([7]Quarter!J42="","",[7]Quarter!J42)</f>
        <v/>
      </c>
      <c r="AI42" s="10">
        <f>IF([7]Quarter!N42="","",[7]Quarter!N42)</f>
        <v/>
      </c>
      <c r="AJ42" s="10">
        <f>IF([7]Quarter!R42="","",[7]Quarter!R42)</f>
        <v/>
      </c>
      <c r="AK42" s="10">
        <f>IF([7]Quarter!S42="","",[7]Quarter!S42)</f>
        <v/>
      </c>
      <c r="AL42" s="11">
        <f>IF(COUNT(C42,H42,M42,R42,W42,AB42,AG42)=0,"",SUM(C42,H42,M42,R42,W42,AB42,AG42))</f>
        <v/>
      </c>
      <c r="AM42" s="11">
        <f>IF(COUNT(D42,I42,N42,S42,X42,AC42,AH42)=0,"",SUM(D42,I42,N42,S42,X42,AC42,AH42))</f>
        <v/>
      </c>
      <c r="AN42" s="11">
        <f>IF(COUNT(E42,J42,O42,T42,Y42,AD42,AI42)=0,"",SUM(E42,J42,O42,T42,Y42,AD42,AI42))</f>
        <v/>
      </c>
      <c r="AO42" s="11">
        <f>IF(COUNT(F42,K42,P42,U42,Z42,AE42,AJ42)=0,"",SUM(F42,K42,P42,U42,Z42,AE42,AJ42))</f>
        <v/>
      </c>
      <c r="AP42" s="11">
        <f>IF(COUNT(G42,L42,Q42,V42,AA42,AF42,AK42)=0,"",SUM(G42,L42,Q42,V42,AA42,AF42,AK42))</f>
        <v/>
      </c>
      <c r="AQ42" s="4" t="inlineStr">
        <is>
          <t>Sum of divisions</t>
        </is>
      </c>
    </row>
    <row r="43" ht="18.75" customHeight="1">
      <c r="A43" s="3" t="n"/>
      <c r="B43" s="9" t="inlineStr">
        <is>
          <t>Non-certified Absent (Days Lost)</t>
        </is>
      </c>
      <c r="C43" s="13">
        <f>IF([1]Quarter!F43="","",[1]Quarter!F43)</f>
        <v/>
      </c>
      <c r="D43" s="13">
        <f>IF([1]Quarter!J43="","",[1]Quarter!J43)</f>
        <v/>
      </c>
      <c r="E43" s="13">
        <f>IF([1]Quarter!N43="","",[1]Quarter!N43)</f>
        <v/>
      </c>
      <c r="F43" s="13">
        <f>IF([1]Quarter!R43="","",[1]Quarter!R43)</f>
        <v/>
      </c>
      <c r="G43" s="13">
        <f>IF([1]Quarter!S43="","",[1]Quarter!S43)</f>
        <v/>
      </c>
      <c r="H43" s="13">
        <f>IF([2]Quarter!F43="","",[2]Quarter!F43)</f>
        <v/>
      </c>
      <c r="I43" s="13">
        <f>IF([2]Quarter!J43="","",[2]Quarter!J43)</f>
        <v/>
      </c>
      <c r="J43" s="13">
        <f>IF([2]Quarter!N43="","",[2]Quarter!N43)</f>
        <v/>
      </c>
      <c r="K43" s="13">
        <f>IF([2]Quarter!R43="","",[2]Quarter!R43)</f>
        <v/>
      </c>
      <c r="L43" s="13">
        <f>IF([2]Quarter!S43="","",[2]Quarter!S43)</f>
        <v/>
      </c>
      <c r="M43" s="13">
        <f>IF([3]Quarter!F43="","",[3]Quarter!F43)</f>
        <v/>
      </c>
      <c r="N43" s="13">
        <f>IF([3]Quarter!J43="","",[3]Quarter!J43)</f>
        <v/>
      </c>
      <c r="O43" s="13">
        <f>IF([3]Quarter!N43="","",[3]Quarter!N43)</f>
        <v/>
      </c>
      <c r="P43" s="13">
        <f>IF([3]Quarter!R43="","",[3]Quarter!R43)</f>
        <v/>
      </c>
      <c r="Q43" s="13">
        <f>IF([3]Quarter!S43="","",[3]Quarter!S43)</f>
        <v/>
      </c>
      <c r="R43" s="13">
        <f>IF([4]Quarter!F43="","",[4]Quarter!F43)</f>
        <v/>
      </c>
      <c r="S43" s="13">
        <f>IF([4]Quarter!J43="","",[4]Quarter!J43)</f>
        <v/>
      </c>
      <c r="T43" s="13">
        <f>IF([4]Quarter!N43="","",[4]Quarter!N43)</f>
        <v/>
      </c>
      <c r="U43" s="13">
        <f>IF([4]Quarter!R43="","",[4]Quarter!R43)</f>
        <v/>
      </c>
      <c r="V43" s="13">
        <f>IF([4]Quarter!S43="","",[4]Quarter!S43)</f>
        <v/>
      </c>
      <c r="W43" s="13">
        <f>IF([5]Quarter!F43="","",[5]Quarter!F43)</f>
        <v/>
      </c>
      <c r="X43" s="13">
        <f>IF([5]Quarter!J43="","",[5]Quarter!J43)</f>
        <v/>
      </c>
      <c r="Y43" s="13">
        <f>IF([5]Quarter!N43="","",[5]Quarter!N43)</f>
        <v/>
      </c>
      <c r="Z43" s="13">
        <f>IF([5]Quarter!R43="","",[5]Quarter!R43)</f>
        <v/>
      </c>
      <c r="AA43" s="13">
        <f>IF([5]Quarter!S43="","",[5]Quarter!S43)</f>
        <v/>
      </c>
      <c r="AB43" s="13">
        <f>IF([6]Quarter!F43="","",[6]Quarter!F43)</f>
        <v/>
      </c>
      <c r="AC43" s="13">
        <f>IF([6]Quarter!J43="","",[6]Quarter!J43)</f>
        <v/>
      </c>
      <c r="AD43" s="13">
        <f>IF([6]Quarter!N43="","",[6]Quarter!N43)</f>
        <v/>
      </c>
      <c r="AE43" s="13">
        <f>IF([6]Quarter!R43="","",[6]Quarter!R43)</f>
        <v/>
      </c>
      <c r="AF43" s="13">
        <f>IF([6]Quarter!S43="","",[6]Quarter!S43)</f>
        <v/>
      </c>
      <c r="AG43" s="13">
        <f>IF([7]Quarter!F43="","",[7]Quarter!F43)</f>
        <v/>
      </c>
      <c r="AH43" s="13">
        <f>IF([7]Quarter!J43="","",[7]Quarter!J43)</f>
        <v/>
      </c>
      <c r="AI43" s="13">
        <f>IF([7]Quarter!N43="","",[7]Quarter!N43)</f>
        <v/>
      </c>
      <c r="AJ43" s="13">
        <f>IF([7]Quarter!R43="","",[7]Quarter!R43)</f>
        <v/>
      </c>
      <c r="AK43" s="13">
        <f>IF([7]Quarter!S43="","",[7]Quarter!S43)</f>
        <v/>
      </c>
      <c r="AL43" s="14">
        <f>IF(COUNT(C43,H43,M43,R43,W43,AB43,AG43)=0,"",SUM(C43,H43,M43,R43,W43,AB43,AG43))</f>
        <v/>
      </c>
      <c r="AM43" s="14">
        <f>IF(COUNT(D43,I43,N43,S43,X43,AC43,AH43)=0,"",SUM(D43,I43,N43,S43,X43,AC43,AH43))</f>
        <v/>
      </c>
      <c r="AN43" s="14">
        <f>IF(COUNT(E43,J43,O43,T43,Y43,AD43,AI43)=0,"",SUM(E43,J43,O43,T43,Y43,AD43,AI43))</f>
        <v/>
      </c>
      <c r="AO43" s="14">
        <f>IF(COUNT(F43,K43,P43,U43,Z43,AE43,AJ43)=0,"",SUM(F43,K43,P43,U43,Z43,AE43,AJ43))</f>
        <v/>
      </c>
      <c r="AP43" s="14">
        <f>IF(COUNT(G43,L43,Q43,V43,AA43,AF43,AK43)=0,"",SUM(G43,L43,Q43,V43,AA43,AF43,AK43))</f>
        <v/>
      </c>
      <c r="AQ43" s="4" t="inlineStr">
        <is>
          <t>Sum of divisions</t>
        </is>
      </c>
    </row>
    <row r="44" ht="18.75" customHeight="1">
      <c r="A44" s="3" t="n"/>
      <c r="B44" s="9" t="inlineStr">
        <is>
          <t>Certified sick leave (Days Lost)</t>
        </is>
      </c>
      <c r="C44" s="13">
        <f>IF([1]Quarter!F44="","",[1]Quarter!F44)</f>
        <v/>
      </c>
      <c r="D44" s="13">
        <f>IF([1]Quarter!J44="","",[1]Quarter!J44)</f>
        <v/>
      </c>
      <c r="E44" s="13">
        <f>IF([1]Quarter!N44="","",[1]Quarter!N44)</f>
        <v/>
      </c>
      <c r="F44" s="13">
        <f>IF([1]Quarter!R44="","",[1]Quarter!R44)</f>
        <v/>
      </c>
      <c r="G44" s="13">
        <f>IF([1]Quarter!S44="","",[1]Quarter!S44)</f>
        <v/>
      </c>
      <c r="H44" s="13">
        <f>IF([2]Quarter!F44="","",[2]Quarter!F44)</f>
        <v/>
      </c>
      <c r="I44" s="13">
        <f>IF([2]Quarter!J44="","",[2]Quarter!J44)</f>
        <v/>
      </c>
      <c r="J44" s="13">
        <f>IF([2]Quarter!N44="","",[2]Quarter!N44)</f>
        <v/>
      </c>
      <c r="K44" s="13">
        <f>IF([2]Quarter!R44="","",[2]Quarter!R44)</f>
        <v/>
      </c>
      <c r="L44" s="13">
        <f>IF([2]Quarter!S44="","",[2]Quarter!S44)</f>
        <v/>
      </c>
      <c r="M44" s="13">
        <f>IF([3]Quarter!F44="","",[3]Quarter!F44)</f>
        <v/>
      </c>
      <c r="N44" s="13">
        <f>IF([3]Quarter!J44="","",[3]Quarter!J44)</f>
        <v/>
      </c>
      <c r="O44" s="13">
        <f>IF([3]Quarter!N44="","",[3]Quarter!N44)</f>
        <v/>
      </c>
      <c r="P44" s="13">
        <f>IF([3]Quarter!R44="","",[3]Quarter!R44)</f>
        <v/>
      </c>
      <c r="Q44" s="13">
        <f>IF([3]Quarter!S44="","",[3]Quarter!S44)</f>
        <v/>
      </c>
      <c r="R44" s="13">
        <f>IF([4]Quarter!F44="","",[4]Quarter!F44)</f>
        <v/>
      </c>
      <c r="S44" s="13">
        <f>IF([4]Quarter!J44="","",[4]Quarter!J44)</f>
        <v/>
      </c>
      <c r="T44" s="13">
        <f>IF([4]Quarter!N44="","",[4]Quarter!N44)</f>
        <v/>
      </c>
      <c r="U44" s="13">
        <f>IF([4]Quarter!R44="","",[4]Quarter!R44)</f>
        <v/>
      </c>
      <c r="V44" s="13">
        <f>IF([4]Quarter!S44="","",[4]Quarter!S44)</f>
        <v/>
      </c>
      <c r="W44" s="13">
        <f>IF([5]Quarter!F44="","",[5]Quarter!F44)</f>
        <v/>
      </c>
      <c r="X44" s="13">
        <f>IF([5]Quarter!J44="","",[5]Quarter!J44)</f>
        <v/>
      </c>
      <c r="Y44" s="13">
        <f>IF([5]Quarter!N44="","",[5]Quarter!N44)</f>
        <v/>
      </c>
      <c r="Z44" s="13">
        <f>IF([5]Quarter!R44="","",[5]Quarter!R44)</f>
        <v/>
      </c>
      <c r="AA44" s="13">
        <f>IF([5]Quarter!S44="","",[5]Quarter!S44)</f>
        <v/>
      </c>
      <c r="AB44" s="13">
        <f>IF([6]Quarter!F44="","",[6]Quarter!F44)</f>
        <v/>
      </c>
      <c r="AC44" s="13">
        <f>IF([6]Quarter!J44="","",[6]Quarter!J44)</f>
        <v/>
      </c>
      <c r="AD44" s="13">
        <f>IF([6]Quarter!N44="","",[6]Quarter!N44)</f>
        <v/>
      </c>
      <c r="AE44" s="13">
        <f>IF([6]Quarter!R44="","",[6]Quarter!R44)</f>
        <v/>
      </c>
      <c r="AF44" s="13">
        <f>IF([6]Quarter!S44="","",[6]Quarter!S44)</f>
        <v/>
      </c>
      <c r="AG44" s="13">
        <f>IF([7]Quarter!F44="","",[7]Quarter!F44)</f>
        <v/>
      </c>
      <c r="AH44" s="13">
        <f>IF([7]Quarter!J44="","",[7]Quarter!J44)</f>
        <v/>
      </c>
      <c r="AI44" s="13">
        <f>IF([7]Quarter!N44="","",[7]Quarter!N44)</f>
        <v/>
      </c>
      <c r="AJ44" s="13">
        <f>IF([7]Quarter!R44="","",[7]Quarter!R44)</f>
        <v/>
      </c>
      <c r="AK44" s="13">
        <f>IF([7]Quarter!S44="","",[7]Quarter!S44)</f>
        <v/>
      </c>
      <c r="AL44" s="14">
        <f>IF(COUNT(C44,H44,M44,R44,W44,AB44,AG44)=0,"",SUM(C44,H44,M44,R44,W44,AB44,AG44))</f>
        <v/>
      </c>
      <c r="AM44" s="14">
        <f>IF(COUNT(D44,I44,N44,S44,X44,AC44,AH44)=0,"",SUM(D44,I44,N44,S44,X44,AC44,AH44))</f>
        <v/>
      </c>
      <c r="AN44" s="14">
        <f>IF(COUNT(E44,J44,O44,T44,Y44,AD44,AI44)=0,"",SUM(E44,J44,O44,T44,Y44,AD44,AI44))</f>
        <v/>
      </c>
      <c r="AO44" s="14">
        <f>IF(COUNT(F44,K44,P44,U44,Z44,AE44,AJ44)=0,"",SUM(F44,K44,P44,U44,Z44,AE44,AJ44))</f>
        <v/>
      </c>
      <c r="AP44" s="14">
        <f>IF(COUNT(G44,L44,Q44,V44,AA44,AF44,AK44)=0,"",SUM(G44,L44,Q44,V44,AA44,AF44,AK44))</f>
        <v/>
      </c>
      <c r="AQ44" s="4" t="inlineStr">
        <is>
          <t>Sum of divisions</t>
        </is>
      </c>
    </row>
    <row r="45" ht="18.75" customHeight="1">
      <c r="A45" s="3" t="n"/>
      <c r="B45" s="17" t="inlineStr">
        <is>
          <t>Total Absences</t>
        </is>
      </c>
      <c r="C45" s="13">
        <f>IF([1]Quarter!F45="","",[1]Quarter!F45)</f>
        <v/>
      </c>
      <c r="D45" s="13">
        <f>IF([1]Quarter!J45="","",[1]Quarter!J45)</f>
        <v/>
      </c>
      <c r="E45" s="13">
        <f>IF([1]Quarter!N45="","",[1]Quarter!N45)</f>
        <v/>
      </c>
      <c r="F45" s="13">
        <f>IF([1]Quarter!R45="","",[1]Quarter!R45)</f>
        <v/>
      </c>
      <c r="G45" s="13">
        <f>IF([1]Quarter!S45="","",[1]Quarter!S45)</f>
        <v/>
      </c>
      <c r="H45" s="13">
        <f>IF([2]Quarter!F45="","",[2]Quarter!F45)</f>
        <v/>
      </c>
      <c r="I45" s="13">
        <f>IF([2]Quarter!J45="","",[2]Quarter!J45)</f>
        <v/>
      </c>
      <c r="J45" s="13">
        <f>IF([2]Quarter!N45="","",[2]Quarter!N45)</f>
        <v/>
      </c>
      <c r="K45" s="13">
        <f>IF([2]Quarter!R45="","",[2]Quarter!R45)</f>
        <v/>
      </c>
      <c r="L45" s="13">
        <f>IF([2]Quarter!S45="","",[2]Quarter!S45)</f>
        <v/>
      </c>
      <c r="M45" s="13">
        <f>IF([3]Quarter!F45="","",[3]Quarter!F45)</f>
        <v/>
      </c>
      <c r="N45" s="13">
        <f>IF([3]Quarter!J45="","",[3]Quarter!J45)</f>
        <v/>
      </c>
      <c r="O45" s="13">
        <f>IF([3]Quarter!N45="","",[3]Quarter!N45)</f>
        <v/>
      </c>
      <c r="P45" s="13">
        <f>IF([3]Quarter!R45="","",[3]Quarter!R45)</f>
        <v/>
      </c>
      <c r="Q45" s="13">
        <f>IF([3]Quarter!S45="","",[3]Quarter!S45)</f>
        <v/>
      </c>
      <c r="R45" s="13">
        <f>IF([4]Quarter!F45="","",[4]Quarter!F45)</f>
        <v/>
      </c>
      <c r="S45" s="13">
        <f>IF([4]Quarter!J45="","",[4]Quarter!J45)</f>
        <v/>
      </c>
      <c r="T45" s="13">
        <f>IF([4]Quarter!N45="","",[4]Quarter!N45)</f>
        <v/>
      </c>
      <c r="U45" s="13">
        <f>IF([4]Quarter!R45="","",[4]Quarter!R45)</f>
        <v/>
      </c>
      <c r="V45" s="13">
        <f>IF([4]Quarter!S45="","",[4]Quarter!S45)</f>
        <v/>
      </c>
      <c r="W45" s="13">
        <f>IF([5]Quarter!F45="","",[5]Quarter!F45)</f>
        <v/>
      </c>
      <c r="X45" s="13">
        <f>IF([5]Quarter!J45="","",[5]Quarter!J45)</f>
        <v/>
      </c>
      <c r="Y45" s="13">
        <f>IF([5]Quarter!N45="","",[5]Quarter!N45)</f>
        <v/>
      </c>
      <c r="Z45" s="13">
        <f>IF([5]Quarter!R45="","",[5]Quarter!R45)</f>
        <v/>
      </c>
      <c r="AA45" s="13">
        <f>IF([5]Quarter!S45="","",[5]Quarter!S45)</f>
        <v/>
      </c>
      <c r="AB45" s="13">
        <f>IF([6]Quarter!F45="","",[6]Quarter!F45)</f>
        <v/>
      </c>
      <c r="AC45" s="13">
        <f>IF([6]Quarter!J45="","",[6]Quarter!J45)</f>
        <v/>
      </c>
      <c r="AD45" s="13">
        <f>IF([6]Quarter!N45="","",[6]Quarter!N45)</f>
        <v/>
      </c>
      <c r="AE45" s="13">
        <f>IF([6]Quarter!R45="","",[6]Quarter!R45)</f>
        <v/>
      </c>
      <c r="AF45" s="13">
        <f>IF([6]Quarter!S45="","",[6]Quarter!S45)</f>
        <v/>
      </c>
      <c r="AG45" s="13">
        <f>IF([7]Quarter!F45="","",[7]Quarter!F45)</f>
        <v/>
      </c>
      <c r="AH45" s="13">
        <f>IF([7]Quarter!J45="","",[7]Quarter!J45)</f>
        <v/>
      </c>
      <c r="AI45" s="13">
        <f>IF([7]Quarter!N45="","",[7]Quarter!N45)</f>
        <v/>
      </c>
      <c r="AJ45" s="13">
        <f>IF([7]Quarter!R45="","",[7]Quarter!R45)</f>
        <v/>
      </c>
      <c r="AK45" s="13">
        <f>IF([7]Quarter!S45="","",[7]Quarter!S45)</f>
        <v/>
      </c>
      <c r="AL45" s="14">
        <f>IF(COUNT(AL43:AL44)=0,"",SUM(AL43:AL44))</f>
        <v/>
      </c>
      <c r="AM45" s="14">
        <f>IF(COUNT(AM43:AM44)=0,"",SUM(AM43:AM44))</f>
        <v/>
      </c>
      <c r="AN45" s="14">
        <f>IF(COUNT(AN43:AN44)=0,"",SUM(AN43:AN44))</f>
        <v/>
      </c>
      <c r="AO45" s="14">
        <f>IF(COUNT(AO43:AO44)=0,"",SUM(AO43:AO44))</f>
        <v/>
      </c>
      <c r="AP45" s="14">
        <f>IF(COUNT(AP43:AP44)=0,"",SUM(AP43:AP44))</f>
        <v/>
      </c>
      <c r="AQ45" s="4" t="inlineStr">
        <is>
          <t>Recalculated</t>
        </is>
      </c>
    </row>
    <row r="46" ht="18.75" customHeight="1">
      <c r="A46" s="3" t="n"/>
      <c r="B46" s="12" t="inlineStr">
        <is>
          <t>Absent Rate Non-Certified (%)</t>
        </is>
      </c>
      <c r="C46" s="18">
        <f>IF([1]Quarter!F46="","",[1]Quarter!F46)</f>
        <v/>
      </c>
      <c r="D46" s="18">
        <f>IF([1]Quarter!J46="","",[1]Quarter!J46)</f>
        <v/>
      </c>
      <c r="E46" s="18">
        <f>IF([1]Quarter!N46="","",[1]Quarter!N46)</f>
        <v/>
      </c>
      <c r="F46" s="18">
        <f>IF([1]Quarter!R46="","",[1]Quarter!R46)</f>
        <v/>
      </c>
      <c r="G46" s="18">
        <f>IF([1]Quarter!S46="","",[1]Quarter!S46)</f>
        <v/>
      </c>
      <c r="H46" s="18">
        <f>IF([2]Quarter!F46="","",[2]Quarter!F46)</f>
        <v/>
      </c>
      <c r="I46" s="18">
        <f>IF([2]Quarter!J46="","",[2]Quarter!J46)</f>
        <v/>
      </c>
      <c r="J46" s="18">
        <f>IF([2]Quarter!N46="","",[2]Quarter!N46)</f>
        <v/>
      </c>
      <c r="K46" s="18">
        <f>IF([2]Quarter!R46="","",[2]Quarter!R46)</f>
        <v/>
      </c>
      <c r="L46" s="18">
        <f>IF([2]Quarter!S46="","",[2]Quarter!S46)</f>
        <v/>
      </c>
      <c r="M46" s="18">
        <f>IF([3]Quarter!F46="","",[3]Quarter!F46)</f>
        <v/>
      </c>
      <c r="N46" s="18">
        <f>IF([3]Quarter!J46="","",[3]Quarter!J46)</f>
        <v/>
      </c>
      <c r="O46" s="18">
        <f>IF([3]Quarter!N46="","",[3]Quarter!N46)</f>
        <v/>
      </c>
      <c r="P46" s="18">
        <f>IF([3]Quarter!R46="","",[3]Quarter!R46)</f>
        <v/>
      </c>
      <c r="Q46" s="18">
        <f>IF([3]Quarter!S46="","",[3]Quarter!S46)</f>
        <v/>
      </c>
      <c r="R46" s="18">
        <f>IF([4]Quarter!F46="","",[4]Quarter!F46)</f>
        <v/>
      </c>
      <c r="S46" s="18">
        <f>IF([4]Quarter!J46="","",[4]Quarter!J46)</f>
        <v/>
      </c>
      <c r="T46" s="18">
        <f>IF([4]Quarter!N46="","",[4]Quarter!N46)</f>
        <v/>
      </c>
      <c r="U46" s="18">
        <f>IF([4]Quarter!R46="","",[4]Quarter!R46)</f>
        <v/>
      </c>
      <c r="V46" s="18">
        <f>IF([4]Quarter!S46="","",[4]Quarter!S46)</f>
        <v/>
      </c>
      <c r="W46" s="18">
        <f>IF([5]Quarter!F46="","",[5]Quarter!F46)</f>
        <v/>
      </c>
      <c r="X46" s="18">
        <f>IF([5]Quarter!J46="","",[5]Quarter!J46)</f>
        <v/>
      </c>
      <c r="Y46" s="18">
        <f>IF([5]Quarter!N46="","",[5]Quarter!N46)</f>
        <v/>
      </c>
      <c r="Z46" s="18">
        <f>IF([5]Quarter!R46="","",[5]Quarter!R46)</f>
        <v/>
      </c>
      <c r="AA46" s="18">
        <f>IF([5]Quarter!S46="","",[5]Quarter!S46)</f>
        <v/>
      </c>
      <c r="AB46" s="18">
        <f>IF([6]Quarter!F46="","",[6]Quarter!F46)</f>
        <v/>
      </c>
      <c r="AC46" s="18">
        <f>IF([6]Quarter!J46="","",[6]Quarter!J46)</f>
        <v/>
      </c>
      <c r="AD46" s="18">
        <f>IF([6]Quarter!N46="","",[6]Quarter!N46)</f>
        <v/>
      </c>
      <c r="AE46" s="18">
        <f>IF([6]Quarter!R46="","",[6]Quarter!R46)</f>
        <v/>
      </c>
      <c r="AF46" s="18">
        <f>IF([6]Quarter!S46="","",[6]Quarter!S46)</f>
        <v/>
      </c>
      <c r="AG46" s="18">
        <f>IF([7]Quarter!F46="","",[7]Quarter!F46)</f>
        <v/>
      </c>
      <c r="AH46" s="18">
        <f>IF([7]Quarter!J46="","",[7]Quarter!J46)</f>
        <v/>
      </c>
      <c r="AI46" s="18">
        <f>IF([7]Quarter!N46="","",[7]Quarter!N46)</f>
        <v/>
      </c>
      <c r="AJ46" s="18">
        <f>IF([7]Quarter!R46="","",[7]Quarter!R46)</f>
        <v/>
      </c>
      <c r="AK46" s="18">
        <f>IF([7]Quarter!S46="","",[7]Quarter!S46)</f>
        <v/>
      </c>
      <c r="AL46" s="19">
        <f>IF(COUNT(C46,H46,M46,R46,W46,AB46,AG46)=0,"",IFERROR((IFERROR(C46*C5,0)+IFERROR(H46*H5,0)+IFERROR(M46*M5,0)+IFERROR(R46*R5,0)+IFERROR(W46*W5,0)+IFERROR(AB46*AB5,0)+IFERROR(AG46*AG5,0))/(IFERROR(ISNUMBER(C46)*C5,0)+IFERROR(ISNUMBER(H46)*H5,0)+IFERROR(ISNUMBER(M46)*M5,0)+IFERROR(ISNUMBER(R46)*R5,0)+IFERROR(ISNUMBER(W46)*W5,0)+IFERROR(ISNUMBER(AB46)*AB5,0)+IFERROR(ISNUMBER(AG46)*AG5,0)),""))</f>
        <v/>
      </c>
      <c r="AM46" s="19">
        <f>IF(COUNT(D46,I46,N46,S46,X46,AC46,AH46)=0,"",IFERROR((IFERROR(D46*D5,0)+IFERROR(I46*I5,0)+IFERROR(N46*N5,0)+IFERROR(S46*S5,0)+IFERROR(X46*X5,0)+IFERROR(AC46*AC5,0)+IFERROR(AH46*AH5,0))/(IFERROR(ISNUMBER(D46)*D5,0)+IFERROR(ISNUMBER(I46)*I5,0)+IFERROR(ISNUMBER(N46)*N5,0)+IFERROR(ISNUMBER(S46)*S5,0)+IFERROR(ISNUMBER(X46)*X5,0)+IFERROR(ISNUMBER(AC46)*AC5,0)+IFERROR(ISNUMBER(AH46)*AH5,0)),""))</f>
        <v/>
      </c>
      <c r="AN46" s="19">
        <f>IF(COUNT(E46,J46,O46,T46,Y46,AD46,AI46)=0,"",IFERROR((IFERROR(E46*E5,0)+IFERROR(J46*J5,0)+IFERROR(O46*O5,0)+IFERROR(T46*T5,0)+IFERROR(Y46*Y5,0)+IFERROR(AD46*AD5,0)+IFERROR(AI46*AI5,0))/(IFERROR(ISNUMBER(E46)*E5,0)+IFERROR(ISNUMBER(J46)*J5,0)+IFERROR(ISNUMBER(O46)*O5,0)+IFERROR(ISNUMBER(T46)*T5,0)+IFERROR(ISNUMBER(Y46)*Y5,0)+IFERROR(ISNUMBER(AD46)*AD5,0)+IFERROR(ISNUMBER(AI46)*AI5,0)),""))</f>
        <v/>
      </c>
      <c r="AO46" s="19">
        <f>IF(COUNT(F46,K46,P46,U46,Z46,AE46,AJ46)=0,"",IFERROR((IFERROR(F46*F5,0)+IFERROR(K46*K5,0)+IFERROR(P46*P5,0)+IFERROR(U46*U5,0)+IFERROR(Z46*Z5,0)+IFERROR(AE46*AE5,0)+IFERROR(AJ46*AJ5,0))/(IFERROR(ISNUMBER(F46)*F5,0)+IFERROR(ISNUMBER(K46)*K5,0)+IFERROR(ISNUMBER(P46)*P5,0)+IFERROR(ISNUMBER(U46)*U5,0)+IFERROR(ISNUMBER(Z46)*Z5,0)+IFERROR(ISNUMBER(AE46)*AE5,0)+IFERROR(ISNUMBER(AJ46)*AJ5,0)),""))</f>
        <v/>
      </c>
      <c r="AP46" s="19">
        <f>IF(COUNT(G46,L46,Q46,V46,AA46,AF46,AK46)=0,"",IFERROR((IFERROR(G46*G5,0)+IFERROR(L46*L5,0)+IFERROR(Q46*Q5,0)+IFERROR(V46*V5,0)+IFERROR(AA46*AA5,0)+IFERROR(AF46*AF5,0)+IFERROR(AK46*AK5,0))/(IFERROR(ISNUMBER(G46)*G5,0)+IFERROR(ISNUMBER(L46)*L5,0)+IFERROR(ISNUMBER(Q46)*Q5,0)+IFERROR(ISNUMBER(V46)*V5,0)+IFERROR(ISNUMBER(AA46)*AA5,0)+IFERROR(ISNUMBER(AF46)*AF5,0)+IFERROR(ISNUMBER(AK46)*AK5,0)),""))</f>
        <v/>
      </c>
      <c r="AQ46" s="4" t="inlineStr">
        <is>
          <t>HC-weighted</t>
        </is>
      </c>
    </row>
    <row r="47" ht="18.75" customHeight="1">
      <c r="A47" s="3" t="n"/>
      <c r="B47" s="12" t="inlineStr">
        <is>
          <t>Absent Rate Certified (%)</t>
        </is>
      </c>
      <c r="C47" s="18">
        <f>IF([1]Quarter!F47="","",[1]Quarter!F47)</f>
        <v/>
      </c>
      <c r="D47" s="18">
        <f>IF([1]Quarter!J47="","",[1]Quarter!J47)</f>
        <v/>
      </c>
      <c r="E47" s="18">
        <f>IF([1]Quarter!N47="","",[1]Quarter!N47)</f>
        <v/>
      </c>
      <c r="F47" s="18">
        <f>IF([1]Quarter!R47="","",[1]Quarter!R47)</f>
        <v/>
      </c>
      <c r="G47" s="18">
        <f>IF([1]Quarter!S47="","",[1]Quarter!S47)</f>
        <v/>
      </c>
      <c r="H47" s="18">
        <f>IF([2]Quarter!F47="","",[2]Quarter!F47)</f>
        <v/>
      </c>
      <c r="I47" s="18">
        <f>IF([2]Quarter!J47="","",[2]Quarter!J47)</f>
        <v/>
      </c>
      <c r="J47" s="18">
        <f>IF([2]Quarter!N47="","",[2]Quarter!N47)</f>
        <v/>
      </c>
      <c r="K47" s="18">
        <f>IF([2]Quarter!R47="","",[2]Quarter!R47)</f>
        <v/>
      </c>
      <c r="L47" s="18">
        <f>IF([2]Quarter!S47="","",[2]Quarter!S47)</f>
        <v/>
      </c>
      <c r="M47" s="18">
        <f>IF([3]Quarter!F47="","",[3]Quarter!F47)</f>
        <v/>
      </c>
      <c r="N47" s="18">
        <f>IF([3]Quarter!J47="","",[3]Quarter!J47)</f>
        <v/>
      </c>
      <c r="O47" s="18">
        <f>IF([3]Quarter!N47="","",[3]Quarter!N47)</f>
        <v/>
      </c>
      <c r="P47" s="18">
        <f>IF([3]Quarter!R47="","",[3]Quarter!R47)</f>
        <v/>
      </c>
      <c r="Q47" s="18">
        <f>IF([3]Quarter!S47="","",[3]Quarter!S47)</f>
        <v/>
      </c>
      <c r="R47" s="18">
        <f>IF([4]Quarter!F47="","",[4]Quarter!F47)</f>
        <v/>
      </c>
      <c r="S47" s="18">
        <f>IF([4]Quarter!J47="","",[4]Quarter!J47)</f>
        <v/>
      </c>
      <c r="T47" s="18">
        <f>IF([4]Quarter!N47="","",[4]Quarter!N47)</f>
        <v/>
      </c>
      <c r="U47" s="18">
        <f>IF([4]Quarter!R47="","",[4]Quarter!R47)</f>
        <v/>
      </c>
      <c r="V47" s="18">
        <f>IF([4]Quarter!S47="","",[4]Quarter!S47)</f>
        <v/>
      </c>
      <c r="W47" s="18">
        <f>IF([5]Quarter!F47="","",[5]Quarter!F47)</f>
        <v/>
      </c>
      <c r="X47" s="18">
        <f>IF([5]Quarter!J47="","",[5]Quarter!J47)</f>
        <v/>
      </c>
      <c r="Y47" s="18">
        <f>IF([5]Quarter!N47="","",[5]Quarter!N47)</f>
        <v/>
      </c>
      <c r="Z47" s="18">
        <f>IF([5]Quarter!R47="","",[5]Quarter!R47)</f>
        <v/>
      </c>
      <c r="AA47" s="18">
        <f>IF([5]Quarter!S47="","",[5]Quarter!S47)</f>
        <v/>
      </c>
      <c r="AB47" s="18">
        <f>IF([6]Quarter!F47="","",[6]Quarter!F47)</f>
        <v/>
      </c>
      <c r="AC47" s="18">
        <f>IF([6]Quarter!J47="","",[6]Quarter!J47)</f>
        <v/>
      </c>
      <c r="AD47" s="18">
        <f>IF([6]Quarter!N47="","",[6]Quarter!N47)</f>
        <v/>
      </c>
      <c r="AE47" s="18">
        <f>IF([6]Quarter!R47="","",[6]Quarter!R47)</f>
        <v/>
      </c>
      <c r="AF47" s="18">
        <f>IF([6]Quarter!S47="","",[6]Quarter!S47)</f>
        <v/>
      </c>
      <c r="AG47" s="18">
        <f>IF([7]Quarter!F47="","",[7]Quarter!F47)</f>
        <v/>
      </c>
      <c r="AH47" s="18">
        <f>IF([7]Quarter!J47="","",[7]Quarter!J47)</f>
        <v/>
      </c>
      <c r="AI47" s="18">
        <f>IF([7]Quarter!N47="","",[7]Quarter!N47)</f>
        <v/>
      </c>
      <c r="AJ47" s="18">
        <f>IF([7]Quarter!R47="","",[7]Quarter!R47)</f>
        <v/>
      </c>
      <c r="AK47" s="18">
        <f>IF([7]Quarter!S47="","",[7]Quarter!S47)</f>
        <v/>
      </c>
      <c r="AL47" s="19">
        <f>IF(COUNT(C47,H47,M47,R47,W47,AB47,AG47)=0,"",IFERROR((IFERROR(C47*C5,0)+IFERROR(H47*H5,0)+IFERROR(M47*M5,0)+IFERROR(R47*R5,0)+IFERROR(W47*W5,0)+IFERROR(AB47*AB5,0)+IFERROR(AG47*AG5,0))/(IFERROR(ISNUMBER(C47)*C5,0)+IFERROR(ISNUMBER(H47)*H5,0)+IFERROR(ISNUMBER(M47)*M5,0)+IFERROR(ISNUMBER(R47)*R5,0)+IFERROR(ISNUMBER(W47)*W5,0)+IFERROR(ISNUMBER(AB47)*AB5,0)+IFERROR(ISNUMBER(AG47)*AG5,0)),""))</f>
        <v/>
      </c>
      <c r="AM47" s="19">
        <f>IF(COUNT(D47,I47,N47,S47,X47,AC47,AH47)=0,"",IFERROR((IFERROR(D47*D5,0)+IFERROR(I47*I5,0)+IFERROR(N47*N5,0)+IFERROR(S47*S5,0)+IFERROR(X47*X5,0)+IFERROR(AC47*AC5,0)+IFERROR(AH47*AH5,0))/(IFERROR(ISNUMBER(D47)*D5,0)+IFERROR(ISNUMBER(I47)*I5,0)+IFERROR(ISNUMBER(N47)*N5,0)+IFERROR(ISNUMBER(S47)*S5,0)+IFERROR(ISNUMBER(X47)*X5,0)+IFERROR(ISNUMBER(AC47)*AC5,0)+IFERROR(ISNUMBER(AH47)*AH5,0)),""))</f>
        <v/>
      </c>
      <c r="AN47" s="19">
        <f>IF(COUNT(E47,J47,O47,T47,Y47,AD47,AI47)=0,"",IFERROR((IFERROR(E47*E5,0)+IFERROR(J47*J5,0)+IFERROR(O47*O5,0)+IFERROR(T47*T5,0)+IFERROR(Y47*Y5,0)+IFERROR(AD47*AD5,0)+IFERROR(AI47*AI5,0))/(IFERROR(ISNUMBER(E47)*E5,0)+IFERROR(ISNUMBER(J47)*J5,0)+IFERROR(ISNUMBER(O47)*O5,0)+IFERROR(ISNUMBER(T47)*T5,0)+IFERROR(ISNUMBER(Y47)*Y5,0)+IFERROR(ISNUMBER(AD47)*AD5,0)+IFERROR(ISNUMBER(AI47)*AI5,0)),""))</f>
        <v/>
      </c>
      <c r="AO47" s="19">
        <f>IF(COUNT(F47,K47,P47,U47,Z47,AE47,AJ47)=0,"",IFERROR((IFERROR(F47*F5,0)+IFERROR(K47*K5,0)+IFERROR(P47*P5,0)+IFERROR(U47*U5,0)+IFERROR(Z47*Z5,0)+IFERROR(AE47*AE5,0)+IFERROR(AJ47*AJ5,0))/(IFERROR(ISNUMBER(F47)*F5,0)+IFERROR(ISNUMBER(K47)*K5,0)+IFERROR(ISNUMBER(P47)*P5,0)+IFERROR(ISNUMBER(U47)*U5,0)+IFERROR(ISNUMBER(Z47)*Z5,0)+IFERROR(ISNUMBER(AE47)*AE5,0)+IFERROR(ISNUMBER(AJ47)*AJ5,0)),""))</f>
        <v/>
      </c>
      <c r="AP47" s="19">
        <f>IF(COUNT(G47,L47,Q47,V47,AA47,AF47,AK47)=0,"",IFERROR((IFERROR(G47*G5,0)+IFERROR(L47*L5,0)+IFERROR(Q47*Q5,0)+IFERROR(V47*V5,0)+IFERROR(AA47*AA5,0)+IFERROR(AF47*AF5,0)+IFERROR(AK47*AK5,0))/(IFERROR(ISNUMBER(G47)*G5,0)+IFERROR(ISNUMBER(L47)*L5,0)+IFERROR(ISNUMBER(Q47)*Q5,0)+IFERROR(ISNUMBER(V47)*V5,0)+IFERROR(ISNUMBER(AA47)*AA5,0)+IFERROR(ISNUMBER(AF47)*AF5,0)+IFERROR(ISNUMBER(AK47)*AK5,0)),""))</f>
        <v/>
      </c>
      <c r="AQ47" s="4" t="inlineStr">
        <is>
          <t>HC-weighted</t>
        </is>
      </c>
    </row>
    <row r="48" ht="18.75" customHeight="1">
      <c r="A48" s="3" t="n"/>
      <c r="B48" s="12" t="inlineStr">
        <is>
          <t>Absent Rate Total (%)</t>
        </is>
      </c>
      <c r="C48" s="18">
        <f>IF([1]Quarter!F48="","",[1]Quarter!F48)</f>
        <v/>
      </c>
      <c r="D48" s="18">
        <f>IF([1]Quarter!J48="","",[1]Quarter!J48)</f>
        <v/>
      </c>
      <c r="E48" s="18">
        <f>IF([1]Quarter!N48="","",[1]Quarter!N48)</f>
        <v/>
      </c>
      <c r="F48" s="18">
        <f>IF([1]Quarter!R48="","",[1]Quarter!R48)</f>
        <v/>
      </c>
      <c r="G48" s="18">
        <f>IF([1]Quarter!S48="","",[1]Quarter!S48)</f>
        <v/>
      </c>
      <c r="H48" s="18">
        <f>IF([2]Quarter!F48="","",[2]Quarter!F48)</f>
        <v/>
      </c>
      <c r="I48" s="18">
        <f>IF([2]Quarter!J48="","",[2]Quarter!J48)</f>
        <v/>
      </c>
      <c r="J48" s="18">
        <f>IF([2]Quarter!N48="","",[2]Quarter!N48)</f>
        <v/>
      </c>
      <c r="K48" s="18">
        <f>IF([2]Quarter!R48="","",[2]Quarter!R48)</f>
        <v/>
      </c>
      <c r="L48" s="18">
        <f>IF([2]Quarter!S48="","",[2]Quarter!S48)</f>
        <v/>
      </c>
      <c r="M48" s="18">
        <f>IF([3]Quarter!F48="","",[3]Quarter!F48)</f>
        <v/>
      </c>
      <c r="N48" s="18">
        <f>IF([3]Quarter!J48="","",[3]Quarter!J48)</f>
        <v/>
      </c>
      <c r="O48" s="18">
        <f>IF([3]Quarter!N48="","",[3]Quarter!N48)</f>
        <v/>
      </c>
      <c r="P48" s="18">
        <f>IF([3]Quarter!R48="","",[3]Quarter!R48)</f>
        <v/>
      </c>
      <c r="Q48" s="18">
        <f>IF([3]Quarter!S48="","",[3]Quarter!S48)</f>
        <v/>
      </c>
      <c r="R48" s="18">
        <f>IF([4]Quarter!F48="","",[4]Quarter!F48)</f>
        <v/>
      </c>
      <c r="S48" s="18">
        <f>IF([4]Quarter!J48="","",[4]Quarter!J48)</f>
        <v/>
      </c>
      <c r="T48" s="18">
        <f>IF([4]Quarter!N48="","",[4]Quarter!N48)</f>
        <v/>
      </c>
      <c r="U48" s="18">
        <f>IF([4]Quarter!R48="","",[4]Quarter!R48)</f>
        <v/>
      </c>
      <c r="V48" s="18">
        <f>IF([4]Quarter!S48="","",[4]Quarter!S48)</f>
        <v/>
      </c>
      <c r="W48" s="18">
        <f>IF([5]Quarter!F48="","",[5]Quarter!F48)</f>
        <v/>
      </c>
      <c r="X48" s="18">
        <f>IF([5]Quarter!J48="","",[5]Quarter!J48)</f>
        <v/>
      </c>
      <c r="Y48" s="18">
        <f>IF([5]Quarter!N48="","",[5]Quarter!N48)</f>
        <v/>
      </c>
      <c r="Z48" s="18">
        <f>IF([5]Quarter!R48="","",[5]Quarter!R48)</f>
        <v/>
      </c>
      <c r="AA48" s="18">
        <f>IF([5]Quarter!S48="","",[5]Quarter!S48)</f>
        <v/>
      </c>
      <c r="AB48" s="18">
        <f>IF([6]Quarter!F48="","",[6]Quarter!F48)</f>
        <v/>
      </c>
      <c r="AC48" s="18">
        <f>IF([6]Quarter!J48="","",[6]Quarter!J48)</f>
        <v/>
      </c>
      <c r="AD48" s="18">
        <f>IF([6]Quarter!N48="","",[6]Quarter!N48)</f>
        <v/>
      </c>
      <c r="AE48" s="18">
        <f>IF([6]Quarter!R48="","",[6]Quarter!R48)</f>
        <v/>
      </c>
      <c r="AF48" s="18">
        <f>IF([6]Quarter!S48="","",[6]Quarter!S48)</f>
        <v/>
      </c>
      <c r="AG48" s="18">
        <f>IF([7]Quarter!F48="","",[7]Quarter!F48)</f>
        <v/>
      </c>
      <c r="AH48" s="18">
        <f>IF([7]Quarter!J48="","",[7]Quarter!J48)</f>
        <v/>
      </c>
      <c r="AI48" s="18">
        <f>IF([7]Quarter!N48="","",[7]Quarter!N48)</f>
        <v/>
      </c>
      <c r="AJ48" s="18">
        <f>IF([7]Quarter!R48="","",[7]Quarter!R48)</f>
        <v/>
      </c>
      <c r="AK48" s="18">
        <f>IF([7]Quarter!S48="","",[7]Quarter!S48)</f>
        <v/>
      </c>
      <c r="AL48" s="19">
        <f>IF(COUNT(AL46:AL47)=0,"",SUM(AL46:AL47))</f>
        <v/>
      </c>
      <c r="AM48" s="19">
        <f>IF(COUNT(AM46:AM47)=0,"",SUM(AM46:AM47))</f>
        <v/>
      </c>
      <c r="AN48" s="19">
        <f>IF(COUNT(AN46:AN47)=0,"",SUM(AN46:AN47))</f>
        <v/>
      </c>
      <c r="AO48" s="19">
        <f>IF(COUNT(AO46:AO47)=0,"",SUM(AO46:AO47))</f>
        <v/>
      </c>
      <c r="AP48" s="19">
        <f>IF(COUNT(AP46:AP47)=0,"",SUM(AP46:AP47))</f>
        <v/>
      </c>
      <c r="AQ48" s="4" t="inlineStr">
        <is>
          <t>HC-weighted</t>
        </is>
      </c>
    </row>
    <row r="49" ht="18.75" customHeight="1">
      <c r="A49" s="3" t="n"/>
      <c r="B49" s="17" t="inlineStr">
        <is>
          <t>Weight factor</t>
        </is>
      </c>
      <c r="C49" s="18">
        <f>IFERROR(C5/AL5,"")</f>
        <v/>
      </c>
      <c r="D49" s="18">
        <f>IFERROR(D5/AM5,"")</f>
        <v/>
      </c>
      <c r="E49" s="18">
        <f>IFERROR(E5/AN5,"")</f>
        <v/>
      </c>
      <c r="F49" s="18">
        <f>IFERROR(F5/AO5,"")</f>
        <v/>
      </c>
      <c r="G49" s="18">
        <f>IFERROR(G5/AP5,"")</f>
        <v/>
      </c>
      <c r="H49" s="18">
        <f>IFERROR(H5/AL5,"")</f>
        <v/>
      </c>
      <c r="I49" s="18">
        <f>IFERROR(I5/AM5,"")</f>
        <v/>
      </c>
      <c r="J49" s="18">
        <f>IFERROR(J5/AN5,"")</f>
        <v/>
      </c>
      <c r="K49" s="18">
        <f>IFERROR(K5/AO5,"")</f>
        <v/>
      </c>
      <c r="L49" s="18">
        <f>IFERROR(L5/AP5,"")</f>
        <v/>
      </c>
      <c r="M49" s="18">
        <f>IFERROR(M5/AL5,"")</f>
        <v/>
      </c>
      <c r="N49" s="18">
        <f>IFERROR(N5/AM5,"")</f>
        <v/>
      </c>
      <c r="O49" s="18">
        <f>IFERROR(O5/AN5,"")</f>
        <v/>
      </c>
      <c r="P49" s="18">
        <f>IFERROR(P5/AO5,"")</f>
        <v/>
      </c>
      <c r="Q49" s="18">
        <f>IFERROR(Q5/AP5,"")</f>
        <v/>
      </c>
      <c r="R49" s="18">
        <f>IFERROR(R5/AL5,"")</f>
        <v/>
      </c>
      <c r="S49" s="18">
        <f>IFERROR(S5/AM5,"")</f>
        <v/>
      </c>
      <c r="T49" s="18">
        <f>IFERROR(T5/AN5,"")</f>
        <v/>
      </c>
      <c r="U49" s="18">
        <f>IFERROR(U5/AO5,"")</f>
        <v/>
      </c>
      <c r="V49" s="18">
        <f>IFERROR(V5/AP5,"")</f>
        <v/>
      </c>
      <c r="W49" s="18">
        <f>IFERROR(W5/AL5,"")</f>
        <v/>
      </c>
      <c r="X49" s="18">
        <f>IFERROR(X5/AM5,"")</f>
        <v/>
      </c>
      <c r="Y49" s="18">
        <f>IFERROR(Y5/AN5,"")</f>
        <v/>
      </c>
      <c r="Z49" s="18">
        <f>IFERROR(Z5/AO5,"")</f>
        <v/>
      </c>
      <c r="AA49" s="18">
        <f>IFERROR(AA5/AP5,"")</f>
        <v/>
      </c>
      <c r="AB49" s="18">
        <f>IFERROR(AB5/AL5,"")</f>
        <v/>
      </c>
      <c r="AC49" s="18">
        <f>IFERROR(AC5/AM5,"")</f>
        <v/>
      </c>
      <c r="AD49" s="18">
        <f>IFERROR(AD5/AN5,"")</f>
        <v/>
      </c>
      <c r="AE49" s="18">
        <f>IFERROR(AE5/AO5,"")</f>
        <v/>
      </c>
      <c r="AF49" s="18">
        <f>IFERROR(AF5/AP5,"")</f>
        <v/>
      </c>
      <c r="AG49" s="18">
        <f>IFERROR(AG5/AL5,"")</f>
        <v/>
      </c>
      <c r="AH49" s="18">
        <f>IFERROR(AH5/AM5,"")</f>
        <v/>
      </c>
      <c r="AI49" s="18">
        <f>IFERROR(AI5/AN5,"")</f>
        <v/>
      </c>
      <c r="AJ49" s="18">
        <f>IFERROR(AJ5/AO5,"")</f>
        <v/>
      </c>
      <c r="AK49" s="18">
        <f>IFERROR(AK5/AP5,"")</f>
        <v/>
      </c>
      <c r="AL49" s="19">
        <f>IF(COUNT(C49,H49,M49,R49,W49,AB49,AG49)=0,"",SUM(C49,H49,M49,R49,W49,AB49,AG49))</f>
        <v/>
      </c>
      <c r="AM49" s="19">
        <f>IF(COUNT(D49,I49,N49,S49,X49,AC49,AH49)=0,"",SUM(D49,I49,N49,S49,X49,AC49,AH49))</f>
        <v/>
      </c>
      <c r="AN49" s="19">
        <f>IF(COUNT(E49,J49,O49,T49,Y49,AD49,AI49)=0,"",SUM(E49,J49,O49,T49,Y49,AD49,AI49))</f>
        <v/>
      </c>
      <c r="AO49" s="19">
        <f>IF(COUNT(F49,K49,P49,U49,Z49,AE49,AJ49)=0,"",SUM(F49,K49,P49,U49,Z49,AE49,AJ49))</f>
        <v/>
      </c>
      <c r="AP49" s="19">
        <f>IF(COUNT(G49,L49,Q49,V49,AA49,AF49,AK49)=0,"",SUM(G49,L49,Q49,V49,AA49,AF49,AK49))</f>
        <v/>
      </c>
      <c r="AQ49" s="4" t="inlineStr">
        <is>
          <t>Division HC / GEL HC</t>
        </is>
      </c>
    </row>
    <row r="50" ht="18.75" customHeight="1">
      <c r="A50" s="3" t="n"/>
      <c r="B50" s="9" t="inlineStr">
        <is>
          <t>Leadership (Hours)</t>
        </is>
      </c>
      <c r="C50" s="13">
        <f>IF([1]Quarter!F50="","",[1]Quarter!F50)</f>
        <v/>
      </c>
      <c r="D50" s="13">
        <f>IF([1]Quarter!J50="","",[1]Quarter!J50)</f>
        <v/>
      </c>
      <c r="E50" s="13">
        <f>IF([1]Quarter!N50="","",[1]Quarter!N50)</f>
        <v/>
      </c>
      <c r="F50" s="13">
        <f>IF([1]Quarter!R50="","",[1]Quarter!R50)</f>
        <v/>
      </c>
      <c r="G50" s="13">
        <f>IF([1]Quarter!S50="","",[1]Quarter!S50)</f>
        <v/>
      </c>
      <c r="H50" s="13">
        <f>IF([2]Quarter!F50="","",[2]Quarter!F50)</f>
        <v/>
      </c>
      <c r="I50" s="13">
        <f>IF([2]Quarter!J50="","",[2]Quarter!J50)</f>
        <v/>
      </c>
      <c r="J50" s="13">
        <f>IF([2]Quarter!N50="","",[2]Quarter!N50)</f>
        <v/>
      </c>
      <c r="K50" s="13">
        <f>IF([2]Quarter!R50="","",[2]Quarter!R50)</f>
        <v/>
      </c>
      <c r="L50" s="13">
        <f>IF([2]Quarter!S50="","",[2]Quarter!S50)</f>
        <v/>
      </c>
      <c r="M50" s="13">
        <f>IF([3]Quarter!F50="","",[3]Quarter!F50)</f>
        <v/>
      </c>
      <c r="N50" s="13">
        <f>IF([3]Quarter!J50="","",[3]Quarter!J50)</f>
        <v/>
      </c>
      <c r="O50" s="13">
        <f>IF([3]Quarter!N50="","",[3]Quarter!N50)</f>
        <v/>
      </c>
      <c r="P50" s="13">
        <f>IF([3]Quarter!R50="","",[3]Quarter!R50)</f>
        <v/>
      </c>
      <c r="Q50" s="13">
        <f>IF([3]Quarter!S50="","",[3]Quarter!S50)</f>
        <v/>
      </c>
      <c r="R50" s="13">
        <f>IF([4]Quarter!F50="","",[4]Quarter!F50)</f>
        <v/>
      </c>
      <c r="S50" s="13">
        <f>IF([4]Quarter!J50="","",[4]Quarter!J50)</f>
        <v/>
      </c>
      <c r="T50" s="13">
        <f>IF([4]Quarter!N50="","",[4]Quarter!N50)</f>
        <v/>
      </c>
      <c r="U50" s="13">
        <f>IF([4]Quarter!R50="","",[4]Quarter!R50)</f>
        <v/>
      </c>
      <c r="V50" s="13">
        <f>IF([4]Quarter!S50="","",[4]Quarter!S50)</f>
        <v/>
      </c>
      <c r="W50" s="13">
        <f>IF([5]Quarter!F50="","",[5]Quarter!F50)</f>
        <v/>
      </c>
      <c r="X50" s="13">
        <f>IF([5]Quarter!J50="","",[5]Quarter!J50)</f>
        <v/>
      </c>
      <c r="Y50" s="13">
        <f>IF([5]Quarter!N50="","",[5]Quarter!N50)</f>
        <v/>
      </c>
      <c r="Z50" s="13">
        <f>IF([5]Quarter!R50="","",[5]Quarter!R50)</f>
        <v/>
      </c>
      <c r="AA50" s="13">
        <f>IF([5]Quarter!S50="","",[5]Quarter!S50)</f>
        <v/>
      </c>
      <c r="AB50" s="13">
        <f>IF([6]Quarter!F50="","",[6]Quarter!F50)</f>
        <v/>
      </c>
      <c r="AC50" s="13">
        <f>IF([6]Quarter!J50="","",[6]Quarter!J50)</f>
        <v/>
      </c>
      <c r="AD50" s="13">
        <f>IF([6]Quarter!N50="","",[6]Quarter!N50)</f>
        <v/>
      </c>
      <c r="AE50" s="13">
        <f>IF([6]Quarter!R50="","",[6]Quarter!R50)</f>
        <v/>
      </c>
      <c r="AF50" s="13">
        <f>IF([6]Quarter!S50="","",[6]Quarter!S50)</f>
        <v/>
      </c>
      <c r="AG50" s="13">
        <f>IF([7]Quarter!F50="","",[7]Quarter!F50)</f>
        <v/>
      </c>
      <c r="AH50" s="13">
        <f>IF([7]Quarter!J50="","",[7]Quarter!J50)</f>
        <v/>
      </c>
      <c r="AI50" s="13">
        <f>IF([7]Quarter!N50="","",[7]Quarter!N50)</f>
        <v/>
      </c>
      <c r="AJ50" s="13">
        <f>IF([7]Quarter!R50="","",[7]Quarter!R50)</f>
        <v/>
      </c>
      <c r="AK50" s="13">
        <f>IF([7]Quarter!S50="","",[7]Quarter!S50)</f>
        <v/>
      </c>
      <c r="AL50" s="14">
        <f>IF(COUNT(C50,H50,M50,R50,W50,AB50,AG50)=0,"",SUM(C50,H50,M50,R50,W50,AB50,AG50))</f>
        <v/>
      </c>
      <c r="AM50" s="14">
        <f>IF(COUNT(D50,I50,N50,S50,X50,AC50,AH50)=0,"",SUM(D50,I50,N50,S50,X50,AC50,AH50))</f>
        <v/>
      </c>
      <c r="AN50" s="14">
        <f>IF(COUNT(E50,J50,O50,T50,Y50,AD50,AI50)=0,"",SUM(E50,J50,O50,T50,Y50,AD50,AI50))</f>
        <v/>
      </c>
      <c r="AO50" s="14">
        <f>IF(COUNT(F50,K50,P50,U50,Z50,AE50,AJ50)=0,"",SUM(F50,K50,P50,U50,Z50,AE50,AJ50))</f>
        <v/>
      </c>
      <c r="AP50" s="14">
        <f>IF(COUNT(G50,L50,Q50,V50,AA50,AF50,AK50)=0,"",SUM(G50,L50,Q50,V50,AA50,AF50,AK50))</f>
        <v/>
      </c>
      <c r="AQ50" s="4" t="inlineStr">
        <is>
          <t>Sum of divisions</t>
        </is>
      </c>
    </row>
    <row r="51" ht="18.75" customHeight="1">
      <c r="A51" s="3" t="n"/>
      <c r="B51" s="9" t="inlineStr">
        <is>
          <t>Technical (Hours)</t>
        </is>
      </c>
      <c r="C51" s="13">
        <f>IF([1]Quarter!F51="","",[1]Quarter!F51)</f>
        <v/>
      </c>
      <c r="D51" s="13">
        <f>IF([1]Quarter!J51="","",[1]Quarter!J51)</f>
        <v/>
      </c>
      <c r="E51" s="13">
        <f>IF([1]Quarter!N51="","",[1]Quarter!N51)</f>
        <v/>
      </c>
      <c r="F51" s="13">
        <f>IF([1]Quarter!R51="","",[1]Quarter!R51)</f>
        <v/>
      </c>
      <c r="G51" s="13">
        <f>IF([1]Quarter!S51="","",[1]Quarter!S51)</f>
        <v/>
      </c>
      <c r="H51" s="13">
        <f>IF([2]Quarter!F51="","",[2]Quarter!F51)</f>
        <v/>
      </c>
      <c r="I51" s="13">
        <f>IF([2]Quarter!J51="","",[2]Quarter!J51)</f>
        <v/>
      </c>
      <c r="J51" s="13">
        <f>IF([2]Quarter!N51="","",[2]Quarter!N51)</f>
        <v/>
      </c>
      <c r="K51" s="13">
        <f>IF([2]Quarter!R51="","",[2]Quarter!R51)</f>
        <v/>
      </c>
      <c r="L51" s="13">
        <f>IF([2]Quarter!S51="","",[2]Quarter!S51)</f>
        <v/>
      </c>
      <c r="M51" s="13">
        <f>IF([3]Quarter!F51="","",[3]Quarter!F51)</f>
        <v/>
      </c>
      <c r="N51" s="13">
        <f>IF([3]Quarter!J51="","",[3]Quarter!J51)</f>
        <v/>
      </c>
      <c r="O51" s="13">
        <f>IF([3]Quarter!N51="","",[3]Quarter!N51)</f>
        <v/>
      </c>
      <c r="P51" s="13">
        <f>IF([3]Quarter!R51="","",[3]Quarter!R51)</f>
        <v/>
      </c>
      <c r="Q51" s="13">
        <f>IF([3]Quarter!S51="","",[3]Quarter!S51)</f>
        <v/>
      </c>
      <c r="R51" s="13">
        <f>IF([4]Quarter!F51="","",[4]Quarter!F51)</f>
        <v/>
      </c>
      <c r="S51" s="13">
        <f>IF([4]Quarter!J51="","",[4]Quarter!J51)</f>
        <v/>
      </c>
      <c r="T51" s="13">
        <f>IF([4]Quarter!N51="","",[4]Quarter!N51)</f>
        <v/>
      </c>
      <c r="U51" s="13">
        <f>IF([4]Quarter!R51="","",[4]Quarter!R51)</f>
        <v/>
      </c>
      <c r="V51" s="13">
        <f>IF([4]Quarter!S51="","",[4]Quarter!S51)</f>
        <v/>
      </c>
      <c r="W51" s="13">
        <f>IF([5]Quarter!F51="","",[5]Quarter!F51)</f>
        <v/>
      </c>
      <c r="X51" s="13">
        <f>IF([5]Quarter!J51="","",[5]Quarter!J51)</f>
        <v/>
      </c>
      <c r="Y51" s="13">
        <f>IF([5]Quarter!N51="","",[5]Quarter!N51)</f>
        <v/>
      </c>
      <c r="Z51" s="13">
        <f>IF([5]Quarter!R51="","",[5]Quarter!R51)</f>
        <v/>
      </c>
      <c r="AA51" s="13">
        <f>IF([5]Quarter!S51="","",[5]Quarter!S51)</f>
        <v/>
      </c>
      <c r="AB51" s="13">
        <f>IF([6]Quarter!F51="","",[6]Quarter!F51)</f>
        <v/>
      </c>
      <c r="AC51" s="13">
        <f>IF([6]Quarter!J51="","",[6]Quarter!J51)</f>
        <v/>
      </c>
      <c r="AD51" s="13">
        <f>IF([6]Quarter!N51="","",[6]Quarter!N51)</f>
        <v/>
      </c>
      <c r="AE51" s="13">
        <f>IF([6]Quarter!R51="","",[6]Quarter!R51)</f>
        <v/>
      </c>
      <c r="AF51" s="13">
        <f>IF([6]Quarter!S51="","",[6]Quarter!S51)</f>
        <v/>
      </c>
      <c r="AG51" s="13">
        <f>IF([7]Quarter!F51="","",[7]Quarter!F51)</f>
        <v/>
      </c>
      <c r="AH51" s="13">
        <f>IF([7]Quarter!J51="","",[7]Quarter!J51)</f>
        <v/>
      </c>
      <c r="AI51" s="13">
        <f>IF([7]Quarter!N51="","",[7]Quarter!N51)</f>
        <v/>
      </c>
      <c r="AJ51" s="13">
        <f>IF([7]Quarter!R51="","",[7]Quarter!R51)</f>
        <v/>
      </c>
      <c r="AK51" s="13">
        <f>IF([7]Quarter!S51="","",[7]Quarter!S51)</f>
        <v/>
      </c>
      <c r="AL51" s="14">
        <f>IF(COUNT(C51,H51,M51,R51,W51,AB51,AG51)=0,"",SUM(C51,H51,M51,R51,W51,AB51,AG51))</f>
        <v/>
      </c>
      <c r="AM51" s="14">
        <f>IF(COUNT(D51,I51,N51,S51,X51,AC51,AH51)=0,"",SUM(D51,I51,N51,S51,X51,AC51,AH51))</f>
        <v/>
      </c>
      <c r="AN51" s="14">
        <f>IF(COUNT(E51,J51,O51,T51,Y51,AD51,AI51)=0,"",SUM(E51,J51,O51,T51,Y51,AD51,AI51))</f>
        <v/>
      </c>
      <c r="AO51" s="14">
        <f>IF(COUNT(F51,K51,P51,U51,Z51,AE51,AJ51)=0,"",SUM(F51,K51,P51,U51,Z51,AE51,AJ51))</f>
        <v/>
      </c>
      <c r="AP51" s="14">
        <f>IF(COUNT(G51,L51,Q51,V51,AA51,AF51,AK51)=0,"",SUM(G51,L51,Q51,V51,AA51,AF51,AK51))</f>
        <v/>
      </c>
      <c r="AQ51" s="4" t="inlineStr">
        <is>
          <t>Sum of divisions</t>
        </is>
      </c>
    </row>
    <row r="52" ht="18.75" customHeight="1">
      <c r="A52" s="3" t="n"/>
      <c r="B52" s="9" t="inlineStr">
        <is>
          <t>Professional Develop. (Hours)</t>
        </is>
      </c>
      <c r="C52" s="13">
        <f>IF([1]Quarter!F52="","",[1]Quarter!F52)</f>
        <v/>
      </c>
      <c r="D52" s="13">
        <f>IF([1]Quarter!J52="","",[1]Quarter!J52)</f>
        <v/>
      </c>
      <c r="E52" s="13">
        <f>IF([1]Quarter!N52="","",[1]Quarter!N52)</f>
        <v/>
      </c>
      <c r="F52" s="13">
        <f>IF([1]Quarter!R52="","",[1]Quarter!R52)</f>
        <v/>
      </c>
      <c r="G52" s="13">
        <f>IF([1]Quarter!S52="","",[1]Quarter!S52)</f>
        <v/>
      </c>
      <c r="H52" s="13">
        <f>IF([2]Quarter!F52="","",[2]Quarter!F52)</f>
        <v/>
      </c>
      <c r="I52" s="13">
        <f>IF([2]Quarter!J52="","",[2]Quarter!J52)</f>
        <v/>
      </c>
      <c r="J52" s="13">
        <f>IF([2]Quarter!N52="","",[2]Quarter!N52)</f>
        <v/>
      </c>
      <c r="K52" s="13">
        <f>IF([2]Quarter!R52="","",[2]Quarter!R52)</f>
        <v/>
      </c>
      <c r="L52" s="13">
        <f>IF([2]Quarter!S52="","",[2]Quarter!S52)</f>
        <v/>
      </c>
      <c r="M52" s="13">
        <f>IF([3]Quarter!F52="","",[3]Quarter!F52)</f>
        <v/>
      </c>
      <c r="N52" s="13">
        <f>IF([3]Quarter!J52="","",[3]Quarter!J52)</f>
        <v/>
      </c>
      <c r="O52" s="13">
        <f>IF([3]Quarter!N52="","",[3]Quarter!N52)</f>
        <v/>
      </c>
      <c r="P52" s="13">
        <f>IF([3]Quarter!R52="","",[3]Quarter!R52)</f>
        <v/>
      </c>
      <c r="Q52" s="13">
        <f>IF([3]Quarter!S52="","",[3]Quarter!S52)</f>
        <v/>
      </c>
      <c r="R52" s="13">
        <f>IF([4]Quarter!F52="","",[4]Quarter!F52)</f>
        <v/>
      </c>
      <c r="S52" s="13">
        <f>IF([4]Quarter!J52="","",[4]Quarter!J52)</f>
        <v/>
      </c>
      <c r="T52" s="13">
        <f>IF([4]Quarter!N52="","",[4]Quarter!N52)</f>
        <v/>
      </c>
      <c r="U52" s="13">
        <f>IF([4]Quarter!R52="","",[4]Quarter!R52)</f>
        <v/>
      </c>
      <c r="V52" s="13">
        <f>IF([4]Quarter!S52="","",[4]Quarter!S52)</f>
        <v/>
      </c>
      <c r="W52" s="13">
        <f>IF([5]Quarter!F52="","",[5]Quarter!F52)</f>
        <v/>
      </c>
      <c r="X52" s="13">
        <f>IF([5]Quarter!J52="","",[5]Quarter!J52)</f>
        <v/>
      </c>
      <c r="Y52" s="13">
        <f>IF([5]Quarter!N52="","",[5]Quarter!N52)</f>
        <v/>
      </c>
      <c r="Z52" s="13">
        <f>IF([5]Quarter!R52="","",[5]Quarter!R52)</f>
        <v/>
      </c>
      <c r="AA52" s="13">
        <f>IF([5]Quarter!S52="","",[5]Quarter!S52)</f>
        <v/>
      </c>
      <c r="AB52" s="13">
        <f>IF([6]Quarter!F52="","",[6]Quarter!F52)</f>
        <v/>
      </c>
      <c r="AC52" s="13">
        <f>IF([6]Quarter!J52="","",[6]Quarter!J52)</f>
        <v/>
      </c>
      <c r="AD52" s="13">
        <f>IF([6]Quarter!N52="","",[6]Quarter!N52)</f>
        <v/>
      </c>
      <c r="AE52" s="13">
        <f>IF([6]Quarter!R52="","",[6]Quarter!R52)</f>
        <v/>
      </c>
      <c r="AF52" s="13">
        <f>IF([6]Quarter!S52="","",[6]Quarter!S52)</f>
        <v/>
      </c>
      <c r="AG52" s="13">
        <f>IF([7]Quarter!F52="","",[7]Quarter!F52)</f>
        <v/>
      </c>
      <c r="AH52" s="13">
        <f>IF([7]Quarter!J52="","",[7]Quarter!J52)</f>
        <v/>
      </c>
      <c r="AI52" s="13">
        <f>IF([7]Quarter!N52="","",[7]Quarter!N52)</f>
        <v/>
      </c>
      <c r="AJ52" s="13">
        <f>IF([7]Quarter!R52="","",[7]Quarter!R52)</f>
        <v/>
      </c>
      <c r="AK52" s="13">
        <f>IF([7]Quarter!S52="","",[7]Quarter!S52)</f>
        <v/>
      </c>
      <c r="AL52" s="14">
        <f>IF(COUNT(C52,H52,M52,R52,W52,AB52,AG52)=0,"",SUM(C52,H52,M52,R52,W52,AB52,AG52))</f>
        <v/>
      </c>
      <c r="AM52" s="14">
        <f>IF(COUNT(D52,I52,N52,S52,X52,AC52,AH52)=0,"",SUM(D52,I52,N52,S52,X52,AC52,AH52))</f>
        <v/>
      </c>
      <c r="AN52" s="14">
        <f>IF(COUNT(E52,J52,O52,T52,Y52,AD52,AI52)=0,"",SUM(E52,J52,O52,T52,Y52,AD52,AI52))</f>
        <v/>
      </c>
      <c r="AO52" s="14">
        <f>IF(COUNT(F52,K52,P52,U52,Z52,AE52,AJ52)=0,"",SUM(F52,K52,P52,U52,Z52,AE52,AJ52))</f>
        <v/>
      </c>
      <c r="AP52" s="14">
        <f>IF(COUNT(G52,L52,Q52,V52,AA52,AF52,AK52)=0,"",SUM(G52,L52,Q52,V52,AA52,AF52,AK52))</f>
        <v/>
      </c>
      <c r="AQ52" s="4" t="inlineStr">
        <is>
          <t>Sum of divisions</t>
        </is>
      </c>
    </row>
    <row r="53" ht="18.75" customHeight="1">
      <c r="A53" s="3" t="n"/>
      <c r="B53" s="9" t="inlineStr">
        <is>
          <t>HSSE (Hours)</t>
        </is>
      </c>
      <c r="C53" s="13">
        <f>IF([1]Quarter!F53="","",[1]Quarter!F53)</f>
        <v/>
      </c>
      <c r="D53" s="13">
        <f>IF([1]Quarter!J53="","",[1]Quarter!J53)</f>
        <v/>
      </c>
      <c r="E53" s="13">
        <f>IF([1]Quarter!N53="","",[1]Quarter!N53)</f>
        <v/>
      </c>
      <c r="F53" s="13">
        <f>IF([1]Quarter!R53="","",[1]Quarter!R53)</f>
        <v/>
      </c>
      <c r="G53" s="13">
        <f>IF([1]Quarter!S53="","",[1]Quarter!S53)</f>
        <v/>
      </c>
      <c r="H53" s="13">
        <f>IF([2]Quarter!F53="","",[2]Quarter!F53)</f>
        <v/>
      </c>
      <c r="I53" s="13">
        <f>IF([2]Quarter!J53="","",[2]Quarter!J53)</f>
        <v/>
      </c>
      <c r="J53" s="13">
        <f>IF([2]Quarter!N53="","",[2]Quarter!N53)</f>
        <v/>
      </c>
      <c r="K53" s="13">
        <f>IF([2]Quarter!R53="","",[2]Quarter!R53)</f>
        <v/>
      </c>
      <c r="L53" s="13">
        <f>IF([2]Quarter!S53="","",[2]Quarter!S53)</f>
        <v/>
      </c>
      <c r="M53" s="13">
        <f>IF([3]Quarter!F53="","",[3]Quarter!F53)</f>
        <v/>
      </c>
      <c r="N53" s="13">
        <f>IF([3]Quarter!J53="","",[3]Quarter!J53)</f>
        <v/>
      </c>
      <c r="O53" s="13">
        <f>IF([3]Quarter!N53="","",[3]Quarter!N53)</f>
        <v/>
      </c>
      <c r="P53" s="13">
        <f>IF([3]Quarter!R53="","",[3]Quarter!R53)</f>
        <v/>
      </c>
      <c r="Q53" s="13">
        <f>IF([3]Quarter!S53="","",[3]Quarter!S53)</f>
        <v/>
      </c>
      <c r="R53" s="13">
        <f>IF([4]Quarter!F53="","",[4]Quarter!F53)</f>
        <v/>
      </c>
      <c r="S53" s="13">
        <f>IF([4]Quarter!J53="","",[4]Quarter!J53)</f>
        <v/>
      </c>
      <c r="T53" s="13">
        <f>IF([4]Quarter!N53="","",[4]Quarter!N53)</f>
        <v/>
      </c>
      <c r="U53" s="13">
        <f>IF([4]Quarter!R53="","",[4]Quarter!R53)</f>
        <v/>
      </c>
      <c r="V53" s="13">
        <f>IF([4]Quarter!S53="","",[4]Quarter!S53)</f>
        <v/>
      </c>
      <c r="W53" s="13">
        <f>IF([5]Quarter!F53="","",[5]Quarter!F53)</f>
        <v/>
      </c>
      <c r="X53" s="13">
        <f>IF([5]Quarter!J53="","",[5]Quarter!J53)</f>
        <v/>
      </c>
      <c r="Y53" s="13">
        <f>IF([5]Quarter!N53="","",[5]Quarter!N53)</f>
        <v/>
      </c>
      <c r="Z53" s="13">
        <f>IF([5]Quarter!R53="","",[5]Quarter!R53)</f>
        <v/>
      </c>
      <c r="AA53" s="13">
        <f>IF([5]Quarter!S53="","",[5]Quarter!S53)</f>
        <v/>
      </c>
      <c r="AB53" s="13">
        <f>IF([6]Quarter!F53="","",[6]Quarter!F53)</f>
        <v/>
      </c>
      <c r="AC53" s="13">
        <f>IF([6]Quarter!J53="","",[6]Quarter!J53)</f>
        <v/>
      </c>
      <c r="AD53" s="13">
        <f>IF([6]Quarter!N53="","",[6]Quarter!N53)</f>
        <v/>
      </c>
      <c r="AE53" s="13">
        <f>IF([6]Quarter!R53="","",[6]Quarter!R53)</f>
        <v/>
      </c>
      <c r="AF53" s="13">
        <f>IF([6]Quarter!S53="","",[6]Quarter!S53)</f>
        <v/>
      </c>
      <c r="AG53" s="13">
        <f>IF([7]Quarter!F53="","",[7]Quarter!F53)</f>
        <v/>
      </c>
      <c r="AH53" s="13">
        <f>IF([7]Quarter!J53="","",[7]Quarter!J53)</f>
        <v/>
      </c>
      <c r="AI53" s="13">
        <f>IF([7]Quarter!N53="","",[7]Quarter!N53)</f>
        <v/>
      </c>
      <c r="AJ53" s="13">
        <f>IF([7]Quarter!R53="","",[7]Quarter!R53)</f>
        <v/>
      </c>
      <c r="AK53" s="13">
        <f>IF([7]Quarter!S53="","",[7]Quarter!S53)</f>
        <v/>
      </c>
      <c r="AL53" s="14">
        <f>IF(COUNT(C53,H53,M53,R53,W53,AB53,AG53)=0,"",SUM(C53,H53,M53,R53,W53,AB53,AG53))</f>
        <v/>
      </c>
      <c r="AM53" s="14">
        <f>IF(COUNT(D53,I53,N53,S53,X53,AC53,AH53)=0,"",SUM(D53,I53,N53,S53,X53,AC53,AH53))</f>
        <v/>
      </c>
      <c r="AN53" s="14">
        <f>IF(COUNT(E53,J53,O53,T53,Y53,AD53,AI53)=0,"",SUM(E53,J53,O53,T53,Y53,AD53,AI53))</f>
        <v/>
      </c>
      <c r="AO53" s="14">
        <f>IF(COUNT(F53,K53,P53,U53,Z53,AE53,AJ53)=0,"",SUM(F53,K53,P53,U53,Z53,AE53,AJ53))</f>
        <v/>
      </c>
      <c r="AP53" s="14">
        <f>IF(COUNT(G53,L53,Q53,V53,AA53,AF53,AK53)=0,"",SUM(G53,L53,Q53,V53,AA53,AF53,AK53))</f>
        <v/>
      </c>
      <c r="AQ53" s="4" t="inlineStr">
        <is>
          <t>Sum of divisions</t>
        </is>
      </c>
    </row>
    <row r="54" ht="18.75" customHeight="1">
      <c r="A54" s="3" t="n"/>
      <c r="B54" s="9" t="inlineStr">
        <is>
          <t>Workday (Hours)</t>
        </is>
      </c>
      <c r="C54" s="13">
        <f>IF([1]Quarter!F54="","",[1]Quarter!F54)</f>
        <v/>
      </c>
      <c r="D54" s="13">
        <f>IF([1]Quarter!J54="","",[1]Quarter!J54)</f>
        <v/>
      </c>
      <c r="E54" s="13">
        <f>IF([1]Quarter!N54="","",[1]Quarter!N54)</f>
        <v/>
      </c>
      <c r="F54" s="13">
        <f>IF([1]Quarter!R54="","",[1]Quarter!R54)</f>
        <v/>
      </c>
      <c r="G54" s="13">
        <f>IF([1]Quarter!S54="","",[1]Quarter!S54)</f>
        <v/>
      </c>
      <c r="H54" s="13">
        <f>IF([2]Quarter!F54="","",[2]Quarter!F54)</f>
        <v/>
      </c>
      <c r="I54" s="13">
        <f>IF([2]Quarter!J54="","",[2]Quarter!J54)</f>
        <v/>
      </c>
      <c r="J54" s="13">
        <f>IF([2]Quarter!N54="","",[2]Quarter!N54)</f>
        <v/>
      </c>
      <c r="K54" s="13">
        <f>IF([2]Quarter!R54="","",[2]Quarter!R54)</f>
        <v/>
      </c>
      <c r="L54" s="13">
        <f>IF([2]Quarter!S54="","",[2]Quarter!S54)</f>
        <v/>
      </c>
      <c r="M54" s="13">
        <f>IF([3]Quarter!F54="","",[3]Quarter!F54)</f>
        <v/>
      </c>
      <c r="N54" s="13">
        <f>IF([3]Quarter!J54="","",[3]Quarter!J54)</f>
        <v/>
      </c>
      <c r="O54" s="13">
        <f>IF([3]Quarter!N54="","",[3]Quarter!N54)</f>
        <v/>
      </c>
      <c r="P54" s="13">
        <f>IF([3]Quarter!R54="","",[3]Quarter!R54)</f>
        <v/>
      </c>
      <c r="Q54" s="13">
        <f>IF([3]Quarter!S54="","",[3]Quarter!S54)</f>
        <v/>
      </c>
      <c r="R54" s="13">
        <f>IF([4]Quarter!F54="","",[4]Quarter!F54)</f>
        <v/>
      </c>
      <c r="S54" s="13">
        <f>IF([4]Quarter!J54="","",[4]Quarter!J54)</f>
        <v/>
      </c>
      <c r="T54" s="13">
        <f>IF([4]Quarter!N54="","",[4]Quarter!N54)</f>
        <v/>
      </c>
      <c r="U54" s="13">
        <f>IF([4]Quarter!R54="","",[4]Quarter!R54)</f>
        <v/>
      </c>
      <c r="V54" s="13">
        <f>IF([4]Quarter!S54="","",[4]Quarter!S54)</f>
        <v/>
      </c>
      <c r="W54" s="13">
        <f>IF([5]Quarter!F54="","",[5]Quarter!F54)</f>
        <v/>
      </c>
      <c r="X54" s="13">
        <f>IF([5]Quarter!J54="","",[5]Quarter!J54)</f>
        <v/>
      </c>
      <c r="Y54" s="13">
        <f>IF([5]Quarter!N54="","",[5]Quarter!N54)</f>
        <v/>
      </c>
      <c r="Z54" s="13">
        <f>IF([5]Quarter!R54="","",[5]Quarter!R54)</f>
        <v/>
      </c>
      <c r="AA54" s="13">
        <f>IF([5]Quarter!S54="","",[5]Quarter!S54)</f>
        <v/>
      </c>
      <c r="AB54" s="13">
        <f>IF([6]Quarter!F54="","",[6]Quarter!F54)</f>
        <v/>
      </c>
      <c r="AC54" s="13">
        <f>IF([6]Quarter!J54="","",[6]Quarter!J54)</f>
        <v/>
      </c>
      <c r="AD54" s="13">
        <f>IF([6]Quarter!N54="","",[6]Quarter!N54)</f>
        <v/>
      </c>
      <c r="AE54" s="13">
        <f>IF([6]Quarter!R54="","",[6]Quarter!R54)</f>
        <v/>
      </c>
      <c r="AF54" s="13">
        <f>IF([6]Quarter!S54="","",[6]Quarter!S54)</f>
        <v/>
      </c>
      <c r="AG54" s="13">
        <f>IF([7]Quarter!F54="","",[7]Quarter!F54)</f>
        <v/>
      </c>
      <c r="AH54" s="13">
        <f>IF([7]Quarter!J54="","",[7]Quarter!J54)</f>
        <v/>
      </c>
      <c r="AI54" s="13">
        <f>IF([7]Quarter!N54="","",[7]Quarter!N54)</f>
        <v/>
      </c>
      <c r="AJ54" s="13">
        <f>IF([7]Quarter!R54="","",[7]Quarter!R54)</f>
        <v/>
      </c>
      <c r="AK54" s="13">
        <f>IF([7]Quarter!S54="","",[7]Quarter!S54)</f>
        <v/>
      </c>
      <c r="AL54" s="14">
        <f>IF(COUNT(C54,H54,M54,R54,W54,AB54,AG54)=0,"",SUM(C54,H54,M54,R54,W54,AB54,AG54))</f>
        <v/>
      </c>
      <c r="AM54" s="14">
        <f>IF(COUNT(D54,I54,N54,S54,X54,AC54,AH54)=0,"",SUM(D54,I54,N54,S54,X54,AC54,AH54))</f>
        <v/>
      </c>
      <c r="AN54" s="14">
        <f>IF(COUNT(E54,J54,O54,T54,Y54,AD54,AI54)=0,"",SUM(E54,J54,O54,T54,Y54,AD54,AI54))</f>
        <v/>
      </c>
      <c r="AO54" s="14">
        <f>IF(COUNT(F54,K54,P54,U54,Z54,AE54,AJ54)=0,"",SUM(F54,K54,P54,U54,Z54,AE54,AJ54))</f>
        <v/>
      </c>
      <c r="AP54" s="14">
        <f>IF(COUNT(G54,L54,Q54,V54,AA54,AF54,AK54)=0,"",SUM(G54,L54,Q54,V54,AA54,AF54,AK54))</f>
        <v/>
      </c>
      <c r="AQ54" s="4" t="inlineStr">
        <is>
          <t>Sum of divisions</t>
        </is>
      </c>
    </row>
    <row r="55" ht="18.75" customHeight="1">
      <c r="A55" s="3" t="n"/>
      <c r="B55" s="12" t="inlineStr">
        <is>
          <t>Total Training Hours</t>
        </is>
      </c>
      <c r="C55" s="13">
        <f>IF([1]Quarter!F55="","",[1]Quarter!F55)</f>
        <v/>
      </c>
      <c r="D55" s="13">
        <f>IF([1]Quarter!J55="","",[1]Quarter!J55)</f>
        <v/>
      </c>
      <c r="E55" s="13">
        <f>IF([1]Quarter!N55="","",[1]Quarter!N55)</f>
        <v/>
      </c>
      <c r="F55" s="13">
        <f>IF([1]Quarter!R55="","",[1]Quarter!R55)</f>
        <v/>
      </c>
      <c r="G55" s="13">
        <f>IF([1]Quarter!S55="","",[1]Quarter!S55)</f>
        <v/>
      </c>
      <c r="H55" s="13">
        <f>IF([2]Quarter!F55="","",[2]Quarter!F55)</f>
        <v/>
      </c>
      <c r="I55" s="13">
        <f>IF([2]Quarter!J55="","",[2]Quarter!J55)</f>
        <v/>
      </c>
      <c r="J55" s="13">
        <f>IF([2]Quarter!N55="","",[2]Quarter!N55)</f>
        <v/>
      </c>
      <c r="K55" s="13">
        <f>IF([2]Quarter!R55="","",[2]Quarter!R55)</f>
        <v/>
      </c>
      <c r="L55" s="13">
        <f>IF([2]Quarter!S55="","",[2]Quarter!S55)</f>
        <v/>
      </c>
      <c r="M55" s="13">
        <f>IF([3]Quarter!F55="","",[3]Quarter!F55)</f>
        <v/>
      </c>
      <c r="N55" s="13">
        <f>IF([3]Quarter!J55="","",[3]Quarter!J55)</f>
        <v/>
      </c>
      <c r="O55" s="13">
        <f>IF([3]Quarter!N55="","",[3]Quarter!N55)</f>
        <v/>
      </c>
      <c r="P55" s="13">
        <f>IF([3]Quarter!R55="","",[3]Quarter!R55)</f>
        <v/>
      </c>
      <c r="Q55" s="13">
        <f>IF([3]Quarter!S55="","",[3]Quarter!S55)</f>
        <v/>
      </c>
      <c r="R55" s="13">
        <f>IF([4]Quarter!F55="","",[4]Quarter!F55)</f>
        <v/>
      </c>
      <c r="S55" s="13">
        <f>IF([4]Quarter!J55="","",[4]Quarter!J55)</f>
        <v/>
      </c>
      <c r="T55" s="13">
        <f>IF([4]Quarter!N55="","",[4]Quarter!N55)</f>
        <v/>
      </c>
      <c r="U55" s="13">
        <f>IF([4]Quarter!R55="","",[4]Quarter!R55)</f>
        <v/>
      </c>
      <c r="V55" s="13">
        <f>IF([4]Quarter!S55="","",[4]Quarter!S55)</f>
        <v/>
      </c>
      <c r="W55" s="13">
        <f>IF([5]Quarter!F55="","",[5]Quarter!F55)</f>
        <v/>
      </c>
      <c r="X55" s="13">
        <f>IF([5]Quarter!J55="","",[5]Quarter!J55)</f>
        <v/>
      </c>
      <c r="Y55" s="13">
        <f>IF([5]Quarter!N55="","",[5]Quarter!N55)</f>
        <v/>
      </c>
      <c r="Z55" s="13">
        <f>IF([5]Quarter!R55="","",[5]Quarter!R55)</f>
        <v/>
      </c>
      <c r="AA55" s="13">
        <f>IF([5]Quarter!S55="","",[5]Quarter!S55)</f>
        <v/>
      </c>
      <c r="AB55" s="13">
        <f>IF([6]Quarter!F55="","",[6]Quarter!F55)</f>
        <v/>
      </c>
      <c r="AC55" s="13">
        <f>IF([6]Quarter!J55="","",[6]Quarter!J55)</f>
        <v/>
      </c>
      <c r="AD55" s="13">
        <f>IF([6]Quarter!N55="","",[6]Quarter!N55)</f>
        <v/>
      </c>
      <c r="AE55" s="13">
        <f>IF([6]Quarter!R55="","",[6]Quarter!R55)</f>
        <v/>
      </c>
      <c r="AF55" s="13">
        <f>IF([6]Quarter!S55="","",[6]Quarter!S55)</f>
        <v/>
      </c>
      <c r="AG55" s="13">
        <f>IF([7]Quarter!F55="","",[7]Quarter!F55)</f>
        <v/>
      </c>
      <c r="AH55" s="13">
        <f>IF([7]Quarter!J55="","",[7]Quarter!J55)</f>
        <v/>
      </c>
      <c r="AI55" s="13">
        <f>IF([7]Quarter!N55="","",[7]Quarter!N55)</f>
        <v/>
      </c>
      <c r="AJ55" s="13">
        <f>IF([7]Quarter!R55="","",[7]Quarter!R55)</f>
        <v/>
      </c>
      <c r="AK55" s="13">
        <f>IF([7]Quarter!S55="","",[7]Quarter!S55)</f>
        <v/>
      </c>
      <c r="AL55" s="14">
        <f>IF(COUNT(AL50:AL54)=0,"",SUM(AL50:AL54))</f>
        <v/>
      </c>
      <c r="AM55" s="14">
        <f>IF(COUNT(AM50:AM54)=0,"",SUM(AM50:AM54))</f>
        <v/>
      </c>
      <c r="AN55" s="14">
        <f>IF(COUNT(AN50:AN54)=0,"",SUM(AN50:AN54))</f>
        <v/>
      </c>
      <c r="AO55" s="14">
        <f>IF(COUNT(AO50:AO54)=0,"",SUM(AO50:AO54))</f>
        <v/>
      </c>
      <c r="AP55" s="14">
        <f>IF(COUNT(AP50:AP54)=0,"",SUM(AP50:AP54))</f>
        <v/>
      </c>
      <c r="AQ55" s="4" t="inlineStr">
        <is>
          <t>Recalculated</t>
        </is>
      </c>
    </row>
    <row r="56" ht="18.75" customHeight="1">
      <c r="A56" s="3" t="n"/>
      <c r="B56" s="9" t="inlineStr">
        <is>
          <t>Total Trained (Staff)</t>
        </is>
      </c>
      <c r="C56" s="13">
        <f>IF([1]Quarter!F56="","",[1]Quarter!F56)</f>
        <v/>
      </c>
      <c r="D56" s="13">
        <f>IF([1]Quarter!J56="","",[1]Quarter!J56)</f>
        <v/>
      </c>
      <c r="E56" s="13">
        <f>IF([1]Quarter!N56="","",[1]Quarter!N56)</f>
        <v/>
      </c>
      <c r="F56" s="13">
        <f>IF([1]Quarter!R56="","",[1]Quarter!R56)</f>
        <v/>
      </c>
      <c r="G56" s="13">
        <f>IF([1]Quarter!S56="","",[1]Quarter!S56)</f>
        <v/>
      </c>
      <c r="H56" s="13">
        <f>IF([2]Quarter!F56="","",[2]Quarter!F56)</f>
        <v/>
      </c>
      <c r="I56" s="13">
        <f>IF([2]Quarter!J56="","",[2]Quarter!J56)</f>
        <v/>
      </c>
      <c r="J56" s="13">
        <f>IF([2]Quarter!N56="","",[2]Quarter!N56)</f>
        <v/>
      </c>
      <c r="K56" s="13">
        <f>IF([2]Quarter!R56="","",[2]Quarter!R56)</f>
        <v/>
      </c>
      <c r="L56" s="13">
        <f>IF([2]Quarter!S56="","",[2]Quarter!S56)</f>
        <v/>
      </c>
      <c r="M56" s="13">
        <f>IF([3]Quarter!F56="","",[3]Quarter!F56)</f>
        <v/>
      </c>
      <c r="N56" s="13">
        <f>IF([3]Quarter!J56="","",[3]Quarter!J56)</f>
        <v/>
      </c>
      <c r="O56" s="13">
        <f>IF([3]Quarter!N56="","",[3]Quarter!N56)</f>
        <v/>
      </c>
      <c r="P56" s="13">
        <f>IF([3]Quarter!R56="","",[3]Quarter!R56)</f>
        <v/>
      </c>
      <c r="Q56" s="13">
        <f>IF([3]Quarter!S56="","",[3]Quarter!S56)</f>
        <v/>
      </c>
      <c r="R56" s="13">
        <f>IF([4]Quarter!F56="","",[4]Quarter!F56)</f>
        <v/>
      </c>
      <c r="S56" s="13">
        <f>IF([4]Quarter!J56="","",[4]Quarter!J56)</f>
        <v/>
      </c>
      <c r="T56" s="13">
        <f>IF([4]Quarter!N56="","",[4]Quarter!N56)</f>
        <v/>
      </c>
      <c r="U56" s="13">
        <f>IF([4]Quarter!R56="","",[4]Quarter!R56)</f>
        <v/>
      </c>
      <c r="V56" s="13">
        <f>IF([4]Quarter!S56="","",[4]Quarter!S56)</f>
        <v/>
      </c>
      <c r="W56" s="13">
        <f>IF([5]Quarter!F56="","",[5]Quarter!F56)</f>
        <v/>
      </c>
      <c r="X56" s="13">
        <f>IF([5]Quarter!J56="","",[5]Quarter!J56)</f>
        <v/>
      </c>
      <c r="Y56" s="13">
        <f>IF([5]Quarter!N56="","",[5]Quarter!N56)</f>
        <v/>
      </c>
      <c r="Z56" s="13">
        <f>IF([5]Quarter!R56="","",[5]Quarter!R56)</f>
        <v/>
      </c>
      <c r="AA56" s="13">
        <f>IF([5]Quarter!S56="","",[5]Quarter!S56)</f>
        <v/>
      </c>
      <c r="AB56" s="13">
        <f>IF([6]Quarter!F56="","",[6]Quarter!F56)</f>
        <v/>
      </c>
      <c r="AC56" s="13">
        <f>IF([6]Quarter!J56="","",[6]Quarter!J56)</f>
        <v/>
      </c>
      <c r="AD56" s="13">
        <f>IF([6]Quarter!N56="","",[6]Quarter!N56)</f>
        <v/>
      </c>
      <c r="AE56" s="13">
        <f>IF([6]Quarter!R56="","",[6]Quarter!R56)</f>
        <v/>
      </c>
      <c r="AF56" s="13">
        <f>IF([6]Quarter!S56="","",[6]Quarter!S56)</f>
        <v/>
      </c>
      <c r="AG56" s="13">
        <f>IF([7]Quarter!F56="","",[7]Quarter!F56)</f>
        <v/>
      </c>
      <c r="AH56" s="13">
        <f>IF([7]Quarter!J56="","",[7]Quarter!J56)</f>
        <v/>
      </c>
      <c r="AI56" s="13">
        <f>IF([7]Quarter!N56="","",[7]Quarter!N56)</f>
        <v/>
      </c>
      <c r="AJ56" s="13">
        <f>IF([7]Quarter!R56="","",[7]Quarter!R56)</f>
        <v/>
      </c>
      <c r="AK56" s="13">
        <f>IF([7]Quarter!S56="","",[7]Quarter!S56)</f>
        <v/>
      </c>
      <c r="AL56" s="14">
        <f>IF(COUNT(C56,H56,M56,R56,W56,AB56,AG56)=0,"",SUM(C56,H56,M56,R56,W56,AB56,AG56))</f>
        <v/>
      </c>
      <c r="AM56" s="14">
        <f>IF(COUNT(D56,I56,N56,S56,X56,AC56,AH56)=0,"",SUM(D56,I56,N56,S56,X56,AC56,AH56))</f>
        <v/>
      </c>
      <c r="AN56" s="14">
        <f>IF(COUNT(E56,J56,O56,T56,Y56,AD56,AI56)=0,"",SUM(E56,J56,O56,T56,Y56,AD56,AI56))</f>
        <v/>
      </c>
      <c r="AO56" s="14">
        <f>IF(COUNT(F56,K56,P56,U56,Z56,AE56,AJ56)=0,"",SUM(F56,K56,P56,U56,Z56,AE56,AJ56))</f>
        <v/>
      </c>
      <c r="AP56" s="14">
        <f>IF(COUNT(G56,L56,Q56,V56,AA56,AF56,AK56)=0,"",SUM(G56,L56,Q56,V56,AA56,AF56,AK56))</f>
        <v/>
      </c>
      <c r="AQ56" s="4" t="inlineStr">
        <is>
          <t>Sum of divisions</t>
        </is>
      </c>
    </row>
    <row r="57" ht="18.75" customHeight="1">
      <c r="A57" s="3" t="n"/>
      <c r="B57" s="9" t="inlineStr">
        <is>
          <t>Training Programs (#)</t>
        </is>
      </c>
      <c r="C57" s="13">
        <f>IF([1]Quarter!F57="","",[1]Quarter!F57)</f>
        <v/>
      </c>
      <c r="D57" s="13">
        <f>IF([1]Quarter!J57="","",[1]Quarter!J57)</f>
        <v/>
      </c>
      <c r="E57" s="13">
        <f>IF([1]Quarter!N57="","",[1]Quarter!N57)</f>
        <v/>
      </c>
      <c r="F57" s="13">
        <f>IF([1]Quarter!R57="","",[1]Quarter!R57)</f>
        <v/>
      </c>
      <c r="G57" s="13">
        <f>IF([1]Quarter!S57="","",[1]Quarter!S57)</f>
        <v/>
      </c>
      <c r="H57" s="13">
        <f>IF([2]Quarter!F57="","",[2]Quarter!F57)</f>
        <v/>
      </c>
      <c r="I57" s="13">
        <f>IF([2]Quarter!J57="","",[2]Quarter!J57)</f>
        <v/>
      </c>
      <c r="J57" s="13">
        <f>IF([2]Quarter!N57="","",[2]Quarter!N57)</f>
        <v/>
      </c>
      <c r="K57" s="13">
        <f>IF([2]Quarter!R57="","",[2]Quarter!R57)</f>
        <v/>
      </c>
      <c r="L57" s="13">
        <f>IF([2]Quarter!S57="","",[2]Quarter!S57)</f>
        <v/>
      </c>
      <c r="M57" s="13">
        <f>IF([3]Quarter!F57="","",[3]Quarter!F57)</f>
        <v/>
      </c>
      <c r="N57" s="13">
        <f>IF([3]Quarter!J57="","",[3]Quarter!J57)</f>
        <v/>
      </c>
      <c r="O57" s="13">
        <f>IF([3]Quarter!N57="","",[3]Quarter!N57)</f>
        <v/>
      </c>
      <c r="P57" s="13">
        <f>IF([3]Quarter!R57="","",[3]Quarter!R57)</f>
        <v/>
      </c>
      <c r="Q57" s="13">
        <f>IF([3]Quarter!S57="","",[3]Quarter!S57)</f>
        <v/>
      </c>
      <c r="R57" s="13">
        <f>IF([4]Quarter!F57="","",[4]Quarter!F57)</f>
        <v/>
      </c>
      <c r="S57" s="13">
        <f>IF([4]Quarter!J57="","",[4]Quarter!J57)</f>
        <v/>
      </c>
      <c r="T57" s="13">
        <f>IF([4]Quarter!N57="","",[4]Quarter!N57)</f>
        <v/>
      </c>
      <c r="U57" s="13">
        <f>IF([4]Quarter!R57="","",[4]Quarter!R57)</f>
        <v/>
      </c>
      <c r="V57" s="13">
        <f>IF([4]Quarter!S57="","",[4]Quarter!S57)</f>
        <v/>
      </c>
      <c r="W57" s="13">
        <f>IF([5]Quarter!F57="","",[5]Quarter!F57)</f>
        <v/>
      </c>
      <c r="X57" s="13">
        <f>IF([5]Quarter!J57="","",[5]Quarter!J57)</f>
        <v/>
      </c>
      <c r="Y57" s="13">
        <f>IF([5]Quarter!N57="","",[5]Quarter!N57)</f>
        <v/>
      </c>
      <c r="Z57" s="13">
        <f>IF([5]Quarter!R57="","",[5]Quarter!R57)</f>
        <v/>
      </c>
      <c r="AA57" s="13">
        <f>IF([5]Quarter!S57="","",[5]Quarter!S57)</f>
        <v/>
      </c>
      <c r="AB57" s="13">
        <f>IF([6]Quarter!F57="","",[6]Quarter!F57)</f>
        <v/>
      </c>
      <c r="AC57" s="13">
        <f>IF([6]Quarter!J57="","",[6]Quarter!J57)</f>
        <v/>
      </c>
      <c r="AD57" s="13">
        <f>IF([6]Quarter!N57="","",[6]Quarter!N57)</f>
        <v/>
      </c>
      <c r="AE57" s="13">
        <f>IF([6]Quarter!R57="","",[6]Quarter!R57)</f>
        <v/>
      </c>
      <c r="AF57" s="13">
        <f>IF([6]Quarter!S57="","",[6]Quarter!S57)</f>
        <v/>
      </c>
      <c r="AG57" s="13">
        <f>IF([7]Quarter!F57="","",[7]Quarter!F57)</f>
        <v/>
      </c>
      <c r="AH57" s="13">
        <f>IF([7]Quarter!J57="","",[7]Quarter!J57)</f>
        <v/>
      </c>
      <c r="AI57" s="13">
        <f>IF([7]Quarter!N57="","",[7]Quarter!N57)</f>
        <v/>
      </c>
      <c r="AJ57" s="13">
        <f>IF([7]Quarter!R57="","",[7]Quarter!R57)</f>
        <v/>
      </c>
      <c r="AK57" s="13">
        <f>IF([7]Quarter!S57="","",[7]Quarter!S57)</f>
        <v/>
      </c>
      <c r="AL57" s="14">
        <f>IF(COUNT(C57,H57,M57,R57,W57,AB57,AG57)=0,"",SUM(C57,H57,M57,R57,W57,AB57,AG57))</f>
        <v/>
      </c>
      <c r="AM57" s="14">
        <f>IF(COUNT(D57,I57,N57,S57,X57,AC57,AH57)=0,"",SUM(D57,I57,N57,S57,X57,AC57,AH57))</f>
        <v/>
      </c>
      <c r="AN57" s="14">
        <f>IF(COUNT(E57,J57,O57,T57,Y57,AD57,AI57)=0,"",SUM(E57,J57,O57,T57,Y57,AD57,AI57))</f>
        <v/>
      </c>
      <c r="AO57" s="14">
        <f>IF(COUNT(F57,K57,P57,U57,Z57,AE57,AJ57)=0,"",SUM(F57,K57,P57,U57,Z57,AE57,AJ57))</f>
        <v/>
      </c>
      <c r="AP57" s="14">
        <f>IF(COUNT(G57,L57,Q57,V57,AA57,AF57,AK57)=0,"",SUM(G57,L57,Q57,V57,AA57,AF57,AK57))</f>
        <v/>
      </c>
      <c r="AQ57" s="4" t="inlineStr">
        <is>
          <t>Sum of divisions</t>
        </is>
      </c>
    </row>
    <row r="58" ht="18.75" customHeight="1">
      <c r="A58" s="3" t="n"/>
      <c r="B58" s="9" t="inlineStr">
        <is>
          <t>Training  Cost (USD)</t>
        </is>
      </c>
      <c r="C58" s="13">
        <f>IF([1]Quarter!F58="","",[1]Quarter!F58)</f>
        <v/>
      </c>
      <c r="D58" s="13">
        <f>IF([1]Quarter!J58="","",[1]Quarter!J58)</f>
        <v/>
      </c>
      <c r="E58" s="13">
        <f>IF([1]Quarter!N58="","",[1]Quarter!N58)</f>
        <v/>
      </c>
      <c r="F58" s="13">
        <f>IF([1]Quarter!R58="","",[1]Quarter!R58)</f>
        <v/>
      </c>
      <c r="G58" s="13">
        <f>IF([1]Quarter!S58="","",[1]Quarter!S58)</f>
        <v/>
      </c>
      <c r="H58" s="13">
        <f>IF([2]Quarter!F58="","",[2]Quarter!F58)</f>
        <v/>
      </c>
      <c r="I58" s="13">
        <f>IF([2]Quarter!J58="","",[2]Quarter!J58)</f>
        <v/>
      </c>
      <c r="J58" s="13">
        <f>IF([2]Quarter!N58="","",[2]Quarter!N58)</f>
        <v/>
      </c>
      <c r="K58" s="13">
        <f>IF([2]Quarter!R58="","",[2]Quarter!R58)</f>
        <v/>
      </c>
      <c r="L58" s="13">
        <f>IF([2]Quarter!S58="","",[2]Quarter!S58)</f>
        <v/>
      </c>
      <c r="M58" s="13">
        <f>IF([3]Quarter!F58="","",[3]Quarter!F58)</f>
        <v/>
      </c>
      <c r="N58" s="13">
        <f>IF([3]Quarter!J58="","",[3]Quarter!J58)</f>
        <v/>
      </c>
      <c r="O58" s="13">
        <f>IF([3]Quarter!N58="","",[3]Quarter!N58)</f>
        <v/>
      </c>
      <c r="P58" s="13">
        <f>IF([3]Quarter!R58="","",[3]Quarter!R58)</f>
        <v/>
      </c>
      <c r="Q58" s="13">
        <f>IF([3]Quarter!S58="","",[3]Quarter!S58)</f>
        <v/>
      </c>
      <c r="R58" s="13">
        <f>IF([4]Quarter!F58="","",[4]Quarter!F58)</f>
        <v/>
      </c>
      <c r="S58" s="13">
        <f>IF([4]Quarter!J58="","",[4]Quarter!J58)</f>
        <v/>
      </c>
      <c r="T58" s="13">
        <f>IF([4]Quarter!N58="","",[4]Quarter!N58)</f>
        <v/>
      </c>
      <c r="U58" s="13">
        <f>IF([4]Quarter!R58="","",[4]Quarter!R58)</f>
        <v/>
      </c>
      <c r="V58" s="13">
        <f>IF([4]Quarter!S58="","",[4]Quarter!S58)</f>
        <v/>
      </c>
      <c r="W58" s="13">
        <f>IF([5]Quarter!F58="","",[5]Quarter!F58)</f>
        <v/>
      </c>
      <c r="X58" s="13">
        <f>IF([5]Quarter!J58="","",[5]Quarter!J58)</f>
        <v/>
      </c>
      <c r="Y58" s="13">
        <f>IF([5]Quarter!N58="","",[5]Quarter!N58)</f>
        <v/>
      </c>
      <c r="Z58" s="13">
        <f>IF([5]Quarter!R58="","",[5]Quarter!R58)</f>
        <v/>
      </c>
      <c r="AA58" s="13">
        <f>IF([5]Quarter!S58="","",[5]Quarter!S58)</f>
        <v/>
      </c>
      <c r="AB58" s="13">
        <f>IF([6]Quarter!F58="","",[6]Quarter!F58)</f>
        <v/>
      </c>
      <c r="AC58" s="13">
        <f>IF([6]Quarter!J58="","",[6]Quarter!J58)</f>
        <v/>
      </c>
      <c r="AD58" s="13">
        <f>IF([6]Quarter!N58="","",[6]Quarter!N58)</f>
        <v/>
      </c>
      <c r="AE58" s="13">
        <f>IF([6]Quarter!R58="","",[6]Quarter!R58)</f>
        <v/>
      </c>
      <c r="AF58" s="13">
        <f>IF([6]Quarter!S58="","",[6]Quarter!S58)</f>
        <v/>
      </c>
      <c r="AG58" s="13">
        <f>IF([7]Quarter!F58="","",[7]Quarter!F58)</f>
        <v/>
      </c>
      <c r="AH58" s="13">
        <f>IF([7]Quarter!J58="","",[7]Quarter!J58)</f>
        <v/>
      </c>
      <c r="AI58" s="13">
        <f>IF([7]Quarter!N58="","",[7]Quarter!N58)</f>
        <v/>
      </c>
      <c r="AJ58" s="13">
        <f>IF([7]Quarter!R58="","",[7]Quarter!R58)</f>
        <v/>
      </c>
      <c r="AK58" s="13">
        <f>IF([7]Quarter!S58="","",[7]Quarter!S58)</f>
        <v/>
      </c>
      <c r="AL58" s="14">
        <f>IF(COUNT(C58,H58,M58,R58,W58,AB58,AG58)=0,"",SUM(C58,H58,M58,R58,W58,AB58,AG58))</f>
        <v/>
      </c>
      <c r="AM58" s="14">
        <f>IF(COUNT(D58,I58,N58,S58,X58,AC58,AH58)=0,"",SUM(D58,I58,N58,S58,X58,AC58,AH58))</f>
        <v/>
      </c>
      <c r="AN58" s="14">
        <f>IF(COUNT(E58,J58,O58,T58,Y58,AD58,AI58)=0,"",SUM(E58,J58,O58,T58,Y58,AD58,AI58))</f>
        <v/>
      </c>
      <c r="AO58" s="14">
        <f>IF(COUNT(F58,K58,P58,U58,Z58,AE58,AJ58)=0,"",SUM(F58,K58,P58,U58,Z58,AE58,AJ58))</f>
        <v/>
      </c>
      <c r="AP58" s="14">
        <f>IF(COUNT(G58,L58,Q58,V58,AA58,AF58,AK58)=0,"",SUM(G58,L58,Q58,V58,AA58,AF58,AK58))</f>
        <v/>
      </c>
      <c r="AQ58" s="4" t="inlineStr">
        <is>
          <t>Sum of divisions</t>
        </is>
      </c>
    </row>
    <row r="59" ht="18.75" customHeight="1">
      <c r="A59" s="3" t="n"/>
      <c r="B59" s="9" t="inlineStr">
        <is>
          <t>Training Travel Cost (USD)</t>
        </is>
      </c>
      <c r="C59" s="13">
        <f>IF([1]Quarter!F59="","",[1]Quarter!F59)</f>
        <v/>
      </c>
      <c r="D59" s="13">
        <f>IF([1]Quarter!J59="","",[1]Quarter!J59)</f>
        <v/>
      </c>
      <c r="E59" s="13">
        <f>IF([1]Quarter!N59="","",[1]Quarter!N59)</f>
        <v/>
      </c>
      <c r="F59" s="13">
        <f>IF([1]Quarter!R59="","",[1]Quarter!R59)</f>
        <v/>
      </c>
      <c r="G59" s="13">
        <f>IF([1]Quarter!S59="","",[1]Quarter!S59)</f>
        <v/>
      </c>
      <c r="H59" s="13">
        <f>IF([2]Quarter!F59="","",[2]Quarter!F59)</f>
        <v/>
      </c>
      <c r="I59" s="13">
        <f>IF([2]Quarter!J59="","",[2]Quarter!J59)</f>
        <v/>
      </c>
      <c r="J59" s="13">
        <f>IF([2]Quarter!N59="","",[2]Quarter!N59)</f>
        <v/>
      </c>
      <c r="K59" s="13">
        <f>IF([2]Quarter!R59="","",[2]Quarter!R59)</f>
        <v/>
      </c>
      <c r="L59" s="13">
        <f>IF([2]Quarter!S59="","",[2]Quarter!S59)</f>
        <v/>
      </c>
      <c r="M59" s="13">
        <f>IF([3]Quarter!F59="","",[3]Quarter!F59)</f>
        <v/>
      </c>
      <c r="N59" s="13">
        <f>IF([3]Quarter!J59="","",[3]Quarter!J59)</f>
        <v/>
      </c>
      <c r="O59" s="13">
        <f>IF([3]Quarter!N59="","",[3]Quarter!N59)</f>
        <v/>
      </c>
      <c r="P59" s="13">
        <f>IF([3]Quarter!R59="","",[3]Quarter!R59)</f>
        <v/>
      </c>
      <c r="Q59" s="13">
        <f>IF([3]Quarter!S59="","",[3]Quarter!S59)</f>
        <v/>
      </c>
      <c r="R59" s="13">
        <f>IF([4]Quarter!F59="","",[4]Quarter!F59)</f>
        <v/>
      </c>
      <c r="S59" s="13">
        <f>IF([4]Quarter!J59="","",[4]Quarter!J59)</f>
        <v/>
      </c>
      <c r="T59" s="13">
        <f>IF([4]Quarter!N59="","",[4]Quarter!N59)</f>
        <v/>
      </c>
      <c r="U59" s="13">
        <f>IF([4]Quarter!R59="","",[4]Quarter!R59)</f>
        <v/>
      </c>
      <c r="V59" s="13">
        <f>IF([4]Quarter!S59="","",[4]Quarter!S59)</f>
        <v/>
      </c>
      <c r="W59" s="13">
        <f>IF([5]Quarter!F59="","",[5]Quarter!F59)</f>
        <v/>
      </c>
      <c r="X59" s="13">
        <f>IF([5]Quarter!J59="","",[5]Quarter!J59)</f>
        <v/>
      </c>
      <c r="Y59" s="13">
        <f>IF([5]Quarter!N59="","",[5]Quarter!N59)</f>
        <v/>
      </c>
      <c r="Z59" s="13">
        <f>IF([5]Quarter!R59="","",[5]Quarter!R59)</f>
        <v/>
      </c>
      <c r="AA59" s="13">
        <f>IF([5]Quarter!S59="","",[5]Quarter!S59)</f>
        <v/>
      </c>
      <c r="AB59" s="13">
        <f>IF([6]Quarter!F59="","",[6]Quarter!F59)</f>
        <v/>
      </c>
      <c r="AC59" s="13">
        <f>IF([6]Quarter!J59="","",[6]Quarter!J59)</f>
        <v/>
      </c>
      <c r="AD59" s="13">
        <f>IF([6]Quarter!N59="","",[6]Quarter!N59)</f>
        <v/>
      </c>
      <c r="AE59" s="13">
        <f>IF([6]Quarter!R59="","",[6]Quarter!R59)</f>
        <v/>
      </c>
      <c r="AF59" s="13">
        <f>IF([6]Quarter!S59="","",[6]Quarter!S59)</f>
        <v/>
      </c>
      <c r="AG59" s="13">
        <f>IF([7]Quarter!F59="","",[7]Quarter!F59)</f>
        <v/>
      </c>
      <c r="AH59" s="13">
        <f>IF([7]Quarter!J59="","",[7]Quarter!J59)</f>
        <v/>
      </c>
      <c r="AI59" s="13">
        <f>IF([7]Quarter!N59="","",[7]Quarter!N59)</f>
        <v/>
      </c>
      <c r="AJ59" s="13">
        <f>IF([7]Quarter!R59="","",[7]Quarter!R59)</f>
        <v/>
      </c>
      <c r="AK59" s="13">
        <f>IF([7]Quarter!S59="","",[7]Quarter!S59)</f>
        <v/>
      </c>
      <c r="AL59" s="14">
        <f>IF(COUNT(C59,H59,M59,R59,W59,AB59,AG59)=0,"",SUM(C59,H59,M59,R59,W59,AB59,AG59))</f>
        <v/>
      </c>
      <c r="AM59" s="14">
        <f>IF(COUNT(D59,I59,N59,S59,X59,AC59,AH59)=0,"",SUM(D59,I59,N59,S59,X59,AC59,AH59))</f>
        <v/>
      </c>
      <c r="AN59" s="14">
        <f>IF(COUNT(E59,J59,O59,T59,Y59,AD59,AI59)=0,"",SUM(E59,J59,O59,T59,Y59,AD59,AI59))</f>
        <v/>
      </c>
      <c r="AO59" s="14">
        <f>IF(COUNT(F59,K59,P59,U59,Z59,AE59,AJ59)=0,"",SUM(F59,K59,P59,U59,Z59,AE59,AJ59))</f>
        <v/>
      </c>
      <c r="AP59" s="14">
        <f>IF(COUNT(G59,L59,Q59,V59,AA59,AF59,AK59)=0,"",SUM(G59,L59,Q59,V59,AA59,AF59,AK59))</f>
        <v/>
      </c>
      <c r="AQ59" s="4" t="inlineStr">
        <is>
          <t>Sum of divisions</t>
        </is>
      </c>
    </row>
    <row r="60" ht="18.75" customHeight="1">
      <c r="A60" s="3" t="n"/>
      <c r="B60" s="12" t="inlineStr">
        <is>
          <t>Leadership Hours Trained (%)</t>
        </is>
      </c>
      <c r="C60" s="18">
        <f>IF([1]Quarter!F60="","",[1]Quarter!F60)</f>
        <v/>
      </c>
      <c r="D60" s="18">
        <f>IF([1]Quarter!J60="","",[1]Quarter!J60)</f>
        <v/>
      </c>
      <c r="E60" s="18">
        <f>IF([1]Quarter!N60="","",[1]Quarter!N60)</f>
        <v/>
      </c>
      <c r="F60" s="18">
        <f>IF([1]Quarter!R60="","",[1]Quarter!R60)</f>
        <v/>
      </c>
      <c r="G60" s="18">
        <f>IF([1]Quarter!S60="","",[1]Quarter!S60)</f>
        <v/>
      </c>
      <c r="H60" s="18">
        <f>IF([2]Quarter!F60="","",[2]Quarter!F60)</f>
        <v/>
      </c>
      <c r="I60" s="18">
        <f>IF([2]Quarter!J60="","",[2]Quarter!J60)</f>
        <v/>
      </c>
      <c r="J60" s="18">
        <f>IF([2]Quarter!N60="","",[2]Quarter!N60)</f>
        <v/>
      </c>
      <c r="K60" s="18">
        <f>IF([2]Quarter!R60="","",[2]Quarter!R60)</f>
        <v/>
      </c>
      <c r="L60" s="18">
        <f>IF([2]Quarter!S60="","",[2]Quarter!S60)</f>
        <v/>
      </c>
      <c r="M60" s="18">
        <f>IF([3]Quarter!F60="","",[3]Quarter!F60)</f>
        <v/>
      </c>
      <c r="N60" s="18">
        <f>IF([3]Quarter!J60="","",[3]Quarter!J60)</f>
        <v/>
      </c>
      <c r="O60" s="18">
        <f>IF([3]Quarter!N60="","",[3]Quarter!N60)</f>
        <v/>
      </c>
      <c r="P60" s="18">
        <f>IF([3]Quarter!R60="","",[3]Quarter!R60)</f>
        <v/>
      </c>
      <c r="Q60" s="18">
        <f>IF([3]Quarter!S60="","",[3]Quarter!S60)</f>
        <v/>
      </c>
      <c r="R60" s="18">
        <f>IF([4]Quarter!F60="","",[4]Quarter!F60)</f>
        <v/>
      </c>
      <c r="S60" s="18">
        <f>IF([4]Quarter!J60="","",[4]Quarter!J60)</f>
        <v/>
      </c>
      <c r="T60" s="18">
        <f>IF([4]Quarter!N60="","",[4]Quarter!N60)</f>
        <v/>
      </c>
      <c r="U60" s="18">
        <f>IF([4]Quarter!R60="","",[4]Quarter!R60)</f>
        <v/>
      </c>
      <c r="V60" s="18">
        <f>IF([4]Quarter!S60="","",[4]Quarter!S60)</f>
        <v/>
      </c>
      <c r="W60" s="18">
        <f>IF([5]Quarter!F60="","",[5]Quarter!F60)</f>
        <v/>
      </c>
      <c r="X60" s="18">
        <f>IF([5]Quarter!J60="","",[5]Quarter!J60)</f>
        <v/>
      </c>
      <c r="Y60" s="18">
        <f>IF([5]Quarter!N60="","",[5]Quarter!N60)</f>
        <v/>
      </c>
      <c r="Z60" s="18">
        <f>IF([5]Quarter!R60="","",[5]Quarter!R60)</f>
        <v/>
      </c>
      <c r="AA60" s="18">
        <f>IF([5]Quarter!S60="","",[5]Quarter!S60)</f>
        <v/>
      </c>
      <c r="AB60" s="18">
        <f>IF([6]Quarter!F60="","",[6]Quarter!F60)</f>
        <v/>
      </c>
      <c r="AC60" s="18">
        <f>IF([6]Quarter!J60="","",[6]Quarter!J60)</f>
        <v/>
      </c>
      <c r="AD60" s="18">
        <f>IF([6]Quarter!N60="","",[6]Quarter!N60)</f>
        <v/>
      </c>
      <c r="AE60" s="18">
        <f>IF([6]Quarter!R60="","",[6]Quarter!R60)</f>
        <v/>
      </c>
      <c r="AF60" s="18">
        <f>IF([6]Quarter!S60="","",[6]Quarter!S60)</f>
        <v/>
      </c>
      <c r="AG60" s="18">
        <f>IF([7]Quarter!F60="","",[7]Quarter!F60)</f>
        <v/>
      </c>
      <c r="AH60" s="18">
        <f>IF([7]Quarter!J60="","",[7]Quarter!J60)</f>
        <v/>
      </c>
      <c r="AI60" s="18">
        <f>IF([7]Quarter!N60="","",[7]Quarter!N60)</f>
        <v/>
      </c>
      <c r="AJ60" s="18">
        <f>IF([7]Quarter!R60="","",[7]Quarter!R60)</f>
        <v/>
      </c>
      <c r="AK60" s="18">
        <f>IF([7]Quarter!S60="","",[7]Quarter!S60)</f>
        <v/>
      </c>
      <c r="AL60" s="19">
        <f>IFERROR(AL50/AL$55,"")</f>
        <v/>
      </c>
      <c r="AM60" s="19">
        <f>IFERROR(AM50/AM$55,"")</f>
        <v/>
      </c>
      <c r="AN60" s="19">
        <f>IFERROR(AN50/AN$55,"")</f>
        <v/>
      </c>
      <c r="AO60" s="19">
        <f>IFERROR(AO50/AO$55,"")</f>
        <v/>
      </c>
      <c r="AP60" s="19">
        <f>IFERROR(AP50/AP$55,"")</f>
        <v/>
      </c>
      <c r="AQ60" s="4" t="inlineStr">
        <is>
          <t>Recalculated</t>
        </is>
      </c>
    </row>
    <row r="61" ht="18.75" customHeight="1">
      <c r="A61" s="3" t="n"/>
      <c r="B61" s="12" t="inlineStr">
        <is>
          <t>Technical Hours Trained (%)</t>
        </is>
      </c>
      <c r="C61" s="18">
        <f>IF([1]Quarter!F61="","",[1]Quarter!F61)</f>
        <v/>
      </c>
      <c r="D61" s="18">
        <f>IF([1]Quarter!J61="","",[1]Quarter!J61)</f>
        <v/>
      </c>
      <c r="E61" s="18">
        <f>IF([1]Quarter!N61="","",[1]Quarter!N61)</f>
        <v/>
      </c>
      <c r="F61" s="18">
        <f>IF([1]Quarter!R61="","",[1]Quarter!R61)</f>
        <v/>
      </c>
      <c r="G61" s="18">
        <f>IF([1]Quarter!S61="","",[1]Quarter!S61)</f>
        <v/>
      </c>
      <c r="H61" s="18">
        <f>IF([2]Quarter!F61="","",[2]Quarter!F61)</f>
        <v/>
      </c>
      <c r="I61" s="18">
        <f>IF([2]Quarter!J61="","",[2]Quarter!J61)</f>
        <v/>
      </c>
      <c r="J61" s="18">
        <f>IF([2]Quarter!N61="","",[2]Quarter!N61)</f>
        <v/>
      </c>
      <c r="K61" s="18">
        <f>IF([2]Quarter!R61="","",[2]Quarter!R61)</f>
        <v/>
      </c>
      <c r="L61" s="18">
        <f>IF([2]Quarter!S61="","",[2]Quarter!S61)</f>
        <v/>
      </c>
      <c r="M61" s="18">
        <f>IF([3]Quarter!F61="","",[3]Quarter!F61)</f>
        <v/>
      </c>
      <c r="N61" s="18">
        <f>IF([3]Quarter!J61="","",[3]Quarter!J61)</f>
        <v/>
      </c>
      <c r="O61" s="18">
        <f>IF([3]Quarter!N61="","",[3]Quarter!N61)</f>
        <v/>
      </c>
      <c r="P61" s="18">
        <f>IF([3]Quarter!R61="","",[3]Quarter!R61)</f>
        <v/>
      </c>
      <c r="Q61" s="18">
        <f>IF([3]Quarter!S61="","",[3]Quarter!S61)</f>
        <v/>
      </c>
      <c r="R61" s="18">
        <f>IF([4]Quarter!F61="","",[4]Quarter!F61)</f>
        <v/>
      </c>
      <c r="S61" s="18">
        <f>IF([4]Quarter!J61="","",[4]Quarter!J61)</f>
        <v/>
      </c>
      <c r="T61" s="18">
        <f>IF([4]Quarter!N61="","",[4]Quarter!N61)</f>
        <v/>
      </c>
      <c r="U61" s="18">
        <f>IF([4]Quarter!R61="","",[4]Quarter!R61)</f>
        <v/>
      </c>
      <c r="V61" s="18">
        <f>IF([4]Quarter!S61="","",[4]Quarter!S61)</f>
        <v/>
      </c>
      <c r="W61" s="18">
        <f>IF([5]Quarter!F61="","",[5]Quarter!F61)</f>
        <v/>
      </c>
      <c r="X61" s="18">
        <f>IF([5]Quarter!J61="","",[5]Quarter!J61)</f>
        <v/>
      </c>
      <c r="Y61" s="18">
        <f>IF([5]Quarter!N61="","",[5]Quarter!N61)</f>
        <v/>
      </c>
      <c r="Z61" s="18">
        <f>IF([5]Quarter!R61="","",[5]Quarter!R61)</f>
        <v/>
      </c>
      <c r="AA61" s="18">
        <f>IF([5]Quarter!S61="","",[5]Quarter!S61)</f>
        <v/>
      </c>
      <c r="AB61" s="18">
        <f>IF([6]Quarter!F61="","",[6]Quarter!F61)</f>
        <v/>
      </c>
      <c r="AC61" s="18">
        <f>IF([6]Quarter!J61="","",[6]Quarter!J61)</f>
        <v/>
      </c>
      <c r="AD61" s="18">
        <f>IF([6]Quarter!N61="","",[6]Quarter!N61)</f>
        <v/>
      </c>
      <c r="AE61" s="18">
        <f>IF([6]Quarter!R61="","",[6]Quarter!R61)</f>
        <v/>
      </c>
      <c r="AF61" s="18">
        <f>IF([6]Quarter!S61="","",[6]Quarter!S61)</f>
        <v/>
      </c>
      <c r="AG61" s="18">
        <f>IF([7]Quarter!F61="","",[7]Quarter!F61)</f>
        <v/>
      </c>
      <c r="AH61" s="18">
        <f>IF([7]Quarter!J61="","",[7]Quarter!J61)</f>
        <v/>
      </c>
      <c r="AI61" s="18">
        <f>IF([7]Quarter!N61="","",[7]Quarter!N61)</f>
        <v/>
      </c>
      <c r="AJ61" s="18">
        <f>IF([7]Quarter!R61="","",[7]Quarter!R61)</f>
        <v/>
      </c>
      <c r="AK61" s="18">
        <f>IF([7]Quarter!S61="","",[7]Quarter!S61)</f>
        <v/>
      </c>
      <c r="AL61" s="19">
        <f>IFERROR(AL51/AL$55,"")</f>
        <v/>
      </c>
      <c r="AM61" s="19">
        <f>IFERROR(AM51/AM$55,"")</f>
        <v/>
      </c>
      <c r="AN61" s="19">
        <f>IFERROR(AN51/AN$55,"")</f>
        <v/>
      </c>
      <c r="AO61" s="19">
        <f>IFERROR(AO51/AO$55,"")</f>
        <v/>
      </c>
      <c r="AP61" s="19">
        <f>IFERROR(AP51/AP$55,"")</f>
        <v/>
      </c>
      <c r="AQ61" s="4" t="inlineStr">
        <is>
          <t>Recalculated</t>
        </is>
      </c>
    </row>
    <row r="62" ht="18.75" customHeight="1">
      <c r="A62" s="3" t="n"/>
      <c r="B62" s="12" t="inlineStr">
        <is>
          <t>Profess. Dev. Hours Trained (%)</t>
        </is>
      </c>
      <c r="C62" s="18">
        <f>IF([1]Quarter!F62="","",[1]Quarter!F62)</f>
        <v/>
      </c>
      <c r="D62" s="18">
        <f>IF([1]Quarter!J62="","",[1]Quarter!J62)</f>
        <v/>
      </c>
      <c r="E62" s="18">
        <f>IF([1]Quarter!N62="","",[1]Quarter!N62)</f>
        <v/>
      </c>
      <c r="F62" s="18">
        <f>IF([1]Quarter!R62="","",[1]Quarter!R62)</f>
        <v/>
      </c>
      <c r="G62" s="18">
        <f>IF([1]Quarter!S62="","",[1]Quarter!S62)</f>
        <v/>
      </c>
      <c r="H62" s="18">
        <f>IF([2]Quarter!F62="","",[2]Quarter!F62)</f>
        <v/>
      </c>
      <c r="I62" s="18">
        <f>IF([2]Quarter!J62="","",[2]Quarter!J62)</f>
        <v/>
      </c>
      <c r="J62" s="18">
        <f>IF([2]Quarter!N62="","",[2]Quarter!N62)</f>
        <v/>
      </c>
      <c r="K62" s="18">
        <f>IF([2]Quarter!R62="","",[2]Quarter!R62)</f>
        <v/>
      </c>
      <c r="L62" s="18">
        <f>IF([2]Quarter!S62="","",[2]Quarter!S62)</f>
        <v/>
      </c>
      <c r="M62" s="18">
        <f>IF([3]Quarter!F62="","",[3]Quarter!F62)</f>
        <v/>
      </c>
      <c r="N62" s="18">
        <f>IF([3]Quarter!J62="","",[3]Quarter!J62)</f>
        <v/>
      </c>
      <c r="O62" s="18">
        <f>IF([3]Quarter!N62="","",[3]Quarter!N62)</f>
        <v/>
      </c>
      <c r="P62" s="18">
        <f>IF([3]Quarter!R62="","",[3]Quarter!R62)</f>
        <v/>
      </c>
      <c r="Q62" s="18">
        <f>IF([3]Quarter!S62="","",[3]Quarter!S62)</f>
        <v/>
      </c>
      <c r="R62" s="18">
        <f>IF([4]Quarter!F62="","",[4]Quarter!F62)</f>
        <v/>
      </c>
      <c r="S62" s="18">
        <f>IF([4]Quarter!J62="","",[4]Quarter!J62)</f>
        <v/>
      </c>
      <c r="T62" s="18">
        <f>IF([4]Quarter!N62="","",[4]Quarter!N62)</f>
        <v/>
      </c>
      <c r="U62" s="18">
        <f>IF([4]Quarter!R62="","",[4]Quarter!R62)</f>
        <v/>
      </c>
      <c r="V62" s="18">
        <f>IF([4]Quarter!S62="","",[4]Quarter!S62)</f>
        <v/>
      </c>
      <c r="W62" s="18">
        <f>IF([5]Quarter!F62="","",[5]Quarter!F62)</f>
        <v/>
      </c>
      <c r="X62" s="18">
        <f>IF([5]Quarter!J62="","",[5]Quarter!J62)</f>
        <v/>
      </c>
      <c r="Y62" s="18">
        <f>IF([5]Quarter!N62="","",[5]Quarter!N62)</f>
        <v/>
      </c>
      <c r="Z62" s="18">
        <f>IF([5]Quarter!R62="","",[5]Quarter!R62)</f>
        <v/>
      </c>
      <c r="AA62" s="18">
        <f>IF([5]Quarter!S62="","",[5]Quarter!S62)</f>
        <v/>
      </c>
      <c r="AB62" s="18">
        <f>IF([6]Quarter!F62="","",[6]Quarter!F62)</f>
        <v/>
      </c>
      <c r="AC62" s="18">
        <f>IF([6]Quarter!J62="","",[6]Quarter!J62)</f>
        <v/>
      </c>
      <c r="AD62" s="18">
        <f>IF([6]Quarter!N62="","",[6]Quarter!N62)</f>
        <v/>
      </c>
      <c r="AE62" s="18">
        <f>IF([6]Quarter!R62="","",[6]Quarter!R62)</f>
        <v/>
      </c>
      <c r="AF62" s="18">
        <f>IF([6]Quarter!S62="","",[6]Quarter!S62)</f>
        <v/>
      </c>
      <c r="AG62" s="18">
        <f>IF([7]Quarter!F62="","",[7]Quarter!F62)</f>
        <v/>
      </c>
      <c r="AH62" s="18">
        <f>IF([7]Quarter!J62="","",[7]Quarter!J62)</f>
        <v/>
      </c>
      <c r="AI62" s="18">
        <f>IF([7]Quarter!N62="","",[7]Quarter!N62)</f>
        <v/>
      </c>
      <c r="AJ62" s="18">
        <f>IF([7]Quarter!R62="","",[7]Quarter!R62)</f>
        <v/>
      </c>
      <c r="AK62" s="18">
        <f>IF([7]Quarter!S62="","",[7]Quarter!S62)</f>
        <v/>
      </c>
      <c r="AL62" s="19">
        <f>IFERROR(AL52/AL$55,"")</f>
        <v/>
      </c>
      <c r="AM62" s="19">
        <f>IFERROR(AM52/AM$55,"")</f>
        <v/>
      </c>
      <c r="AN62" s="19">
        <f>IFERROR(AN52/AN$55,"")</f>
        <v/>
      </c>
      <c r="AO62" s="19">
        <f>IFERROR(AO52/AO$55,"")</f>
        <v/>
      </c>
      <c r="AP62" s="19">
        <f>IFERROR(AP52/AP$55,"")</f>
        <v/>
      </c>
      <c r="AQ62" s="4" t="inlineStr">
        <is>
          <t>Recalculated</t>
        </is>
      </c>
    </row>
    <row r="63" ht="18.75" customHeight="1">
      <c r="A63" s="3" t="n"/>
      <c r="B63" s="12" t="inlineStr">
        <is>
          <t>HSSE Hours Trained (%)</t>
        </is>
      </c>
      <c r="C63" s="18">
        <f>IF([1]Quarter!F63="","",[1]Quarter!F63)</f>
        <v/>
      </c>
      <c r="D63" s="18">
        <f>IF([1]Quarter!J63="","",[1]Quarter!J63)</f>
        <v/>
      </c>
      <c r="E63" s="18">
        <f>IF([1]Quarter!N63="","",[1]Quarter!N63)</f>
        <v/>
      </c>
      <c r="F63" s="18">
        <f>IF([1]Quarter!R63="","",[1]Quarter!R63)</f>
        <v/>
      </c>
      <c r="G63" s="18">
        <f>IF([1]Quarter!S63="","",[1]Quarter!S63)</f>
        <v/>
      </c>
      <c r="H63" s="18">
        <f>IF([2]Quarter!F63="","",[2]Quarter!F63)</f>
        <v/>
      </c>
      <c r="I63" s="18">
        <f>IF([2]Quarter!J63="","",[2]Quarter!J63)</f>
        <v/>
      </c>
      <c r="J63" s="18">
        <f>IF([2]Quarter!N63="","",[2]Quarter!N63)</f>
        <v/>
      </c>
      <c r="K63" s="18">
        <f>IF([2]Quarter!R63="","",[2]Quarter!R63)</f>
        <v/>
      </c>
      <c r="L63" s="18">
        <f>IF([2]Quarter!S63="","",[2]Quarter!S63)</f>
        <v/>
      </c>
      <c r="M63" s="18">
        <f>IF([3]Quarter!F63="","",[3]Quarter!F63)</f>
        <v/>
      </c>
      <c r="N63" s="18">
        <f>IF([3]Quarter!J63="","",[3]Quarter!J63)</f>
        <v/>
      </c>
      <c r="O63" s="18">
        <f>IF([3]Quarter!N63="","",[3]Quarter!N63)</f>
        <v/>
      </c>
      <c r="P63" s="18">
        <f>IF([3]Quarter!R63="","",[3]Quarter!R63)</f>
        <v/>
      </c>
      <c r="Q63" s="18">
        <f>IF([3]Quarter!S63="","",[3]Quarter!S63)</f>
        <v/>
      </c>
      <c r="R63" s="18">
        <f>IF([4]Quarter!F63="","",[4]Quarter!F63)</f>
        <v/>
      </c>
      <c r="S63" s="18">
        <f>IF([4]Quarter!J63="","",[4]Quarter!J63)</f>
        <v/>
      </c>
      <c r="T63" s="18">
        <f>IF([4]Quarter!N63="","",[4]Quarter!N63)</f>
        <v/>
      </c>
      <c r="U63" s="18">
        <f>IF([4]Quarter!R63="","",[4]Quarter!R63)</f>
        <v/>
      </c>
      <c r="V63" s="18">
        <f>IF([4]Quarter!S63="","",[4]Quarter!S63)</f>
        <v/>
      </c>
      <c r="W63" s="18">
        <f>IF([5]Quarter!F63="","",[5]Quarter!F63)</f>
        <v/>
      </c>
      <c r="X63" s="18">
        <f>IF([5]Quarter!J63="","",[5]Quarter!J63)</f>
        <v/>
      </c>
      <c r="Y63" s="18">
        <f>IF([5]Quarter!N63="","",[5]Quarter!N63)</f>
        <v/>
      </c>
      <c r="Z63" s="18">
        <f>IF([5]Quarter!R63="","",[5]Quarter!R63)</f>
        <v/>
      </c>
      <c r="AA63" s="18">
        <f>IF([5]Quarter!S63="","",[5]Quarter!S63)</f>
        <v/>
      </c>
      <c r="AB63" s="18">
        <f>IF([6]Quarter!F63="","",[6]Quarter!F63)</f>
        <v/>
      </c>
      <c r="AC63" s="18">
        <f>IF([6]Quarter!J63="","",[6]Quarter!J63)</f>
        <v/>
      </c>
      <c r="AD63" s="18">
        <f>IF([6]Quarter!N63="","",[6]Quarter!N63)</f>
        <v/>
      </c>
      <c r="AE63" s="18">
        <f>IF([6]Quarter!R63="","",[6]Quarter!R63)</f>
        <v/>
      </c>
      <c r="AF63" s="18">
        <f>IF([6]Quarter!S63="","",[6]Quarter!S63)</f>
        <v/>
      </c>
      <c r="AG63" s="18">
        <f>IF([7]Quarter!F63="","",[7]Quarter!F63)</f>
        <v/>
      </c>
      <c r="AH63" s="18">
        <f>IF([7]Quarter!J63="","",[7]Quarter!J63)</f>
        <v/>
      </c>
      <c r="AI63" s="18">
        <f>IF([7]Quarter!N63="","",[7]Quarter!N63)</f>
        <v/>
      </c>
      <c r="AJ63" s="18">
        <f>IF([7]Quarter!R63="","",[7]Quarter!R63)</f>
        <v/>
      </c>
      <c r="AK63" s="18">
        <f>IF([7]Quarter!S63="","",[7]Quarter!S63)</f>
        <v/>
      </c>
      <c r="AL63" s="19">
        <f>IFERROR(AL53/AL$55,"")</f>
        <v/>
      </c>
      <c r="AM63" s="19">
        <f>IFERROR(AM53/AM$55,"")</f>
        <v/>
      </c>
      <c r="AN63" s="19">
        <f>IFERROR(AN53/AN$55,"")</f>
        <v/>
      </c>
      <c r="AO63" s="19">
        <f>IFERROR(AO53/AO$55,"")</f>
        <v/>
      </c>
      <c r="AP63" s="19">
        <f>IFERROR(AP53/AP$55,"")</f>
        <v/>
      </c>
      <c r="AQ63" s="4" t="inlineStr">
        <is>
          <t>Recalculated</t>
        </is>
      </c>
    </row>
    <row r="64" ht="18.75" customHeight="1">
      <c r="A64" s="3" t="n"/>
      <c r="B64" s="12" t="inlineStr">
        <is>
          <t>Workday Hours Trained (%)</t>
        </is>
      </c>
      <c r="C64" s="18">
        <f>IF([1]Quarter!F64="","",[1]Quarter!F64)</f>
        <v/>
      </c>
      <c r="D64" s="18">
        <f>IF([1]Quarter!J64="","",[1]Quarter!J64)</f>
        <v/>
      </c>
      <c r="E64" s="18">
        <f>IF([1]Quarter!N64="","",[1]Quarter!N64)</f>
        <v/>
      </c>
      <c r="F64" s="18">
        <f>IF([1]Quarter!R64="","",[1]Quarter!R64)</f>
        <v/>
      </c>
      <c r="G64" s="18">
        <f>IF([1]Quarter!S64="","",[1]Quarter!S64)</f>
        <v/>
      </c>
      <c r="H64" s="18">
        <f>IF([2]Quarter!F64="","",[2]Quarter!F64)</f>
        <v/>
      </c>
      <c r="I64" s="18">
        <f>IF([2]Quarter!J64="","",[2]Quarter!J64)</f>
        <v/>
      </c>
      <c r="J64" s="18">
        <f>IF([2]Quarter!N64="","",[2]Quarter!N64)</f>
        <v/>
      </c>
      <c r="K64" s="18">
        <f>IF([2]Quarter!R64="","",[2]Quarter!R64)</f>
        <v/>
      </c>
      <c r="L64" s="18">
        <f>IF([2]Quarter!S64="","",[2]Quarter!S64)</f>
        <v/>
      </c>
      <c r="M64" s="18">
        <f>IF([3]Quarter!F64="","",[3]Quarter!F64)</f>
        <v/>
      </c>
      <c r="N64" s="18">
        <f>IF([3]Quarter!J64="","",[3]Quarter!J64)</f>
        <v/>
      </c>
      <c r="O64" s="18">
        <f>IF([3]Quarter!N64="","",[3]Quarter!N64)</f>
        <v/>
      </c>
      <c r="P64" s="18">
        <f>IF([3]Quarter!R64="","",[3]Quarter!R64)</f>
        <v/>
      </c>
      <c r="Q64" s="18">
        <f>IF([3]Quarter!S64="","",[3]Quarter!S64)</f>
        <v/>
      </c>
      <c r="R64" s="18">
        <f>IF([4]Quarter!F64="","",[4]Quarter!F64)</f>
        <v/>
      </c>
      <c r="S64" s="18">
        <f>IF([4]Quarter!J64="","",[4]Quarter!J64)</f>
        <v/>
      </c>
      <c r="T64" s="18">
        <f>IF([4]Quarter!N64="","",[4]Quarter!N64)</f>
        <v/>
      </c>
      <c r="U64" s="18">
        <f>IF([4]Quarter!R64="","",[4]Quarter!R64)</f>
        <v/>
      </c>
      <c r="V64" s="18">
        <f>IF([4]Quarter!S64="","",[4]Quarter!S64)</f>
        <v/>
      </c>
      <c r="W64" s="18">
        <f>IF([5]Quarter!F64="","",[5]Quarter!F64)</f>
        <v/>
      </c>
      <c r="X64" s="18">
        <f>IF([5]Quarter!J64="","",[5]Quarter!J64)</f>
        <v/>
      </c>
      <c r="Y64" s="18">
        <f>IF([5]Quarter!N64="","",[5]Quarter!N64)</f>
        <v/>
      </c>
      <c r="Z64" s="18">
        <f>IF([5]Quarter!R64="","",[5]Quarter!R64)</f>
        <v/>
      </c>
      <c r="AA64" s="18">
        <f>IF([5]Quarter!S64="","",[5]Quarter!S64)</f>
        <v/>
      </c>
      <c r="AB64" s="18">
        <f>IF([6]Quarter!F64="","",[6]Quarter!F64)</f>
        <v/>
      </c>
      <c r="AC64" s="18">
        <f>IF([6]Quarter!J64="","",[6]Quarter!J64)</f>
        <v/>
      </c>
      <c r="AD64" s="18">
        <f>IF([6]Quarter!N64="","",[6]Quarter!N64)</f>
        <v/>
      </c>
      <c r="AE64" s="18">
        <f>IF([6]Quarter!R64="","",[6]Quarter!R64)</f>
        <v/>
      </c>
      <c r="AF64" s="18">
        <f>IF([6]Quarter!S64="","",[6]Quarter!S64)</f>
        <v/>
      </c>
      <c r="AG64" s="18">
        <f>IF([7]Quarter!F64="","",[7]Quarter!F64)</f>
        <v/>
      </c>
      <c r="AH64" s="18">
        <f>IF([7]Quarter!J64="","",[7]Quarter!J64)</f>
        <v/>
      </c>
      <c r="AI64" s="18">
        <f>IF([7]Quarter!N64="","",[7]Quarter!N64)</f>
        <v/>
      </c>
      <c r="AJ64" s="18">
        <f>IF([7]Quarter!R64="","",[7]Quarter!R64)</f>
        <v/>
      </c>
      <c r="AK64" s="18">
        <f>IF([7]Quarter!S64="","",[7]Quarter!S64)</f>
        <v/>
      </c>
      <c r="AL64" s="19">
        <f>IFERROR(AL54/AL$55,"")</f>
        <v/>
      </c>
      <c r="AM64" s="19">
        <f>IFERROR(AM54/AM$55,"")</f>
        <v/>
      </c>
      <c r="AN64" s="19">
        <f>IFERROR(AN54/AN$55,"")</f>
        <v/>
      </c>
      <c r="AO64" s="19">
        <f>IFERROR(AO54/AO$55,"")</f>
        <v/>
      </c>
      <c r="AP64" s="19">
        <f>IFERROR(AP54/AP$55,"")</f>
        <v/>
      </c>
      <c r="AQ64" s="4" t="inlineStr">
        <is>
          <t>Recalculated</t>
        </is>
      </c>
    </row>
    <row r="65" ht="18.75" customHeight="1">
      <c r="A65" s="3" t="n"/>
      <c r="B65" s="12" t="inlineStr">
        <is>
          <t>Staff Trained (%)</t>
        </is>
      </c>
      <c r="C65" s="18">
        <f>IF([1]Quarter!F65="","",[1]Quarter!F65)</f>
        <v/>
      </c>
      <c r="D65" s="18">
        <f>IF([1]Quarter!J65="","",[1]Quarter!J65)</f>
        <v/>
      </c>
      <c r="E65" s="18">
        <f>IF([1]Quarter!N65="","",[1]Quarter!N65)</f>
        <v/>
      </c>
      <c r="F65" s="18">
        <f>IF([1]Quarter!R65="","",[1]Quarter!R65)</f>
        <v/>
      </c>
      <c r="G65" s="18">
        <f>IF([1]Quarter!S65="","",[1]Quarter!S65)</f>
        <v/>
      </c>
      <c r="H65" s="18">
        <f>IF([2]Quarter!F65="","",[2]Quarter!F65)</f>
        <v/>
      </c>
      <c r="I65" s="18">
        <f>IF([2]Quarter!J65="","",[2]Quarter!J65)</f>
        <v/>
      </c>
      <c r="J65" s="18">
        <f>IF([2]Quarter!N65="","",[2]Quarter!N65)</f>
        <v/>
      </c>
      <c r="K65" s="18">
        <f>IF([2]Quarter!R65="","",[2]Quarter!R65)</f>
        <v/>
      </c>
      <c r="L65" s="18">
        <f>IF([2]Quarter!S65="","",[2]Quarter!S65)</f>
        <v/>
      </c>
      <c r="M65" s="18">
        <f>IF([3]Quarter!F65="","",[3]Quarter!F65)</f>
        <v/>
      </c>
      <c r="N65" s="18">
        <f>IF([3]Quarter!J65="","",[3]Quarter!J65)</f>
        <v/>
      </c>
      <c r="O65" s="18">
        <f>IF([3]Quarter!N65="","",[3]Quarter!N65)</f>
        <v/>
      </c>
      <c r="P65" s="18">
        <f>IF([3]Quarter!R65="","",[3]Quarter!R65)</f>
        <v/>
      </c>
      <c r="Q65" s="18">
        <f>IF([3]Quarter!S65="","",[3]Quarter!S65)</f>
        <v/>
      </c>
      <c r="R65" s="18">
        <f>IF([4]Quarter!F65="","",[4]Quarter!F65)</f>
        <v/>
      </c>
      <c r="S65" s="18">
        <f>IF([4]Quarter!J65="","",[4]Quarter!J65)</f>
        <v/>
      </c>
      <c r="T65" s="18">
        <f>IF([4]Quarter!N65="","",[4]Quarter!N65)</f>
        <v/>
      </c>
      <c r="U65" s="18">
        <f>IF([4]Quarter!R65="","",[4]Quarter!R65)</f>
        <v/>
      </c>
      <c r="V65" s="18">
        <f>IF([4]Quarter!S65="","",[4]Quarter!S65)</f>
        <v/>
      </c>
      <c r="W65" s="18">
        <f>IF([5]Quarter!F65="","",[5]Quarter!F65)</f>
        <v/>
      </c>
      <c r="X65" s="18">
        <f>IF([5]Quarter!J65="","",[5]Quarter!J65)</f>
        <v/>
      </c>
      <c r="Y65" s="18">
        <f>IF([5]Quarter!N65="","",[5]Quarter!N65)</f>
        <v/>
      </c>
      <c r="Z65" s="18">
        <f>IF([5]Quarter!R65="","",[5]Quarter!R65)</f>
        <v/>
      </c>
      <c r="AA65" s="18">
        <f>IF([5]Quarter!S65="","",[5]Quarter!S65)</f>
        <v/>
      </c>
      <c r="AB65" s="18">
        <f>IF([6]Quarter!F65="","",[6]Quarter!F65)</f>
        <v/>
      </c>
      <c r="AC65" s="18">
        <f>IF([6]Quarter!J65="","",[6]Quarter!J65)</f>
        <v/>
      </c>
      <c r="AD65" s="18">
        <f>IF([6]Quarter!N65="","",[6]Quarter!N65)</f>
        <v/>
      </c>
      <c r="AE65" s="18">
        <f>IF([6]Quarter!R65="","",[6]Quarter!R65)</f>
        <v/>
      </c>
      <c r="AF65" s="18">
        <f>IF([6]Quarter!S65="","",[6]Quarter!S65)</f>
        <v/>
      </c>
      <c r="AG65" s="18">
        <f>IF([7]Quarter!F65="","",[7]Quarter!F65)</f>
        <v/>
      </c>
      <c r="AH65" s="18">
        <f>IF([7]Quarter!J65="","",[7]Quarter!J65)</f>
        <v/>
      </c>
      <c r="AI65" s="18">
        <f>IF([7]Quarter!N65="","",[7]Quarter!N65)</f>
        <v/>
      </c>
      <c r="AJ65" s="18">
        <f>IF([7]Quarter!R65="","",[7]Quarter!R65)</f>
        <v/>
      </c>
      <c r="AK65" s="18">
        <f>IF([7]Quarter!S65="","",[7]Quarter!S65)</f>
        <v/>
      </c>
      <c r="AL65" s="19">
        <f>IF(COUNT(C65,H65,M65,R65,W65,AB65,AG65)=0,"",IFERROR((IFERROR(C65*C5,0)+IFERROR(H65*H5,0)+IFERROR(M65*M5,0)+IFERROR(R65*R5,0)+IFERROR(W65*W5,0)+IFERROR(AB65*AB5,0)+IFERROR(AG65*AG5,0))/(IFERROR(ISNUMBER(C65)*C5,0)+IFERROR(ISNUMBER(H65)*H5,0)+IFERROR(ISNUMBER(M65)*M5,0)+IFERROR(ISNUMBER(R65)*R5,0)+IFERROR(ISNUMBER(W65)*W5,0)+IFERROR(ISNUMBER(AB65)*AB5,0)+IFERROR(ISNUMBER(AG65)*AG5,0)),""))</f>
        <v/>
      </c>
      <c r="AM65" s="19">
        <f>IF(COUNT(D65,I65,N65,S65,X65,AC65,AH65)=0,"",IFERROR((IFERROR(D65*D5,0)+IFERROR(I65*I5,0)+IFERROR(N65*N5,0)+IFERROR(S65*S5,0)+IFERROR(X65*X5,0)+IFERROR(AC65*AC5,0)+IFERROR(AH65*AH5,0))/(IFERROR(ISNUMBER(D65)*D5,0)+IFERROR(ISNUMBER(I65)*I5,0)+IFERROR(ISNUMBER(N65)*N5,0)+IFERROR(ISNUMBER(S65)*S5,0)+IFERROR(ISNUMBER(X65)*X5,0)+IFERROR(ISNUMBER(AC65)*AC5,0)+IFERROR(ISNUMBER(AH65)*AH5,0)),""))</f>
        <v/>
      </c>
      <c r="AN65" s="19">
        <f>IF(COUNT(E65,J65,O65,T65,Y65,AD65,AI65)=0,"",IFERROR((IFERROR(E65*E5,0)+IFERROR(J65*J5,0)+IFERROR(O65*O5,0)+IFERROR(T65*T5,0)+IFERROR(Y65*Y5,0)+IFERROR(AD65*AD5,0)+IFERROR(AI65*AI5,0))/(IFERROR(ISNUMBER(E65)*E5,0)+IFERROR(ISNUMBER(J65)*J5,0)+IFERROR(ISNUMBER(O65)*O5,0)+IFERROR(ISNUMBER(T65)*T5,0)+IFERROR(ISNUMBER(Y65)*Y5,0)+IFERROR(ISNUMBER(AD65)*AD5,0)+IFERROR(ISNUMBER(AI65)*AI5,0)),""))</f>
        <v/>
      </c>
      <c r="AO65" s="19">
        <f>IF(COUNT(F65,K65,P65,U65,Z65,AE65,AJ65)=0,"",IFERROR((IFERROR(F65*F5,0)+IFERROR(K65*K5,0)+IFERROR(P65*P5,0)+IFERROR(U65*U5,0)+IFERROR(Z65*Z5,0)+IFERROR(AE65*AE5,0)+IFERROR(AJ65*AJ5,0))/(IFERROR(ISNUMBER(F65)*F5,0)+IFERROR(ISNUMBER(K65)*K5,0)+IFERROR(ISNUMBER(P65)*P5,0)+IFERROR(ISNUMBER(U65)*U5,0)+IFERROR(ISNUMBER(Z65)*Z5,0)+IFERROR(ISNUMBER(AE65)*AE5,0)+IFERROR(ISNUMBER(AJ65)*AJ5,0)),""))</f>
        <v/>
      </c>
      <c r="AP65" s="19">
        <f>IF(COUNT(G65,L65,Q65,V65,AA65,AF65,AK65)=0,"",IFERROR((IFERROR(G65*G5,0)+IFERROR(L65*L5,0)+IFERROR(Q65*Q5,0)+IFERROR(V65*V5,0)+IFERROR(AA65*AA5,0)+IFERROR(AF65*AF5,0)+IFERROR(AK65*AK5,0))/(IFERROR(ISNUMBER(G65)*G5,0)+IFERROR(ISNUMBER(L65)*L5,0)+IFERROR(ISNUMBER(Q65)*Q5,0)+IFERROR(ISNUMBER(V65)*V5,0)+IFERROR(ISNUMBER(AA65)*AA5,0)+IFERROR(ISNUMBER(AF65)*AF5,0)+IFERROR(ISNUMBER(AK65)*AK5,0)),""))</f>
        <v/>
      </c>
      <c r="AQ65" s="4" t="inlineStr">
        <is>
          <t>HC-weighted</t>
        </is>
      </c>
    </row>
    <row r="66" ht="18.75" customHeight="1">
      <c r="A66" s="3" t="n"/>
      <c r="B66" s="17" t="inlineStr">
        <is>
          <t>Training Hours / EE</t>
        </is>
      </c>
      <c r="C66" s="15">
        <f>IF([1]Quarter!F66="","",[1]Quarter!F66)</f>
        <v/>
      </c>
      <c r="D66" s="15">
        <f>IF([1]Quarter!J66="","",[1]Quarter!J66)</f>
        <v/>
      </c>
      <c r="E66" s="15">
        <f>IF([1]Quarter!N66="","",[1]Quarter!N66)</f>
        <v/>
      </c>
      <c r="F66" s="15">
        <f>IF([1]Quarter!R66="","",[1]Quarter!R66)</f>
        <v/>
      </c>
      <c r="G66" s="15">
        <f>IF([1]Quarter!S66="","",[1]Quarter!S66)</f>
        <v/>
      </c>
      <c r="H66" s="15">
        <f>IF([2]Quarter!F66="","",[2]Quarter!F66)</f>
        <v/>
      </c>
      <c r="I66" s="15">
        <f>IF([2]Quarter!J66="","",[2]Quarter!J66)</f>
        <v/>
      </c>
      <c r="J66" s="15">
        <f>IF([2]Quarter!N66="","",[2]Quarter!N66)</f>
        <v/>
      </c>
      <c r="K66" s="15">
        <f>IF([2]Quarter!R66="","",[2]Quarter!R66)</f>
        <v/>
      </c>
      <c r="L66" s="15">
        <f>IF([2]Quarter!S66="","",[2]Quarter!S66)</f>
        <v/>
      </c>
      <c r="M66" s="15">
        <f>IF([3]Quarter!F66="","",[3]Quarter!F66)</f>
        <v/>
      </c>
      <c r="N66" s="15">
        <f>IF([3]Quarter!J66="","",[3]Quarter!J66)</f>
        <v/>
      </c>
      <c r="O66" s="15">
        <f>IF([3]Quarter!N66="","",[3]Quarter!N66)</f>
        <v/>
      </c>
      <c r="P66" s="15">
        <f>IF([3]Quarter!R66="","",[3]Quarter!R66)</f>
        <v/>
      </c>
      <c r="Q66" s="15">
        <f>IF([3]Quarter!S66="","",[3]Quarter!S66)</f>
        <v/>
      </c>
      <c r="R66" s="15">
        <f>IF([4]Quarter!F66="","",[4]Quarter!F66)</f>
        <v/>
      </c>
      <c r="S66" s="15">
        <f>IF([4]Quarter!J66="","",[4]Quarter!J66)</f>
        <v/>
      </c>
      <c r="T66" s="15">
        <f>IF([4]Quarter!N66="","",[4]Quarter!N66)</f>
        <v/>
      </c>
      <c r="U66" s="15">
        <f>IF([4]Quarter!R66="","",[4]Quarter!R66)</f>
        <v/>
      </c>
      <c r="V66" s="15">
        <f>IF([4]Quarter!S66="","",[4]Quarter!S66)</f>
        <v/>
      </c>
      <c r="W66" s="15">
        <f>IF([5]Quarter!F66="","",[5]Quarter!F66)</f>
        <v/>
      </c>
      <c r="X66" s="15">
        <f>IF([5]Quarter!J66="","",[5]Quarter!J66)</f>
        <v/>
      </c>
      <c r="Y66" s="15">
        <f>IF([5]Quarter!N66="","",[5]Quarter!N66)</f>
        <v/>
      </c>
      <c r="Z66" s="15">
        <f>IF([5]Quarter!R66="","",[5]Quarter!R66)</f>
        <v/>
      </c>
      <c r="AA66" s="15">
        <f>IF([5]Quarter!S66="","",[5]Quarter!S66)</f>
        <v/>
      </c>
      <c r="AB66" s="15">
        <f>IF([6]Quarter!F66="","",[6]Quarter!F66)</f>
        <v/>
      </c>
      <c r="AC66" s="15">
        <f>IF([6]Quarter!J66="","",[6]Quarter!J66)</f>
        <v/>
      </c>
      <c r="AD66" s="15">
        <f>IF([6]Quarter!N66="","",[6]Quarter!N66)</f>
        <v/>
      </c>
      <c r="AE66" s="15">
        <f>IF([6]Quarter!R66="","",[6]Quarter!R66)</f>
        <v/>
      </c>
      <c r="AF66" s="15">
        <f>IF([6]Quarter!S66="","",[6]Quarter!S66)</f>
        <v/>
      </c>
      <c r="AG66" s="15">
        <f>IF([7]Quarter!F66="","",[7]Quarter!F66)</f>
        <v/>
      </c>
      <c r="AH66" s="15">
        <f>IF([7]Quarter!J66="","",[7]Quarter!J66)</f>
        <v/>
      </c>
      <c r="AI66" s="15">
        <f>IF([7]Quarter!N66="","",[7]Quarter!N66)</f>
        <v/>
      </c>
      <c r="AJ66" s="15">
        <f>IF([7]Quarter!R66="","",[7]Quarter!R66)</f>
        <v/>
      </c>
      <c r="AK66" s="15">
        <f>IF([7]Quarter!S66="","",[7]Quarter!S66)</f>
        <v/>
      </c>
      <c r="AL66" s="16">
        <f>IFERROR(AL55/AL5,"")</f>
        <v/>
      </c>
      <c r="AM66" s="16">
        <f>IFERROR(AM55/AM5,"")</f>
        <v/>
      </c>
      <c r="AN66" s="16">
        <f>IFERROR(AN55/AN5,"")</f>
        <v/>
      </c>
      <c r="AO66" s="16">
        <f>IFERROR(AO55/AO5,"")</f>
        <v/>
      </c>
      <c r="AP66" s="16">
        <f>IFERROR(AP55/AP5,"")</f>
        <v/>
      </c>
      <c r="AQ66" s="4" t="inlineStr">
        <is>
          <t>Recalculated</t>
        </is>
      </c>
    </row>
    <row r="67" ht="18.75" customHeight="1">
      <c r="A67" s="3" t="n"/>
      <c r="B67" s="17" t="inlineStr">
        <is>
          <t>Training Hours / EE Trained</t>
        </is>
      </c>
      <c r="C67" s="15">
        <f>IF([1]Quarter!F67="","",[1]Quarter!F67)</f>
        <v/>
      </c>
      <c r="D67" s="15">
        <f>IF([1]Quarter!J67="","",[1]Quarter!J67)</f>
        <v/>
      </c>
      <c r="E67" s="15">
        <f>IF([1]Quarter!N67="","",[1]Quarter!N67)</f>
        <v/>
      </c>
      <c r="F67" s="15">
        <f>IF([1]Quarter!R67="","",[1]Quarter!R67)</f>
        <v/>
      </c>
      <c r="G67" s="15">
        <f>IF([1]Quarter!S67="","",[1]Quarter!S67)</f>
        <v/>
      </c>
      <c r="H67" s="15">
        <f>IF([2]Quarter!F67="","",[2]Quarter!F67)</f>
        <v/>
      </c>
      <c r="I67" s="15">
        <f>IF([2]Quarter!J67="","",[2]Quarter!J67)</f>
        <v/>
      </c>
      <c r="J67" s="15">
        <f>IF([2]Quarter!N67="","",[2]Quarter!N67)</f>
        <v/>
      </c>
      <c r="K67" s="15">
        <f>IF([2]Quarter!R67="","",[2]Quarter!R67)</f>
        <v/>
      </c>
      <c r="L67" s="15">
        <f>IF([2]Quarter!S67="","",[2]Quarter!S67)</f>
        <v/>
      </c>
      <c r="M67" s="15">
        <f>IF([3]Quarter!F67="","",[3]Quarter!F67)</f>
        <v/>
      </c>
      <c r="N67" s="15">
        <f>IF([3]Quarter!J67="","",[3]Quarter!J67)</f>
        <v/>
      </c>
      <c r="O67" s="15">
        <f>IF([3]Quarter!N67="","",[3]Quarter!N67)</f>
        <v/>
      </c>
      <c r="P67" s="15">
        <f>IF([3]Quarter!R67="","",[3]Quarter!R67)</f>
        <v/>
      </c>
      <c r="Q67" s="15">
        <f>IF([3]Quarter!S67="","",[3]Quarter!S67)</f>
        <v/>
      </c>
      <c r="R67" s="15">
        <f>IF([4]Quarter!F67="","",[4]Quarter!F67)</f>
        <v/>
      </c>
      <c r="S67" s="15">
        <f>IF([4]Quarter!J67="","",[4]Quarter!J67)</f>
        <v/>
      </c>
      <c r="T67" s="15">
        <f>IF([4]Quarter!N67="","",[4]Quarter!N67)</f>
        <v/>
      </c>
      <c r="U67" s="15">
        <f>IF([4]Quarter!R67="","",[4]Quarter!R67)</f>
        <v/>
      </c>
      <c r="V67" s="15">
        <f>IF([4]Quarter!S67="","",[4]Quarter!S67)</f>
        <v/>
      </c>
      <c r="W67" s="15">
        <f>IF([5]Quarter!F67="","",[5]Quarter!F67)</f>
        <v/>
      </c>
      <c r="X67" s="15">
        <f>IF([5]Quarter!J67="","",[5]Quarter!J67)</f>
        <v/>
      </c>
      <c r="Y67" s="15">
        <f>IF([5]Quarter!N67="","",[5]Quarter!N67)</f>
        <v/>
      </c>
      <c r="Z67" s="15">
        <f>IF([5]Quarter!R67="","",[5]Quarter!R67)</f>
        <v/>
      </c>
      <c r="AA67" s="15">
        <f>IF([5]Quarter!S67="","",[5]Quarter!S67)</f>
        <v/>
      </c>
      <c r="AB67" s="15">
        <f>IF([6]Quarter!F67="","",[6]Quarter!F67)</f>
        <v/>
      </c>
      <c r="AC67" s="15">
        <f>IF([6]Quarter!J67="","",[6]Quarter!J67)</f>
        <v/>
      </c>
      <c r="AD67" s="15">
        <f>IF([6]Quarter!N67="","",[6]Quarter!N67)</f>
        <v/>
      </c>
      <c r="AE67" s="15">
        <f>IF([6]Quarter!R67="","",[6]Quarter!R67)</f>
        <v/>
      </c>
      <c r="AF67" s="15">
        <f>IF([6]Quarter!S67="","",[6]Quarter!S67)</f>
        <v/>
      </c>
      <c r="AG67" s="15">
        <f>IF([7]Quarter!F67="","",[7]Quarter!F67)</f>
        <v/>
      </c>
      <c r="AH67" s="15">
        <f>IF([7]Quarter!J67="","",[7]Quarter!J67)</f>
        <v/>
      </c>
      <c r="AI67" s="15">
        <f>IF([7]Quarter!N67="","",[7]Quarter!N67)</f>
        <v/>
      </c>
      <c r="AJ67" s="15">
        <f>IF([7]Quarter!R67="","",[7]Quarter!R67)</f>
        <v/>
      </c>
      <c r="AK67" s="15">
        <f>IF([7]Quarter!S67="","",[7]Quarter!S67)</f>
        <v/>
      </c>
      <c r="AL67" s="16">
        <f>IFERROR(AL55/AL56,"")</f>
        <v/>
      </c>
      <c r="AM67" s="16">
        <f>IFERROR(AM55/AM56,"")</f>
        <v/>
      </c>
      <c r="AN67" s="16">
        <f>IFERROR(AN55/AN56,"")</f>
        <v/>
      </c>
      <c r="AO67" s="16">
        <f>IFERROR(AO55/AO56,"")</f>
        <v/>
      </c>
      <c r="AP67" s="16">
        <f>IFERROR(AP55/AP56,"")</f>
        <v/>
      </c>
      <c r="AQ67" s="4" t="inlineStr">
        <is>
          <t>Recalculated</t>
        </is>
      </c>
    </row>
    <row r="68" ht="18.75" customHeight="1">
      <c r="A68" s="3" t="n"/>
      <c r="B68" s="17" t="inlineStr">
        <is>
          <t>Training Invest. / EE (USD)</t>
        </is>
      </c>
      <c r="C68" s="15">
        <f>IF([1]Quarter!F68="","",[1]Quarter!F68)</f>
        <v/>
      </c>
      <c r="D68" s="15">
        <f>IF([1]Quarter!J68="","",[1]Quarter!J68)</f>
        <v/>
      </c>
      <c r="E68" s="15">
        <f>IF([1]Quarter!N68="","",[1]Quarter!N68)</f>
        <v/>
      </c>
      <c r="F68" s="15">
        <f>IF([1]Quarter!R68="","",[1]Quarter!R68)</f>
        <v/>
      </c>
      <c r="G68" s="15">
        <f>IF([1]Quarter!S68="","",[1]Quarter!S68)</f>
        <v/>
      </c>
      <c r="H68" s="15">
        <f>IF([2]Quarter!F68="","",[2]Quarter!F68)</f>
        <v/>
      </c>
      <c r="I68" s="15">
        <f>IF([2]Quarter!J68="","",[2]Quarter!J68)</f>
        <v/>
      </c>
      <c r="J68" s="15">
        <f>IF([2]Quarter!N68="","",[2]Quarter!N68)</f>
        <v/>
      </c>
      <c r="K68" s="15">
        <f>IF([2]Quarter!R68="","",[2]Quarter!R68)</f>
        <v/>
      </c>
      <c r="L68" s="15">
        <f>IF([2]Quarter!S68="","",[2]Quarter!S68)</f>
        <v/>
      </c>
      <c r="M68" s="15">
        <f>IF([3]Quarter!F68="","",[3]Quarter!F68)</f>
        <v/>
      </c>
      <c r="N68" s="15">
        <f>IF([3]Quarter!J68="","",[3]Quarter!J68)</f>
        <v/>
      </c>
      <c r="O68" s="15">
        <f>IF([3]Quarter!N68="","",[3]Quarter!N68)</f>
        <v/>
      </c>
      <c r="P68" s="15">
        <f>IF([3]Quarter!R68="","",[3]Quarter!R68)</f>
        <v/>
      </c>
      <c r="Q68" s="15">
        <f>IF([3]Quarter!S68="","",[3]Quarter!S68)</f>
        <v/>
      </c>
      <c r="R68" s="15">
        <f>IF([4]Quarter!F68="","",[4]Quarter!F68)</f>
        <v/>
      </c>
      <c r="S68" s="15">
        <f>IF([4]Quarter!J68="","",[4]Quarter!J68)</f>
        <v/>
      </c>
      <c r="T68" s="15">
        <f>IF([4]Quarter!N68="","",[4]Quarter!N68)</f>
        <v/>
      </c>
      <c r="U68" s="15">
        <f>IF([4]Quarter!R68="","",[4]Quarter!R68)</f>
        <v/>
      </c>
      <c r="V68" s="15">
        <f>IF([4]Quarter!S68="","",[4]Quarter!S68)</f>
        <v/>
      </c>
      <c r="W68" s="15">
        <f>IF([5]Quarter!F68="","",[5]Quarter!F68)</f>
        <v/>
      </c>
      <c r="X68" s="15">
        <f>IF([5]Quarter!J68="","",[5]Quarter!J68)</f>
        <v/>
      </c>
      <c r="Y68" s="15">
        <f>IF([5]Quarter!N68="","",[5]Quarter!N68)</f>
        <v/>
      </c>
      <c r="Z68" s="15">
        <f>IF([5]Quarter!R68="","",[5]Quarter!R68)</f>
        <v/>
      </c>
      <c r="AA68" s="15">
        <f>IF([5]Quarter!S68="","",[5]Quarter!S68)</f>
        <v/>
      </c>
      <c r="AB68" s="15">
        <f>IF([6]Quarter!F68="","",[6]Quarter!F68)</f>
        <v/>
      </c>
      <c r="AC68" s="15">
        <f>IF([6]Quarter!J68="","",[6]Quarter!J68)</f>
        <v/>
      </c>
      <c r="AD68" s="15">
        <f>IF([6]Quarter!N68="","",[6]Quarter!N68)</f>
        <v/>
      </c>
      <c r="AE68" s="15">
        <f>IF([6]Quarter!R68="","",[6]Quarter!R68)</f>
        <v/>
      </c>
      <c r="AF68" s="15">
        <f>IF([6]Quarter!S68="","",[6]Quarter!S68)</f>
        <v/>
      </c>
      <c r="AG68" s="15">
        <f>IF([7]Quarter!F68="","",[7]Quarter!F68)</f>
        <v/>
      </c>
      <c r="AH68" s="15">
        <f>IF([7]Quarter!J68="","",[7]Quarter!J68)</f>
        <v/>
      </c>
      <c r="AI68" s="15">
        <f>IF([7]Quarter!N68="","",[7]Quarter!N68)</f>
        <v/>
      </c>
      <c r="AJ68" s="15">
        <f>IF([7]Quarter!R68="","",[7]Quarter!R68)</f>
        <v/>
      </c>
      <c r="AK68" s="15">
        <f>IF([7]Quarter!S68="","",[7]Quarter!S68)</f>
        <v/>
      </c>
      <c r="AL68" s="16">
        <f>IF(COUNT(AL58:AL59)=0,"",IFERROR((N(AL58)+N(AL59))/AL5,""))</f>
        <v/>
      </c>
      <c r="AM68" s="16">
        <f>IF(COUNT(AM58:AM59)=0,"",IFERROR((N(AM58)+N(AM59))/AM5,""))</f>
        <v/>
      </c>
      <c r="AN68" s="16">
        <f>IF(COUNT(AN58:AN59)=0,"",IFERROR((N(AN58)+N(AN59))/AN5,""))</f>
        <v/>
      </c>
      <c r="AO68" s="16">
        <f>IF(COUNT(AO58:AO59)=0,"",IFERROR((N(AO58)+N(AO59))/AO5,""))</f>
        <v/>
      </c>
      <c r="AP68" s="16">
        <f>IF(COUNT(AP58:AP59)=0,"",IFERROR((N(AP58)+N(AP59))/AP5,""))</f>
        <v/>
      </c>
      <c r="AQ68" s="4" t="inlineStr">
        <is>
          <t>Recalculated</t>
        </is>
      </c>
    </row>
    <row r="69" ht="18.75" customHeight="1">
      <c r="A69" s="3" t="n"/>
      <c r="B69" s="17" t="inlineStr">
        <is>
          <t>Training Invest. / EE Trained (USD)</t>
        </is>
      </c>
      <c r="C69" s="15">
        <f>IF([1]Quarter!F69="","",[1]Quarter!F69)</f>
        <v/>
      </c>
      <c r="D69" s="15">
        <f>IF([1]Quarter!J69="","",[1]Quarter!J69)</f>
        <v/>
      </c>
      <c r="E69" s="15">
        <f>IF([1]Quarter!N69="","",[1]Quarter!N69)</f>
        <v/>
      </c>
      <c r="F69" s="15">
        <f>IF([1]Quarter!R69="","",[1]Quarter!R69)</f>
        <v/>
      </c>
      <c r="G69" s="15">
        <f>IF([1]Quarter!S69="","",[1]Quarter!S69)</f>
        <v/>
      </c>
      <c r="H69" s="15">
        <f>IF([2]Quarter!F69="","",[2]Quarter!F69)</f>
        <v/>
      </c>
      <c r="I69" s="15">
        <f>IF([2]Quarter!J69="","",[2]Quarter!J69)</f>
        <v/>
      </c>
      <c r="J69" s="15">
        <f>IF([2]Quarter!N69="","",[2]Quarter!N69)</f>
        <v/>
      </c>
      <c r="K69" s="15">
        <f>IF([2]Quarter!R69="","",[2]Quarter!R69)</f>
        <v/>
      </c>
      <c r="L69" s="15">
        <f>IF([2]Quarter!S69="","",[2]Quarter!S69)</f>
        <v/>
      </c>
      <c r="M69" s="15">
        <f>IF([3]Quarter!F69="","",[3]Quarter!F69)</f>
        <v/>
      </c>
      <c r="N69" s="15">
        <f>IF([3]Quarter!J69="","",[3]Quarter!J69)</f>
        <v/>
      </c>
      <c r="O69" s="15">
        <f>IF([3]Quarter!N69="","",[3]Quarter!N69)</f>
        <v/>
      </c>
      <c r="P69" s="15">
        <f>IF([3]Quarter!R69="","",[3]Quarter!R69)</f>
        <v/>
      </c>
      <c r="Q69" s="15">
        <f>IF([3]Quarter!S69="","",[3]Quarter!S69)</f>
        <v/>
      </c>
      <c r="R69" s="15">
        <f>IF([4]Quarter!F69="","",[4]Quarter!F69)</f>
        <v/>
      </c>
      <c r="S69" s="15">
        <f>IF([4]Quarter!J69="","",[4]Quarter!J69)</f>
        <v/>
      </c>
      <c r="T69" s="15">
        <f>IF([4]Quarter!N69="","",[4]Quarter!N69)</f>
        <v/>
      </c>
      <c r="U69" s="15">
        <f>IF([4]Quarter!R69="","",[4]Quarter!R69)</f>
        <v/>
      </c>
      <c r="V69" s="15">
        <f>IF([4]Quarter!S69="","",[4]Quarter!S69)</f>
        <v/>
      </c>
      <c r="W69" s="15">
        <f>IF([5]Quarter!F69="","",[5]Quarter!F69)</f>
        <v/>
      </c>
      <c r="X69" s="15">
        <f>IF([5]Quarter!J69="","",[5]Quarter!J69)</f>
        <v/>
      </c>
      <c r="Y69" s="15">
        <f>IF([5]Quarter!N69="","",[5]Quarter!N69)</f>
        <v/>
      </c>
      <c r="Z69" s="15">
        <f>IF([5]Quarter!R69="","",[5]Quarter!R69)</f>
        <v/>
      </c>
      <c r="AA69" s="15">
        <f>IF([5]Quarter!S69="","",[5]Quarter!S69)</f>
        <v/>
      </c>
      <c r="AB69" s="15">
        <f>IF([6]Quarter!F69="","",[6]Quarter!F69)</f>
        <v/>
      </c>
      <c r="AC69" s="15">
        <f>IF([6]Quarter!J69="","",[6]Quarter!J69)</f>
        <v/>
      </c>
      <c r="AD69" s="15">
        <f>IF([6]Quarter!N69="","",[6]Quarter!N69)</f>
        <v/>
      </c>
      <c r="AE69" s="15">
        <f>IF([6]Quarter!R69="","",[6]Quarter!R69)</f>
        <v/>
      </c>
      <c r="AF69" s="15">
        <f>IF([6]Quarter!S69="","",[6]Quarter!S69)</f>
        <v/>
      </c>
      <c r="AG69" s="15">
        <f>IF([7]Quarter!F69="","",[7]Quarter!F69)</f>
        <v/>
      </c>
      <c r="AH69" s="15">
        <f>IF([7]Quarter!J69="","",[7]Quarter!J69)</f>
        <v/>
      </c>
      <c r="AI69" s="15">
        <f>IF([7]Quarter!N69="","",[7]Quarter!N69)</f>
        <v/>
      </c>
      <c r="AJ69" s="15">
        <f>IF([7]Quarter!R69="","",[7]Quarter!R69)</f>
        <v/>
      </c>
      <c r="AK69" s="15">
        <f>IF([7]Quarter!S69="","",[7]Quarter!S69)</f>
        <v/>
      </c>
      <c r="AL69" s="16">
        <f>IF(COUNT(AL58:AL59)=0,"",IFERROR((N(AL58)+N(AL59))/AL56,""))</f>
        <v/>
      </c>
      <c r="AM69" s="16">
        <f>IF(COUNT(AM58:AM59)=0,"",IFERROR((N(AM58)+N(AM59))/AM56,""))</f>
        <v/>
      </c>
      <c r="AN69" s="16">
        <f>IF(COUNT(AN58:AN59)=0,"",IFERROR((N(AN58)+N(AN59))/AN56,""))</f>
        <v/>
      </c>
      <c r="AO69" s="16">
        <f>IF(COUNT(AO58:AO59)=0,"",IFERROR((N(AO58)+N(AO59))/AO56,""))</f>
        <v/>
      </c>
      <c r="AP69" s="16">
        <f>IF(COUNT(AP58:AP59)=0,"",IFERROR((N(AP58)+N(AP59))/AP56,""))</f>
        <v/>
      </c>
      <c r="AQ69" s="4" t="inlineStr">
        <is>
          <t>Recalculated</t>
        </is>
      </c>
    </row>
    <row r="70" ht="18.75" customHeight="1">
      <c r="A70" s="3" t="n"/>
      <c r="B70" s="24" t="inlineStr">
        <is>
          <t>Input Cells Not Submitted</t>
        </is>
      </c>
      <c r="C70" s="25">
        <f>IF([1]Quarter!F70="","",[1]Quarter!F70)</f>
        <v/>
      </c>
      <c r="D70" s="25">
        <f>IF([1]Quarter!J70="","",[1]Quarter!J70)</f>
        <v/>
      </c>
      <c r="E70" s="25">
        <f>IF([1]Quarter!N70="","",[1]Quarter!N70)</f>
        <v/>
      </c>
      <c r="F70" s="25">
        <f>IF([1]Quarter!R70="","",[1]Quarter!R70)</f>
        <v/>
      </c>
      <c r="G70" s="25">
        <f>IF([1]Quarter!S70="","",[1]Quarter!S70)</f>
        <v/>
      </c>
      <c r="H70" s="25">
        <f>IF([2]Quarter!F70="","",[2]Quarter!F70)</f>
        <v/>
      </c>
      <c r="I70" s="25">
        <f>IF([2]Quarter!J70="","",[2]Quarter!J70)</f>
        <v/>
      </c>
      <c r="J70" s="25">
        <f>IF([2]Quarter!N70="","",[2]Quarter!N70)</f>
        <v/>
      </c>
      <c r="K70" s="25">
        <f>IF([2]Quarter!R70="","",[2]Quarter!R70)</f>
        <v/>
      </c>
      <c r="L70" s="25">
        <f>IF([2]Quarter!S70="","",[2]Quarter!S70)</f>
        <v/>
      </c>
      <c r="M70" s="25">
        <f>IF([3]Quarter!F70="","",[3]Quarter!F70)</f>
        <v/>
      </c>
      <c r="N70" s="25">
        <f>IF([3]Quarter!J70="","",[3]Quarter!J70)</f>
        <v/>
      </c>
      <c r="O70" s="25">
        <f>IF([3]Quarter!N70="","",[3]Quarter!N70)</f>
        <v/>
      </c>
      <c r="P70" s="25">
        <f>IF([3]Quarter!R70="","",[3]Quarter!R70)</f>
        <v/>
      </c>
      <c r="Q70" s="25">
        <f>IF([3]Quarter!S70="","",[3]Quarter!S70)</f>
        <v/>
      </c>
      <c r="R70" s="25">
        <f>IF([4]Quarter!F70="","",[4]Quarter!F70)</f>
        <v/>
      </c>
      <c r="S70" s="25">
        <f>IF([4]Quarter!J70="","",[4]Quarter!J70)</f>
        <v/>
      </c>
      <c r="T70" s="25">
        <f>IF([4]Quarter!N70="","",[4]Quarter!N70)</f>
        <v/>
      </c>
      <c r="U70" s="25">
        <f>IF([4]Quarter!R70="","",[4]Quarter!R70)</f>
        <v/>
      </c>
      <c r="V70" s="25">
        <f>IF([4]Quarter!S70="","",[4]Quarter!S70)</f>
        <v/>
      </c>
      <c r="W70" s="25">
        <f>IF([5]Quarter!F70="","",[5]Quarter!F70)</f>
        <v/>
      </c>
      <c r="X70" s="25">
        <f>IF([5]Quarter!J70="","",[5]Quarter!J70)</f>
        <v/>
      </c>
      <c r="Y70" s="25">
        <f>IF([5]Quarter!N70="","",[5]Quarter!N70)</f>
        <v/>
      </c>
      <c r="Z70" s="25">
        <f>IF([5]Quarter!R70="","",[5]Quarter!R70)</f>
        <v/>
      </c>
      <c r="AA70" s="25">
        <f>IF([5]Quarter!S70="","",[5]Quarter!S70)</f>
        <v/>
      </c>
      <c r="AB70" s="25">
        <f>IF([6]Quarter!F70="","",[6]Quarter!F70)</f>
        <v/>
      </c>
      <c r="AC70" s="25">
        <f>IF([6]Quarter!J70="","",[6]Quarter!J70)</f>
        <v/>
      </c>
      <c r="AD70" s="25">
        <f>IF([6]Quarter!N70="","",[6]Quarter!N70)</f>
        <v/>
      </c>
      <c r="AE70" s="25">
        <f>IF([6]Quarter!R70="","",[6]Quarter!R70)</f>
        <v/>
      </c>
      <c r="AF70" s="25">
        <f>IF([6]Quarter!S70="","",[6]Quarter!S70)</f>
        <v/>
      </c>
      <c r="AG70" s="25">
        <f>IF([7]Quarter!F70="","",[7]Quarter!F70)</f>
        <v/>
      </c>
      <c r="AH70" s="25">
        <f>IF([7]Quarter!J70="","",[7]Quarter!J70)</f>
        <v/>
      </c>
      <c r="AI70" s="25">
        <f>IF([7]Quarter!N70="","",[7]Quarter!N70)</f>
        <v/>
      </c>
      <c r="AJ70" s="25">
        <f>IF([7]Quarter!R70="","",[7]Quarter!R70)</f>
        <v/>
      </c>
      <c r="AK70" s="25">
        <f>IF([7]Quarter!S70="","",[7]Quarter!S70)</f>
        <v/>
      </c>
      <c r="AL70" s="14">
        <f>IF(COUNT(C70,H70,M70,R70,W70,AB70,AG70)=0,"",SUM(C70,H70,M70,R70,W70,AB70,AG70))</f>
        <v/>
      </c>
      <c r="AM70" s="14">
        <f>IF(COUNT(D70,I70,N70,S70,X70,AC70,AH70)=0,"",SUM(D70,I70,N70,S70,X70,AC70,AH70))</f>
        <v/>
      </c>
      <c r="AN70" s="14">
        <f>IF(COUNT(E70,J70,O70,T70,Y70,AD70,AI70)=0,"",SUM(E70,J70,O70,T70,Y70,AD70,AI70))</f>
        <v/>
      </c>
      <c r="AO70" s="14">
        <f>IF(COUNT(F70,K70,P70,U70,Z70,AE70,AJ70)=0,"",SUM(F70,K70,P70,U70,Z70,AE70,AJ70))</f>
        <v/>
      </c>
      <c r="AP70" s="14">
        <f>IF(COUNT(G70,L70,Q70,V70,AA70,AF70,AK70)=0,"",SUM(G70,L70,Q70,V70,AA70,AF70,AK70))</f>
        <v/>
      </c>
      <c r="AQ70" s="26" t="inlineStr">
        <is>
          <t>Sum of divisions</t>
        </is>
      </c>
    </row>
  </sheetData>
  <sheetProtection selectLockedCells="0" selectUnlockedCells="0" algorithmName="SHA-512" sheet="1" objects="1" insertRows="1" insertHyperlinks="1" autoFilter="1" scenarios="1" formatColumns="0" deleteColumns="1" insertColumns="1" pivotTables="1" deleteRows="1" formatCells="1" saltValue="IK1mo3n2o9zLr8wGMYhctA==" formatRows="0" sort="1" spinCount="100000" hashValue="BxtlLJhy4LlRWdVEjwrO4taZuxvjBDAYtqNtPV4JxIOlFYuzAu35PaQ28q55hr5X/YUx3By7q0/tp1NhUSsxrA=="/>
  <mergeCells count="8">
    <mergeCell ref="R1:V1"/>
    <mergeCell ref="AB1:AF1"/>
    <mergeCell ref="C1:G1"/>
    <mergeCell ref="AG1:AK1"/>
    <mergeCell ref="H1:L1"/>
    <mergeCell ref="W1:AA1"/>
    <mergeCell ref="AL1:AP1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2026-09-26T17:34:51Z</dcterms:created>
  <dcterms:modified xsi:type="dcterms:W3CDTF">2026-09-26T17:34:51Z</dcterms:modified>
</cp:coreProperties>
</file>